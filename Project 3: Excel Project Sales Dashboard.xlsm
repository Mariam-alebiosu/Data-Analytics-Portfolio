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maria\Downloads\"/>
    </mc:Choice>
  </mc:AlternateContent>
  <xr:revisionPtr revIDLastSave="0" documentId="13_ncr:1_{A1669D86-1B1D-4E1B-A544-FE1EEE7BAAE6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Dashboard" sheetId="1" r:id="rId1"/>
    <sheet name="Raw Data" sheetId="2" r:id="rId2"/>
    <sheet name="Budget" sheetId="3" r:id="rId3"/>
    <sheet name="Lookup" sheetId="4" r:id="rId4"/>
    <sheet name="Read M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M0WLCLedZB5D03PGQcPxV/d2EnIjZbHw/nuishhTWHw="/>
    </ext>
  </extLst>
</workbook>
</file>

<file path=xl/calcChain.xml><?xml version="1.0" encoding="utf-8"?>
<calcChain xmlns="http://schemas.openxmlformats.org/spreadsheetml/2006/main">
  <c r="H865" i="3" l="1"/>
  <c r="H864" i="3"/>
  <c r="H863" i="3"/>
  <c r="H862" i="3"/>
  <c r="H861" i="3"/>
  <c r="H860" i="3"/>
  <c r="H859" i="3"/>
  <c r="H858" i="3"/>
  <c r="H857" i="3"/>
  <c r="H856" i="3"/>
  <c r="H855" i="3"/>
  <c r="H854" i="3"/>
  <c r="H853" i="3"/>
  <c r="H852" i="3"/>
  <c r="H851" i="3"/>
  <c r="H850" i="3"/>
  <c r="H849" i="3"/>
  <c r="H848" i="3"/>
  <c r="H847" i="3"/>
  <c r="H846" i="3"/>
  <c r="H845" i="3"/>
  <c r="H844" i="3"/>
  <c r="H843" i="3"/>
  <c r="H842" i="3"/>
  <c r="H841" i="3"/>
  <c r="H840" i="3"/>
  <c r="H839" i="3"/>
  <c r="H838" i="3"/>
  <c r="H837" i="3"/>
  <c r="H836" i="3"/>
  <c r="H835" i="3"/>
  <c r="H834" i="3"/>
  <c r="H833" i="3"/>
  <c r="H832" i="3"/>
  <c r="H831" i="3"/>
  <c r="H830" i="3"/>
  <c r="H829" i="3"/>
  <c r="H828" i="3"/>
  <c r="H827" i="3"/>
  <c r="H826" i="3"/>
  <c r="H825" i="3"/>
  <c r="H824" i="3"/>
  <c r="H823" i="3"/>
  <c r="H822" i="3"/>
  <c r="H821" i="3"/>
  <c r="H820" i="3"/>
  <c r="H819" i="3"/>
  <c r="H818" i="3"/>
  <c r="H817" i="3"/>
  <c r="H816" i="3"/>
  <c r="H815" i="3"/>
  <c r="H814" i="3"/>
  <c r="H813" i="3"/>
  <c r="H812" i="3"/>
  <c r="H811" i="3"/>
  <c r="H810" i="3"/>
  <c r="H809" i="3"/>
  <c r="H808" i="3"/>
  <c r="H807" i="3"/>
  <c r="H806" i="3"/>
  <c r="H805" i="3"/>
  <c r="H804" i="3"/>
  <c r="H803" i="3"/>
  <c r="H802" i="3"/>
  <c r="H801" i="3"/>
  <c r="H800" i="3"/>
  <c r="H799" i="3"/>
  <c r="H798" i="3"/>
  <c r="H797" i="3"/>
  <c r="H796" i="3"/>
  <c r="H795" i="3"/>
  <c r="H794" i="3"/>
  <c r="H793" i="3"/>
  <c r="H792" i="3"/>
  <c r="H791" i="3"/>
  <c r="H790" i="3"/>
  <c r="H789" i="3"/>
  <c r="H788" i="3"/>
  <c r="H787" i="3"/>
  <c r="H786" i="3"/>
  <c r="H785" i="3"/>
  <c r="H784" i="3"/>
  <c r="H783" i="3"/>
  <c r="H782" i="3"/>
  <c r="H781" i="3"/>
  <c r="H780" i="3"/>
  <c r="H779" i="3"/>
  <c r="H778" i="3"/>
  <c r="H777" i="3"/>
  <c r="H776" i="3"/>
  <c r="H775" i="3"/>
  <c r="H774" i="3"/>
  <c r="H773" i="3"/>
  <c r="H772" i="3"/>
  <c r="H771" i="3"/>
  <c r="H770" i="3"/>
  <c r="H769" i="3"/>
  <c r="H768" i="3"/>
  <c r="H767" i="3"/>
  <c r="H766" i="3"/>
  <c r="H765" i="3"/>
  <c r="H764" i="3"/>
  <c r="H763" i="3"/>
  <c r="H762" i="3"/>
  <c r="H761" i="3"/>
  <c r="H760" i="3"/>
  <c r="H759" i="3"/>
  <c r="H758" i="3"/>
  <c r="H757" i="3"/>
  <c r="H756" i="3"/>
  <c r="H755" i="3"/>
  <c r="H754" i="3"/>
  <c r="H753" i="3"/>
  <c r="H752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7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3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H517" i="3"/>
  <c r="H516" i="3"/>
  <c r="H515" i="3"/>
  <c r="H514" i="3"/>
  <c r="H513" i="3"/>
  <c r="H512" i="3"/>
  <c r="H511" i="3"/>
  <c r="H510" i="3"/>
  <c r="H509" i="3"/>
  <c r="H508" i="3"/>
  <c r="H507" i="3"/>
  <c r="H506" i="3"/>
  <c r="H505" i="3"/>
  <c r="H504" i="3"/>
  <c r="H503" i="3"/>
  <c r="H502" i="3"/>
  <c r="H501" i="3"/>
  <c r="H500" i="3"/>
  <c r="H499" i="3"/>
  <c r="H498" i="3"/>
  <c r="H497" i="3"/>
  <c r="H496" i="3"/>
  <c r="H495" i="3"/>
  <c r="H494" i="3"/>
  <c r="H493" i="3"/>
  <c r="H492" i="3"/>
  <c r="H491" i="3"/>
  <c r="H490" i="3"/>
  <c r="H489" i="3"/>
  <c r="H488" i="3"/>
  <c r="H487" i="3"/>
  <c r="H486" i="3"/>
  <c r="H485" i="3"/>
  <c r="H484" i="3"/>
  <c r="H483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9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P1801" i="2"/>
  <c r="P1800" i="2"/>
  <c r="P1799" i="2"/>
  <c r="P1798" i="2"/>
  <c r="P1797" i="2"/>
  <c r="P1796" i="2"/>
  <c r="P1795" i="2"/>
  <c r="P1794" i="2"/>
  <c r="P1793" i="2"/>
  <c r="P1792" i="2"/>
  <c r="P1791" i="2"/>
  <c r="P1790" i="2"/>
  <c r="P1789" i="2"/>
  <c r="P1788" i="2"/>
  <c r="P1787" i="2"/>
  <c r="P1786" i="2"/>
  <c r="P1785" i="2"/>
  <c r="P1784" i="2"/>
  <c r="P1783" i="2"/>
  <c r="P1782" i="2"/>
  <c r="P1781" i="2"/>
  <c r="P1780" i="2"/>
  <c r="P1779" i="2"/>
  <c r="P1778" i="2"/>
  <c r="P1777" i="2"/>
  <c r="P1776" i="2"/>
  <c r="P1775" i="2"/>
  <c r="P1774" i="2"/>
  <c r="P1773" i="2"/>
  <c r="P1772" i="2"/>
  <c r="P1771" i="2"/>
  <c r="P1770" i="2"/>
  <c r="P1769" i="2"/>
  <c r="P1768" i="2"/>
  <c r="P1767" i="2"/>
  <c r="P1766" i="2"/>
  <c r="P1765" i="2"/>
  <c r="P1764" i="2"/>
  <c r="P1763" i="2"/>
  <c r="P1762" i="2"/>
  <c r="P1761" i="2"/>
  <c r="P1760" i="2"/>
  <c r="P1759" i="2"/>
  <c r="P1758" i="2"/>
  <c r="P1757" i="2"/>
  <c r="P1756" i="2"/>
  <c r="P1755" i="2"/>
  <c r="P1754" i="2"/>
  <c r="P1753" i="2"/>
  <c r="P1752" i="2"/>
  <c r="P1751" i="2"/>
  <c r="P1750" i="2"/>
  <c r="P1749" i="2"/>
  <c r="P1748" i="2"/>
  <c r="P1747" i="2"/>
  <c r="P1746" i="2"/>
  <c r="P1745" i="2"/>
  <c r="P1744" i="2"/>
  <c r="P1743" i="2"/>
  <c r="P1742" i="2"/>
  <c r="P1741" i="2"/>
  <c r="P1740" i="2"/>
  <c r="P1739" i="2"/>
  <c r="P1738" i="2"/>
  <c r="P1737" i="2"/>
  <c r="P1736" i="2"/>
  <c r="P1735" i="2"/>
  <c r="P1734" i="2"/>
  <c r="P1733" i="2"/>
  <c r="P1732" i="2"/>
  <c r="P1731" i="2"/>
  <c r="P1730" i="2"/>
  <c r="P1729" i="2"/>
  <c r="P1728" i="2"/>
  <c r="P1727" i="2"/>
  <c r="P1726" i="2"/>
  <c r="P1725" i="2"/>
  <c r="P1724" i="2"/>
  <c r="P1723" i="2"/>
  <c r="P1722" i="2"/>
  <c r="P1721" i="2"/>
  <c r="P1720" i="2"/>
  <c r="P1719" i="2"/>
  <c r="P1718" i="2"/>
  <c r="P1717" i="2"/>
  <c r="P1716" i="2"/>
  <c r="P1715" i="2"/>
  <c r="P1714" i="2"/>
  <c r="P1713" i="2"/>
  <c r="P1712" i="2"/>
  <c r="P1711" i="2"/>
  <c r="P1710" i="2"/>
  <c r="P1709" i="2"/>
  <c r="P1708" i="2"/>
  <c r="P1707" i="2"/>
  <c r="P1706" i="2"/>
  <c r="P1705" i="2"/>
  <c r="P1704" i="2"/>
  <c r="P1703" i="2"/>
  <c r="P1702" i="2"/>
  <c r="P1701" i="2"/>
  <c r="P1700" i="2"/>
  <c r="P1699" i="2"/>
  <c r="P1698" i="2"/>
  <c r="P1697" i="2"/>
  <c r="P1696" i="2"/>
  <c r="P1695" i="2"/>
  <c r="P1694" i="2"/>
  <c r="P1693" i="2"/>
  <c r="P1692" i="2"/>
  <c r="P1691" i="2"/>
  <c r="P1690" i="2"/>
  <c r="P1689" i="2"/>
  <c r="P1688" i="2"/>
  <c r="P1687" i="2"/>
  <c r="P1686" i="2"/>
  <c r="P1685" i="2"/>
  <c r="P1684" i="2"/>
  <c r="P1683" i="2"/>
  <c r="P1682" i="2"/>
  <c r="P1681" i="2"/>
  <c r="P1680" i="2"/>
  <c r="P1679" i="2"/>
  <c r="P1678" i="2"/>
  <c r="P1677" i="2"/>
  <c r="P1676" i="2"/>
  <c r="P1675" i="2"/>
  <c r="P1674" i="2"/>
  <c r="P1673" i="2"/>
  <c r="P1672" i="2"/>
  <c r="P1671" i="2"/>
  <c r="P1670" i="2"/>
  <c r="P1669" i="2"/>
  <c r="P1668" i="2"/>
  <c r="P1667" i="2"/>
  <c r="P1666" i="2"/>
  <c r="P1665" i="2"/>
  <c r="P1664" i="2"/>
  <c r="P1663" i="2"/>
  <c r="P1662" i="2"/>
  <c r="P1661" i="2"/>
  <c r="P1660" i="2"/>
  <c r="P1659" i="2"/>
  <c r="P1658" i="2"/>
  <c r="P1657" i="2"/>
  <c r="P1656" i="2"/>
  <c r="P1655" i="2"/>
  <c r="P1654" i="2"/>
  <c r="P1653" i="2"/>
  <c r="P1652" i="2"/>
  <c r="P1651" i="2"/>
  <c r="P1650" i="2"/>
  <c r="P1649" i="2"/>
  <c r="P1648" i="2"/>
  <c r="P1647" i="2"/>
  <c r="P1646" i="2"/>
  <c r="P1645" i="2"/>
  <c r="P1644" i="2"/>
  <c r="P1643" i="2"/>
  <c r="P1642" i="2"/>
  <c r="P1641" i="2"/>
  <c r="P1640" i="2"/>
  <c r="P1639" i="2"/>
  <c r="P1638" i="2"/>
  <c r="P1637" i="2"/>
  <c r="P1636" i="2"/>
  <c r="P1635" i="2"/>
  <c r="P1634" i="2"/>
  <c r="P1633" i="2"/>
  <c r="P1632" i="2"/>
  <c r="P1631" i="2"/>
  <c r="P1630" i="2"/>
  <c r="P1629" i="2"/>
  <c r="P1628" i="2"/>
  <c r="P1627" i="2"/>
  <c r="P1626" i="2"/>
  <c r="P1625" i="2"/>
  <c r="P1624" i="2"/>
  <c r="P1623" i="2"/>
  <c r="P1622" i="2"/>
  <c r="P1621" i="2"/>
  <c r="P1620" i="2"/>
  <c r="P1619" i="2"/>
  <c r="P1618" i="2"/>
  <c r="P1617" i="2"/>
  <c r="P1616" i="2"/>
  <c r="P1615" i="2"/>
  <c r="P1614" i="2"/>
  <c r="P1613" i="2"/>
  <c r="P1612" i="2"/>
  <c r="P1611" i="2"/>
  <c r="P1610" i="2"/>
  <c r="P1609" i="2"/>
  <c r="P1608" i="2"/>
  <c r="P1607" i="2"/>
  <c r="P1606" i="2"/>
  <c r="P1605" i="2"/>
  <c r="P1604" i="2"/>
  <c r="P1603" i="2"/>
  <c r="P1602" i="2"/>
  <c r="P1601" i="2"/>
  <c r="P1600" i="2"/>
  <c r="P1599" i="2"/>
  <c r="P1598" i="2"/>
  <c r="P1597" i="2"/>
  <c r="P1596" i="2"/>
  <c r="P1595" i="2"/>
  <c r="P1594" i="2"/>
  <c r="P1593" i="2"/>
  <c r="P1592" i="2"/>
  <c r="P1591" i="2"/>
  <c r="P1590" i="2"/>
  <c r="P1589" i="2"/>
  <c r="P1588" i="2"/>
  <c r="P1587" i="2"/>
  <c r="P1586" i="2"/>
  <c r="P1585" i="2"/>
  <c r="P1584" i="2"/>
  <c r="P1583" i="2"/>
  <c r="P1582" i="2"/>
  <c r="P1581" i="2"/>
  <c r="P1580" i="2"/>
  <c r="P1579" i="2"/>
  <c r="P1578" i="2"/>
  <c r="P1577" i="2"/>
  <c r="P1576" i="2"/>
  <c r="P1575" i="2"/>
  <c r="P1574" i="2"/>
  <c r="P1573" i="2"/>
  <c r="P1572" i="2"/>
  <c r="P1571" i="2"/>
  <c r="P1570" i="2"/>
  <c r="P1569" i="2"/>
  <c r="P1568" i="2"/>
  <c r="P1567" i="2"/>
  <c r="P1566" i="2"/>
  <c r="P1565" i="2"/>
  <c r="P1564" i="2"/>
  <c r="P1563" i="2"/>
  <c r="P1562" i="2"/>
  <c r="P1561" i="2"/>
  <c r="P1560" i="2"/>
  <c r="P1559" i="2"/>
  <c r="P1558" i="2"/>
  <c r="P1557" i="2"/>
  <c r="P1556" i="2"/>
  <c r="P1555" i="2"/>
  <c r="P1554" i="2"/>
  <c r="P1553" i="2"/>
  <c r="P1552" i="2"/>
  <c r="P1551" i="2"/>
  <c r="P1550" i="2"/>
  <c r="P1549" i="2"/>
  <c r="P1548" i="2"/>
  <c r="P1547" i="2"/>
  <c r="P1546" i="2"/>
  <c r="P1545" i="2"/>
  <c r="P1544" i="2"/>
  <c r="P1543" i="2"/>
  <c r="P1542" i="2"/>
  <c r="P1541" i="2"/>
  <c r="P1540" i="2"/>
  <c r="P1539" i="2"/>
  <c r="P1538" i="2"/>
  <c r="P1537" i="2"/>
  <c r="P1536" i="2"/>
  <c r="P1535" i="2"/>
  <c r="P1534" i="2"/>
  <c r="P1533" i="2"/>
  <c r="P1532" i="2"/>
  <c r="P1531" i="2"/>
  <c r="P1530" i="2"/>
  <c r="P1529" i="2"/>
  <c r="P1528" i="2"/>
  <c r="P1527" i="2"/>
  <c r="P1526" i="2"/>
  <c r="P1525" i="2"/>
  <c r="P1524" i="2"/>
  <c r="P1523" i="2"/>
  <c r="P1522" i="2"/>
  <c r="P1521" i="2"/>
  <c r="P1520" i="2"/>
  <c r="P1519" i="2"/>
  <c r="P1518" i="2"/>
  <c r="P1517" i="2"/>
  <c r="P1516" i="2"/>
  <c r="P1515" i="2"/>
  <c r="P1514" i="2"/>
  <c r="P1513" i="2"/>
  <c r="P1512" i="2"/>
  <c r="P1511" i="2"/>
  <c r="P1510" i="2"/>
  <c r="P1509" i="2"/>
  <c r="P1508" i="2"/>
  <c r="P1507" i="2"/>
  <c r="P1506" i="2"/>
  <c r="P1505" i="2"/>
  <c r="P1504" i="2"/>
  <c r="P1503" i="2"/>
  <c r="P1502" i="2"/>
  <c r="P1501" i="2"/>
  <c r="P1500" i="2"/>
  <c r="P1499" i="2"/>
  <c r="P1498" i="2"/>
  <c r="P1497" i="2"/>
  <c r="P1496" i="2"/>
  <c r="P1495" i="2"/>
  <c r="P1494" i="2"/>
  <c r="P1493" i="2"/>
  <c r="P1492" i="2"/>
  <c r="P1491" i="2"/>
  <c r="P1490" i="2"/>
  <c r="P1489" i="2"/>
  <c r="P1488" i="2"/>
  <c r="P1487" i="2"/>
  <c r="P1486" i="2"/>
  <c r="P1485" i="2"/>
  <c r="P1484" i="2"/>
  <c r="P1483" i="2"/>
  <c r="P1482" i="2"/>
  <c r="P1481" i="2"/>
  <c r="P1480" i="2"/>
  <c r="P1479" i="2"/>
  <c r="P1478" i="2"/>
  <c r="P1477" i="2"/>
  <c r="P1476" i="2"/>
  <c r="P1475" i="2"/>
  <c r="P1474" i="2"/>
  <c r="P1473" i="2"/>
  <c r="P1472" i="2"/>
  <c r="P1471" i="2"/>
  <c r="P1470" i="2"/>
  <c r="P1469" i="2"/>
  <c r="P1468" i="2"/>
  <c r="P1467" i="2"/>
  <c r="P1466" i="2"/>
  <c r="P1465" i="2"/>
  <c r="P1464" i="2"/>
  <c r="P1463" i="2"/>
  <c r="P1462" i="2"/>
  <c r="P1461" i="2"/>
  <c r="P1460" i="2"/>
  <c r="P1459" i="2"/>
  <c r="P1458" i="2"/>
  <c r="P1457" i="2"/>
  <c r="P1456" i="2"/>
  <c r="P1455" i="2"/>
  <c r="P1454" i="2"/>
  <c r="P1453" i="2"/>
  <c r="P1452" i="2"/>
  <c r="P1451" i="2"/>
  <c r="P1450" i="2"/>
  <c r="P1449" i="2"/>
  <c r="P1448" i="2"/>
  <c r="P1447" i="2"/>
  <c r="P1446" i="2"/>
  <c r="P1445" i="2"/>
  <c r="P1444" i="2"/>
  <c r="P1443" i="2"/>
  <c r="P1442" i="2"/>
  <c r="P1441" i="2"/>
  <c r="P1440" i="2"/>
  <c r="P1439" i="2"/>
  <c r="P1438" i="2"/>
  <c r="P1437" i="2"/>
  <c r="P1436" i="2"/>
  <c r="P1435" i="2"/>
  <c r="P1434" i="2"/>
  <c r="P1433" i="2"/>
  <c r="P1432" i="2"/>
  <c r="P1431" i="2"/>
  <c r="P1430" i="2"/>
  <c r="P1429" i="2"/>
  <c r="P1428" i="2"/>
  <c r="P1427" i="2"/>
  <c r="P1426" i="2"/>
  <c r="P1425" i="2"/>
  <c r="P1424" i="2"/>
  <c r="P1423" i="2"/>
  <c r="P1422" i="2"/>
  <c r="P1421" i="2"/>
  <c r="P1420" i="2"/>
  <c r="P1419" i="2"/>
  <c r="P1418" i="2"/>
  <c r="P1417" i="2"/>
  <c r="P1416" i="2"/>
  <c r="P1415" i="2"/>
  <c r="P1414" i="2"/>
  <c r="P1413" i="2"/>
  <c r="P1412" i="2"/>
  <c r="P1411" i="2"/>
  <c r="P1410" i="2"/>
  <c r="P1409" i="2"/>
  <c r="P1408" i="2"/>
  <c r="P1407" i="2"/>
  <c r="P1406" i="2"/>
  <c r="P1405" i="2"/>
  <c r="P1404" i="2"/>
  <c r="P1403" i="2"/>
  <c r="P1402" i="2"/>
  <c r="P1401" i="2"/>
  <c r="P1400" i="2"/>
  <c r="P1399" i="2"/>
  <c r="P1398" i="2"/>
  <c r="P1397" i="2"/>
  <c r="P1396" i="2"/>
  <c r="P1395" i="2"/>
  <c r="P1394" i="2"/>
  <c r="P1393" i="2"/>
  <c r="P1392" i="2"/>
  <c r="P1391" i="2"/>
  <c r="P1390" i="2"/>
  <c r="P1389" i="2"/>
  <c r="P1388" i="2"/>
  <c r="P1387" i="2"/>
  <c r="P1386" i="2"/>
  <c r="P1385" i="2"/>
  <c r="P1384" i="2"/>
  <c r="P1383" i="2"/>
  <c r="P1382" i="2"/>
  <c r="P1381" i="2"/>
  <c r="P1380" i="2"/>
  <c r="P1379" i="2"/>
  <c r="P1378" i="2"/>
  <c r="P1377" i="2"/>
  <c r="P1376" i="2"/>
  <c r="P1375" i="2"/>
  <c r="P1374" i="2"/>
  <c r="P1373" i="2"/>
  <c r="P1372" i="2"/>
  <c r="P1371" i="2"/>
  <c r="P1370" i="2"/>
  <c r="P1369" i="2"/>
  <c r="P1368" i="2"/>
  <c r="P1367" i="2"/>
  <c r="P1366" i="2"/>
  <c r="P1365" i="2"/>
  <c r="P1364" i="2"/>
  <c r="P1363" i="2"/>
  <c r="P1362" i="2"/>
  <c r="P1361" i="2"/>
  <c r="P1360" i="2"/>
  <c r="P1359" i="2"/>
  <c r="P1358" i="2"/>
  <c r="P1357" i="2"/>
  <c r="P1356" i="2"/>
  <c r="P1355" i="2"/>
  <c r="P1354" i="2"/>
  <c r="P1353" i="2"/>
  <c r="P1352" i="2"/>
  <c r="P1351" i="2"/>
  <c r="P1350" i="2"/>
  <c r="P1349" i="2"/>
  <c r="P1348" i="2"/>
  <c r="P1347" i="2"/>
  <c r="P1346" i="2"/>
  <c r="P1345" i="2"/>
  <c r="P1344" i="2"/>
  <c r="P1343" i="2"/>
  <c r="P1342" i="2"/>
  <c r="P1341" i="2"/>
  <c r="P1340" i="2"/>
  <c r="P1339" i="2"/>
  <c r="P1338" i="2"/>
  <c r="P1337" i="2"/>
  <c r="P1336" i="2"/>
  <c r="P1335" i="2"/>
  <c r="P1334" i="2"/>
  <c r="P1333" i="2"/>
  <c r="P1332" i="2"/>
  <c r="P1331" i="2"/>
  <c r="P1330" i="2"/>
  <c r="P1329" i="2"/>
  <c r="P1328" i="2"/>
  <c r="P1327" i="2"/>
  <c r="P1326" i="2"/>
  <c r="P1325" i="2"/>
  <c r="P1324" i="2"/>
  <c r="P1323" i="2"/>
  <c r="P1322" i="2"/>
  <c r="P1321" i="2"/>
  <c r="P1320" i="2"/>
  <c r="P1319" i="2"/>
  <c r="P1318" i="2"/>
  <c r="P1317" i="2"/>
  <c r="P1316" i="2"/>
  <c r="P1315" i="2"/>
  <c r="P1314" i="2"/>
  <c r="P1313" i="2"/>
  <c r="P1312" i="2"/>
  <c r="P1311" i="2"/>
  <c r="P1310" i="2"/>
  <c r="P1309" i="2"/>
  <c r="P1308" i="2"/>
  <c r="P1307" i="2"/>
  <c r="P1306" i="2"/>
  <c r="P1305" i="2"/>
  <c r="P1304" i="2"/>
  <c r="P1303" i="2"/>
  <c r="P1302" i="2"/>
  <c r="P1301" i="2"/>
  <c r="P1300" i="2"/>
  <c r="P1299" i="2"/>
  <c r="P1298" i="2"/>
  <c r="P1297" i="2"/>
  <c r="P1296" i="2"/>
  <c r="P1295" i="2"/>
  <c r="P1294" i="2"/>
  <c r="P1293" i="2"/>
  <c r="P1292" i="2"/>
  <c r="P1291" i="2"/>
  <c r="P1290" i="2"/>
  <c r="P1289" i="2"/>
  <c r="P1288" i="2"/>
  <c r="P1287" i="2"/>
  <c r="P1286" i="2"/>
  <c r="P1285" i="2"/>
  <c r="P1284" i="2"/>
  <c r="P1283" i="2"/>
  <c r="P1282" i="2"/>
  <c r="P1281" i="2"/>
  <c r="P1280" i="2"/>
  <c r="P1279" i="2"/>
  <c r="P1278" i="2"/>
  <c r="P1277" i="2"/>
  <c r="P1276" i="2"/>
  <c r="P1275" i="2"/>
  <c r="P1274" i="2"/>
  <c r="P1273" i="2"/>
  <c r="P1272" i="2"/>
  <c r="P1271" i="2"/>
  <c r="P1270" i="2"/>
  <c r="P1269" i="2"/>
  <c r="P1268" i="2"/>
  <c r="P1267" i="2"/>
  <c r="P1266" i="2"/>
  <c r="P1265" i="2"/>
  <c r="P1264" i="2"/>
  <c r="P1263" i="2"/>
  <c r="P1262" i="2"/>
  <c r="P1261" i="2"/>
  <c r="P1260" i="2"/>
  <c r="P1259" i="2"/>
  <c r="P1258" i="2"/>
  <c r="P1257" i="2"/>
  <c r="P1256" i="2"/>
  <c r="P1255" i="2"/>
  <c r="P1254" i="2"/>
  <c r="P1253" i="2"/>
  <c r="P1252" i="2"/>
  <c r="P1251" i="2"/>
  <c r="P1250" i="2"/>
  <c r="P1249" i="2"/>
  <c r="P1248" i="2"/>
  <c r="P1247" i="2"/>
  <c r="P1246" i="2"/>
  <c r="P1245" i="2"/>
  <c r="P1244" i="2"/>
  <c r="P1243" i="2"/>
  <c r="P1242" i="2"/>
  <c r="P1241" i="2"/>
  <c r="P1240" i="2"/>
  <c r="P1239" i="2"/>
  <c r="P1238" i="2"/>
  <c r="P1237" i="2"/>
  <c r="P1236" i="2"/>
  <c r="P1235" i="2"/>
  <c r="P1234" i="2"/>
  <c r="P1233" i="2"/>
  <c r="P1232" i="2"/>
  <c r="P1231" i="2"/>
  <c r="P1230" i="2"/>
  <c r="P1229" i="2"/>
  <c r="P1228" i="2"/>
  <c r="P1227" i="2"/>
  <c r="P1226" i="2"/>
  <c r="P1225" i="2"/>
  <c r="P1224" i="2"/>
  <c r="P1223" i="2"/>
  <c r="P1222" i="2"/>
  <c r="P1221" i="2"/>
  <c r="P1220" i="2"/>
  <c r="P1219" i="2"/>
  <c r="P1218" i="2"/>
  <c r="P1217" i="2"/>
  <c r="P1216" i="2"/>
  <c r="P1215" i="2"/>
  <c r="P1214" i="2"/>
  <c r="P1213" i="2"/>
  <c r="P1212" i="2"/>
  <c r="P1211" i="2"/>
  <c r="P1210" i="2"/>
  <c r="P1209" i="2"/>
  <c r="P1208" i="2"/>
  <c r="P1207" i="2"/>
  <c r="P1206" i="2"/>
  <c r="P1205" i="2"/>
  <c r="P1204" i="2"/>
  <c r="P1203" i="2"/>
  <c r="P1202" i="2"/>
  <c r="P1201" i="2"/>
  <c r="P1200" i="2"/>
  <c r="P1199" i="2"/>
  <c r="P1198" i="2"/>
  <c r="P1197" i="2"/>
  <c r="P1196" i="2"/>
  <c r="P1195" i="2"/>
  <c r="P1194" i="2"/>
  <c r="P1193" i="2"/>
  <c r="P1192" i="2"/>
  <c r="P1191" i="2"/>
  <c r="P1190" i="2"/>
  <c r="P1189" i="2"/>
  <c r="P1188" i="2"/>
  <c r="P1187" i="2"/>
  <c r="P1186" i="2"/>
  <c r="P1185" i="2"/>
  <c r="P1184" i="2"/>
  <c r="P1183" i="2"/>
  <c r="P1182" i="2"/>
  <c r="P1181" i="2"/>
  <c r="P1180" i="2"/>
  <c r="P1179" i="2"/>
  <c r="P1178" i="2"/>
  <c r="P1177" i="2"/>
  <c r="P1176" i="2"/>
  <c r="P1175" i="2"/>
  <c r="P1174" i="2"/>
  <c r="P1173" i="2"/>
  <c r="P1172" i="2"/>
  <c r="P1171" i="2"/>
  <c r="P1170" i="2"/>
  <c r="P1169" i="2"/>
  <c r="P1168" i="2"/>
  <c r="P1167" i="2"/>
  <c r="P1166" i="2"/>
  <c r="P1165" i="2"/>
  <c r="P1164" i="2"/>
  <c r="P1163" i="2"/>
  <c r="P1162" i="2"/>
  <c r="P1161" i="2"/>
  <c r="P1160" i="2"/>
  <c r="P1159" i="2"/>
  <c r="P1158" i="2"/>
  <c r="P1157" i="2"/>
  <c r="P1156" i="2"/>
  <c r="P1155" i="2"/>
  <c r="P1154" i="2"/>
  <c r="P1153" i="2"/>
  <c r="P1152" i="2"/>
  <c r="P1151" i="2"/>
  <c r="P1150" i="2"/>
  <c r="P1149" i="2"/>
  <c r="P1148" i="2"/>
  <c r="P1147" i="2"/>
  <c r="P1146" i="2"/>
  <c r="P1145" i="2"/>
  <c r="P1144" i="2"/>
  <c r="P1143" i="2"/>
  <c r="P1142" i="2"/>
  <c r="P1141" i="2"/>
  <c r="P1140" i="2"/>
  <c r="P1139" i="2"/>
  <c r="P1138" i="2"/>
  <c r="P1137" i="2"/>
  <c r="P1136" i="2"/>
  <c r="P1135" i="2"/>
  <c r="P1134" i="2"/>
  <c r="P1133" i="2"/>
  <c r="P1132" i="2"/>
  <c r="P1131" i="2"/>
  <c r="P1130" i="2"/>
  <c r="P1129" i="2"/>
  <c r="P1128" i="2"/>
  <c r="P1127" i="2"/>
  <c r="P1126" i="2"/>
  <c r="P1125" i="2"/>
  <c r="P1124" i="2"/>
  <c r="P1123" i="2"/>
  <c r="P1122" i="2"/>
  <c r="P1121" i="2"/>
  <c r="P1120" i="2"/>
  <c r="P1119" i="2"/>
  <c r="P1118" i="2"/>
  <c r="P1117" i="2"/>
  <c r="P1116" i="2"/>
  <c r="P1115" i="2"/>
  <c r="P1114" i="2"/>
  <c r="P1113" i="2"/>
  <c r="P1112" i="2"/>
  <c r="P1111" i="2"/>
  <c r="P1110" i="2"/>
  <c r="P1109" i="2"/>
  <c r="P1108" i="2"/>
  <c r="P1107" i="2"/>
  <c r="P1106" i="2"/>
  <c r="P1105" i="2"/>
  <c r="P1104" i="2"/>
  <c r="P1103" i="2"/>
  <c r="P1102" i="2"/>
  <c r="P1101" i="2"/>
  <c r="P1100" i="2"/>
  <c r="P1099" i="2"/>
  <c r="P1098" i="2"/>
  <c r="P1097" i="2"/>
  <c r="P1096" i="2"/>
  <c r="P1095" i="2"/>
  <c r="P1094" i="2"/>
  <c r="P1093" i="2"/>
  <c r="P1092" i="2"/>
  <c r="P1091" i="2"/>
  <c r="P1090" i="2"/>
  <c r="P1089" i="2"/>
  <c r="P1088" i="2"/>
  <c r="P1087" i="2"/>
  <c r="P1086" i="2"/>
  <c r="P1085" i="2"/>
  <c r="P1084" i="2"/>
  <c r="P1083" i="2"/>
  <c r="P1082" i="2"/>
  <c r="P1081" i="2"/>
  <c r="P1080" i="2"/>
  <c r="P1079" i="2"/>
  <c r="P1078" i="2"/>
  <c r="P1077" i="2"/>
  <c r="P1076" i="2"/>
  <c r="P1075" i="2"/>
  <c r="P1074" i="2"/>
  <c r="P1073" i="2"/>
  <c r="P1072" i="2"/>
  <c r="P1071" i="2"/>
  <c r="P1070" i="2"/>
  <c r="P1069" i="2"/>
  <c r="P1068" i="2"/>
  <c r="P1067" i="2"/>
  <c r="P1066" i="2"/>
  <c r="P1065" i="2"/>
  <c r="P1064" i="2"/>
  <c r="P1063" i="2"/>
  <c r="P1062" i="2"/>
  <c r="P1061" i="2"/>
  <c r="P1060" i="2"/>
  <c r="P1059" i="2"/>
  <c r="P1058" i="2"/>
  <c r="P1057" i="2"/>
  <c r="P1056" i="2"/>
  <c r="P1055" i="2"/>
  <c r="P1054" i="2"/>
  <c r="P1053" i="2"/>
  <c r="P1052" i="2"/>
  <c r="P1051" i="2"/>
  <c r="P1050" i="2"/>
  <c r="P1049" i="2"/>
  <c r="P1048" i="2"/>
  <c r="P1047" i="2"/>
  <c r="P1046" i="2"/>
  <c r="P1045" i="2"/>
  <c r="P1044" i="2"/>
  <c r="P1043" i="2"/>
  <c r="P1042" i="2"/>
  <c r="P1041" i="2"/>
  <c r="P1040" i="2"/>
  <c r="P1039" i="2"/>
  <c r="P1038" i="2"/>
  <c r="P1037" i="2"/>
  <c r="P1036" i="2"/>
  <c r="P1035" i="2"/>
  <c r="P1034" i="2"/>
  <c r="P1033" i="2"/>
  <c r="P1032" i="2"/>
  <c r="P1031" i="2"/>
  <c r="P1030" i="2"/>
  <c r="P1029" i="2"/>
  <c r="P1028" i="2"/>
  <c r="P1027" i="2"/>
  <c r="P1026" i="2"/>
  <c r="P1025" i="2"/>
  <c r="P1024" i="2"/>
  <c r="P1023" i="2"/>
  <c r="P1022" i="2"/>
  <c r="P1021" i="2"/>
  <c r="P1020" i="2"/>
  <c r="P1019" i="2"/>
  <c r="P1018" i="2"/>
  <c r="P1017" i="2"/>
  <c r="P1016" i="2"/>
  <c r="P1015" i="2"/>
  <c r="P1014" i="2"/>
  <c r="P1013" i="2"/>
  <c r="P1012" i="2"/>
  <c r="P1011" i="2"/>
  <c r="P1010" i="2"/>
  <c r="P1009" i="2"/>
  <c r="P1008" i="2"/>
  <c r="P1007" i="2"/>
  <c r="P1006" i="2"/>
  <c r="P1005" i="2"/>
  <c r="P1004" i="2"/>
  <c r="P1003" i="2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6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C60" i="1"/>
  <c r="C59" i="1"/>
  <c r="I58" i="1"/>
  <c r="C58" i="1"/>
  <c r="I57" i="1"/>
  <c r="C57" i="1"/>
  <c r="I56" i="1"/>
  <c r="C56" i="1"/>
  <c r="I55" i="1"/>
  <c r="C55" i="1"/>
  <c r="I54" i="1"/>
  <c r="C54" i="1"/>
  <c r="I53" i="1"/>
  <c r="C53" i="1"/>
  <c r="I52" i="1"/>
  <c r="C52" i="1"/>
  <c r="I51" i="1"/>
  <c r="C51" i="1"/>
  <c r="I50" i="1"/>
  <c r="C50" i="1"/>
  <c r="I49" i="1"/>
  <c r="C49" i="1"/>
  <c r="M2" i="1"/>
  <c r="W39" i="1" l="1"/>
  <c r="W31" i="1"/>
  <c r="J55" i="1" s="1"/>
  <c r="R10" i="1"/>
  <c r="E56" i="1" s="1"/>
  <c r="W30" i="1"/>
  <c r="J54" i="1" s="1"/>
  <c r="R11" i="1"/>
  <c r="E57" i="1" s="1"/>
  <c r="R4" i="1"/>
  <c r="E50" i="1" s="1"/>
  <c r="W28" i="1"/>
  <c r="J52" i="1" s="1"/>
  <c r="K52" i="1" s="1"/>
  <c r="Q4" i="1"/>
  <c r="D50" i="1" s="1"/>
  <c r="R14" i="1"/>
  <c r="E60" i="1" s="1"/>
  <c r="W32" i="1"/>
  <c r="J56" i="1" s="1"/>
  <c r="K56" i="1" s="1"/>
  <c r="Q6" i="1"/>
  <c r="Q13" i="1"/>
  <c r="R6" i="1"/>
  <c r="E52" i="1" s="1"/>
  <c r="R13" i="1"/>
  <c r="E59" i="1" s="1"/>
  <c r="W19" i="1"/>
  <c r="X19" i="1" s="1"/>
  <c r="D2" i="1"/>
  <c r="Q9" i="1"/>
  <c r="L34" i="1"/>
  <c r="R9" i="1"/>
  <c r="E55" i="1" s="1"/>
  <c r="X11" i="1"/>
  <c r="W20" i="1"/>
  <c r="X20" i="1" s="1"/>
  <c r="J2" i="1"/>
  <c r="W4" i="1"/>
  <c r="W6" i="1"/>
  <c r="W13" i="1"/>
  <c r="W35" i="1"/>
  <c r="X4" i="1"/>
  <c r="X6" i="1"/>
  <c r="Q12" i="1"/>
  <c r="X13" i="1"/>
  <c r="W25" i="1"/>
  <c r="J49" i="1" s="1"/>
  <c r="K49" i="1" s="1"/>
  <c r="W36" i="1"/>
  <c r="W33" i="1"/>
  <c r="J57" i="1" s="1"/>
  <c r="W11" i="1"/>
  <c r="G2" i="1"/>
  <c r="W34" i="1"/>
  <c r="J58" i="1" s="1"/>
  <c r="K58" i="1" s="1"/>
  <c r="Q3" i="1"/>
  <c r="Q5" i="1"/>
  <c r="Q7" i="1"/>
  <c r="Q10" i="1"/>
  <c r="R12" i="1"/>
  <c r="E58" i="1" s="1"/>
  <c r="W26" i="1"/>
  <c r="J50" i="1" s="1"/>
  <c r="K50" i="1" s="1"/>
  <c r="W37" i="1"/>
  <c r="R3" i="1"/>
  <c r="E49" i="1" s="1"/>
  <c r="R5" i="1"/>
  <c r="E51" i="1" s="1"/>
  <c r="R7" i="1"/>
  <c r="E53" i="1" s="1"/>
  <c r="Q14" i="1"/>
  <c r="W27" i="1"/>
  <c r="J51" i="1" s="1"/>
  <c r="K51" i="1" s="1"/>
  <c r="W38" i="1"/>
  <c r="W12" i="1"/>
  <c r="W29" i="1"/>
  <c r="J53" i="1" s="1"/>
  <c r="W3" i="1"/>
  <c r="W5" i="1"/>
  <c r="Q8" i="1"/>
  <c r="Q11" i="1"/>
  <c r="X12" i="1"/>
  <c r="X3" i="1"/>
  <c r="X5" i="1"/>
  <c r="R8" i="1"/>
  <c r="E54" i="1" s="1"/>
  <c r="W18" i="1"/>
  <c r="X18" i="1" s="1"/>
  <c r="L40" i="1" l="1"/>
  <c r="K57" i="1"/>
  <c r="K54" i="1"/>
  <c r="K53" i="1"/>
  <c r="K55" i="1"/>
  <c r="Y11" i="1"/>
  <c r="Y12" i="1"/>
  <c r="S4" i="1"/>
  <c r="Y13" i="1"/>
  <c r="F50" i="1"/>
  <c r="H50" i="1" s="1"/>
  <c r="T4" i="1"/>
  <c r="G50" i="1" s="1"/>
  <c r="D53" i="1"/>
  <c r="S7" i="1"/>
  <c r="D51" i="1"/>
  <c r="S5" i="1"/>
  <c r="D49" i="1"/>
  <c r="S3" i="1"/>
  <c r="D60" i="1"/>
  <c r="S14" i="1"/>
  <c r="S13" i="1"/>
  <c r="D59" i="1"/>
  <c r="D57" i="1"/>
  <c r="S11" i="1"/>
  <c r="D54" i="1"/>
  <c r="S8" i="1"/>
  <c r="D58" i="1"/>
  <c r="S12" i="1"/>
  <c r="D55" i="1"/>
  <c r="S9" i="1"/>
  <c r="D56" i="1"/>
  <c r="S10" i="1"/>
  <c r="D52" i="1"/>
  <c r="S6" i="1"/>
  <c r="T6" i="1" l="1"/>
  <c r="G52" i="1" s="1"/>
  <c r="F52" i="1"/>
  <c r="H52" i="1" s="1"/>
  <c r="F59" i="1"/>
  <c r="H59" i="1" s="1"/>
  <c r="T13" i="1"/>
  <c r="G59" i="1" s="1"/>
  <c r="F55" i="1"/>
  <c r="H55" i="1" s="1"/>
  <c r="T9" i="1"/>
  <c r="G55" i="1" s="1"/>
  <c r="T7" i="1"/>
  <c r="G53" i="1" s="1"/>
  <c r="F53" i="1"/>
  <c r="H53" i="1" s="1"/>
  <c r="T14" i="1"/>
  <c r="G60" i="1" s="1"/>
  <c r="F60" i="1"/>
  <c r="H60" i="1" s="1"/>
  <c r="T3" i="1"/>
  <c r="G49" i="1" s="1"/>
  <c r="F49" i="1"/>
  <c r="H49" i="1" s="1"/>
  <c r="F58" i="1"/>
  <c r="H58" i="1" s="1"/>
  <c r="T12" i="1"/>
  <c r="G58" i="1" s="1"/>
  <c r="F57" i="1"/>
  <c r="H57" i="1" s="1"/>
  <c r="T11" i="1"/>
  <c r="G57" i="1" s="1"/>
  <c r="T10" i="1"/>
  <c r="G56" i="1" s="1"/>
  <c r="F56" i="1"/>
  <c r="H56" i="1" s="1"/>
  <c r="T5" i="1"/>
  <c r="G51" i="1" s="1"/>
  <c r="F51" i="1"/>
  <c r="H51" i="1" s="1"/>
  <c r="F54" i="1"/>
  <c r="H54" i="1" s="1"/>
  <c r="T8" i="1"/>
  <c r="G54" i="1" s="1"/>
</calcChain>
</file>

<file path=xl/sharedStrings.xml><?xml version="1.0" encoding="utf-8"?>
<sst xmlns="http://schemas.openxmlformats.org/spreadsheetml/2006/main" count="16212" uniqueCount="2009">
  <si>
    <t>Years</t>
  </si>
  <si>
    <t>Regions</t>
  </si>
  <si>
    <t>Categories</t>
  </si>
  <si>
    <t>Channels</t>
  </si>
  <si>
    <t>All</t>
  </si>
  <si>
    <t>UK</t>
  </si>
  <si>
    <t>Technology</t>
  </si>
  <si>
    <t>Online</t>
  </si>
  <si>
    <t>Europe</t>
  </si>
  <si>
    <t>Office Supplies</t>
  </si>
  <si>
    <t>Retail</t>
  </si>
  <si>
    <t>North America</t>
  </si>
  <si>
    <t>Furniture</t>
  </si>
  <si>
    <t>Wholesale</t>
  </si>
  <si>
    <t>Asia Pacific</t>
  </si>
  <si>
    <t>Order ID</t>
  </si>
  <si>
    <t>Year</t>
  </si>
  <si>
    <t>Date</t>
  </si>
  <si>
    <t>Month No</t>
  </si>
  <si>
    <t>Month</t>
  </si>
  <si>
    <t>Region</t>
  </si>
  <si>
    <t>Category</t>
  </si>
  <si>
    <t>Channel</t>
  </si>
  <si>
    <t>Budget Revenue</t>
  </si>
  <si>
    <t>Product</t>
  </si>
  <si>
    <t>Selected</t>
  </si>
  <si>
    <t>Customer</t>
  </si>
  <si>
    <t>Units</t>
  </si>
  <si>
    <t>Unit Price</t>
  </si>
  <si>
    <t>Revenue</t>
  </si>
  <si>
    <t>Jan</t>
  </si>
  <si>
    <t>Cost</t>
  </si>
  <si>
    <t>Profit</t>
  </si>
  <si>
    <t>ORD-100001</t>
  </si>
  <si>
    <t>Jun</t>
  </si>
  <si>
    <t>Printer Paper</t>
  </si>
  <si>
    <t>Excel Portfolio — Interactive Sales Performance Dashboard</t>
  </si>
  <si>
    <t>Customer 065</t>
  </si>
  <si>
    <t>Project Goal</t>
  </si>
  <si>
    <t>Interactive executive dashboard comparing sales performance with budget.</t>
  </si>
  <si>
    <t>Filters</t>
  </si>
  <si>
    <t>Year, Region, Category and Channel.</t>
  </si>
  <si>
    <t>KPIs</t>
  </si>
  <si>
    <t>Revenue, Profit, Margin, Orders, AOV and Budget Variance.</t>
  </si>
  <si>
    <t>Excel Skills</t>
  </si>
  <si>
    <t>SUMIFS, COUNTIFS, IFERROR, tables, data validation and conditional formatting.</t>
  </si>
  <si>
    <t>Visuals</t>
  </si>
  <si>
    <t>Monthly Actual vs Budget, Region, Category, Channel and Product performance.</t>
  </si>
  <si>
    <t>Dataset</t>
  </si>
  <si>
    <t>Usage</t>
  </si>
  <si>
    <t>Open Dashboard and change the four dropdown filters in row 4.</t>
  </si>
  <si>
    <t>Portfolio Focus</t>
  </si>
  <si>
    <t>Excel dashboarding, KPI design and commercial analysis.</t>
  </si>
  <si>
    <t>ORD-100002</t>
  </si>
  <si>
    <t>Wireless Headphones</t>
  </si>
  <si>
    <t>Customer 030</t>
  </si>
  <si>
    <t>ORD-100003</t>
  </si>
  <si>
    <t>Dec</t>
  </si>
  <si>
    <t>Desk Lamp</t>
  </si>
  <si>
    <t>Customer 048</t>
  </si>
  <si>
    <t>ORD-100004</t>
  </si>
  <si>
    <t>Customer 020</t>
  </si>
  <si>
    <t>ORD-100005</t>
  </si>
  <si>
    <t>Jul</t>
  </si>
  <si>
    <t>Notebook Set</t>
  </si>
  <si>
    <t>Customer 098</t>
  </si>
  <si>
    <t>ORD-100006</t>
  </si>
  <si>
    <t>Aug</t>
  </si>
  <si>
    <t>Customer 069</t>
  </si>
  <si>
    <t>ORD-100007</t>
  </si>
  <si>
    <t>Feb</t>
  </si>
  <si>
    <t>Filing Box</t>
  </si>
  <si>
    <t>Customer 071</t>
  </si>
  <si>
    <t>SALES DASHBOARD</t>
  </si>
  <si>
    <t>£</t>
  </si>
  <si>
    <t>#</t>
  </si>
  <si>
    <t>▲</t>
  </si>
  <si>
    <t>%</t>
  </si>
  <si>
    <t>ORD-100008</t>
  </si>
  <si>
    <t>Sep</t>
  </si>
  <si>
    <t>Mechanical Keyboard</t>
  </si>
  <si>
    <t>Customer 045</t>
  </si>
  <si>
    <t>ORD-100009</t>
  </si>
  <si>
    <t>Budget</t>
  </si>
  <si>
    <t>Variance</t>
  </si>
  <si>
    <t>Variance %</t>
  </si>
  <si>
    <t>Bookshelf</t>
  </si>
  <si>
    <t>Customer 021</t>
  </si>
  <si>
    <t>ORD-100010</t>
  </si>
  <si>
    <t>Nov</t>
  </si>
  <si>
    <t>Evaluating Sales Performance</t>
  </si>
  <si>
    <t>TOTAL REVENUE</t>
  </si>
  <si>
    <t>Standing Desk</t>
  </si>
  <si>
    <t>TOTAL ORDERS</t>
  </si>
  <si>
    <t>Customer 032</t>
  </si>
  <si>
    <t>TOTAL PROFIT</t>
  </si>
  <si>
    <t>MARGIN</t>
  </si>
  <si>
    <t>ORD-100011</t>
  </si>
  <si>
    <t>Webcam</t>
  </si>
  <si>
    <t>Customer 034</t>
  </si>
  <si>
    <t>Mar</t>
  </si>
  <si>
    <t>ORD-100012</t>
  </si>
  <si>
    <t>FILTER PANEL</t>
  </si>
  <si>
    <t>MONTHLY SALES PERFORMANCE</t>
  </si>
  <si>
    <t>Customer 096</t>
  </si>
  <si>
    <t>SALES BY CATEGORY</t>
  </si>
  <si>
    <t>Apr</t>
  </si>
  <si>
    <t>ORD-100013</t>
  </si>
  <si>
    <t>May</t>
  </si>
  <si>
    <t>ORD-100014</t>
  </si>
  <si>
    <t>Executive Pens</t>
  </si>
  <si>
    <t>Customer 088</t>
  </si>
  <si>
    <t>YEAR</t>
  </si>
  <si>
    <t>ORD-100015</t>
  </si>
  <si>
    <t>Portable Charger</t>
  </si>
  <si>
    <t>Customer 052</t>
  </si>
  <si>
    <t>Margin %</t>
  </si>
  <si>
    <t>ORD-100016</t>
  </si>
  <si>
    <t>Customer 084</t>
  </si>
  <si>
    <t>ORD-100017</t>
  </si>
  <si>
    <t>Oct</t>
  </si>
  <si>
    <t>Customer 097</t>
  </si>
  <si>
    <t>ORD-100018</t>
  </si>
  <si>
    <t>REGION</t>
  </si>
  <si>
    <t>Office Chair</t>
  </si>
  <si>
    <t>Customer 023</t>
  </si>
  <si>
    <t>ORD-100019</t>
  </si>
  <si>
    <t>Storage Cabinet</t>
  </si>
  <si>
    <t>Customer 038</t>
  </si>
  <si>
    <t>Share</t>
  </si>
  <si>
    <t>ORD-100020</t>
  </si>
  <si>
    <t>Customer 040</t>
  </si>
  <si>
    <t>CHANNEL</t>
  </si>
  <si>
    <t>ORD-100021</t>
  </si>
  <si>
    <t>Customer 085</t>
  </si>
  <si>
    <t>↻  CLEAR / RESET
Set all filters to All</t>
  </si>
  <si>
    <t>Smart Speaker</t>
  </si>
  <si>
    <t>SALES BY REGION</t>
  </si>
  <si>
    <t>SALES BY CHANNEL</t>
  </si>
  <si>
    <t>COMMERCIAL KPIs</t>
  </si>
  <si>
    <t>ORD-100022</t>
  </si>
  <si>
    <t>BUDGET VARIANCE</t>
  </si>
  <si>
    <t>Desk Organiser</t>
  </si>
  <si>
    <t>ORD-100023</t>
  </si>
  <si>
    <t>Customer 076</t>
  </si>
  <si>
    <t>ORD-100024</t>
  </si>
  <si>
    <t>Customer 005</t>
  </si>
  <si>
    <t>ORD-100025</t>
  </si>
  <si>
    <t>AVG ORDER VALUE</t>
  </si>
  <si>
    <t>Customer 078</t>
  </si>
  <si>
    <t>MONTHLY VARIANCE</t>
  </si>
  <si>
    <t>ORD-100026</t>
  </si>
  <si>
    <t>PRODUCT PERFORMANCE</t>
  </si>
  <si>
    <t>Customer 092</t>
  </si>
  <si>
    <t>Actual</t>
  </si>
  <si>
    <t>Var %</t>
  </si>
  <si>
    <t>Status</t>
  </si>
  <si>
    <t>ORD-100027</t>
  </si>
  <si>
    <t>ORD-100028</t>
  </si>
  <si>
    <t>Customer 004</t>
  </si>
  <si>
    <t>ORD-100029</t>
  </si>
  <si>
    <t>EXCEL SKILLS
SUMIFS • COUNTIFS
IFERROR • Data Validation
Conditional Formatting • Charts</t>
  </si>
  <si>
    <t>Customer 060</t>
  </si>
  <si>
    <t>ORD-100030</t>
  </si>
  <si>
    <t>Customer 028</t>
  </si>
  <si>
    <t>ORD-100031</t>
  </si>
  <si>
    <t>Customer 031</t>
  </si>
  <si>
    <t>ORD-100032</t>
  </si>
  <si>
    <t>Customer 074</t>
  </si>
  <si>
    <t>ORD-100033</t>
  </si>
  <si>
    <t>Customer 075</t>
  </si>
  <si>
    <t>ORD-100034</t>
  </si>
  <si>
    <t>ORD-100035</t>
  </si>
  <si>
    <t>ORD-100036</t>
  </si>
  <si>
    <t>Customer 008</t>
  </si>
  <si>
    <t>ORD-100037</t>
  </si>
  <si>
    <t>ORD-100038</t>
  </si>
  <si>
    <t>Customer 006</t>
  </si>
  <si>
    <t>ORD-100039</t>
  </si>
  <si>
    <t>Customer 003</t>
  </si>
  <si>
    <t>ORD-100040</t>
  </si>
  <si>
    <t>Customer 090</t>
  </si>
  <si>
    <t>ORD-100041</t>
  </si>
  <si>
    <t>ORD-100042</t>
  </si>
  <si>
    <t>Customer 047</t>
  </si>
  <si>
    <t>ORD-100043</t>
  </si>
  <si>
    <t>Customer 055</t>
  </si>
  <si>
    <t>ORD-100044</t>
  </si>
  <si>
    <t>ORD-100045</t>
  </si>
  <si>
    <t>Customer 024</t>
  </si>
  <si>
    <t>ORD-100046</t>
  </si>
  <si>
    <t>Customer 044</t>
  </si>
  <si>
    <t>ORD-100047</t>
  </si>
  <si>
    <t>Customer 026</t>
  </si>
  <si>
    <t>ORD-100048</t>
  </si>
  <si>
    <t>Customer 064</t>
  </si>
  <si>
    <t>ORD-100049</t>
  </si>
  <si>
    <t>ORD-100050</t>
  </si>
  <si>
    <t>ORD-100051</t>
  </si>
  <si>
    <t>Customer 099</t>
  </si>
  <si>
    <t>ORD-100052</t>
  </si>
  <si>
    <t>ORD-100053</t>
  </si>
  <si>
    <t>Customer 091</t>
  </si>
  <si>
    <t>ORD-100054</t>
  </si>
  <si>
    <t>ORD-100055</t>
  </si>
  <si>
    <t>Customer 029</t>
  </si>
  <si>
    <t>ORD-100056</t>
  </si>
  <si>
    <t>Customer 059</t>
  </si>
  <si>
    <t>ORD-100057</t>
  </si>
  <si>
    <t>Customer 081</t>
  </si>
  <si>
    <t>ORD-100058</t>
  </si>
  <si>
    <t>Customer 067</t>
  </si>
  <si>
    <t>ORD-100059</t>
  </si>
  <si>
    <t>ORD-100060</t>
  </si>
  <si>
    <t>Customer 061</t>
  </si>
  <si>
    <t>ORD-100061</t>
  </si>
  <si>
    <t>Customer 007</t>
  </si>
  <si>
    <t>ORD-100062</t>
  </si>
  <si>
    <t>Customer 015</t>
  </si>
  <si>
    <t>ORD-100063</t>
  </si>
  <si>
    <t>ORD-100064</t>
  </si>
  <si>
    <t>ORD-100065</t>
  </si>
  <si>
    <t>ORD-100066</t>
  </si>
  <si>
    <t>ORD-100067</t>
  </si>
  <si>
    <t>ORD-100068</t>
  </si>
  <si>
    <t>ORD-100069</t>
  </si>
  <si>
    <t>Customer 049</t>
  </si>
  <si>
    <t>ORD-100070</t>
  </si>
  <si>
    <t>ORD-100071</t>
  </si>
  <si>
    <t>ORD-100072</t>
  </si>
  <si>
    <t>Customer 036</t>
  </si>
  <si>
    <t>ORD-100073</t>
  </si>
  <si>
    <t>Customer 068</t>
  </si>
  <si>
    <t>ORD-100074</t>
  </si>
  <si>
    <t>ORD-100075</t>
  </si>
  <si>
    <t>Customer 042</t>
  </si>
  <si>
    <t>ORD-100076</t>
  </si>
  <si>
    <t>ORD-100077</t>
  </si>
  <si>
    <t>ORD-100078</t>
  </si>
  <si>
    <t>ORD-100079</t>
  </si>
  <si>
    <t>Customer 001</t>
  </si>
  <si>
    <t>ORD-100080</t>
  </si>
  <si>
    <t>ORD-100081</t>
  </si>
  <si>
    <t>ORD-100082</t>
  </si>
  <si>
    <t>ORD-100083</t>
  </si>
  <si>
    <t>ORD-100084</t>
  </si>
  <si>
    <t>ORD-100085</t>
  </si>
  <si>
    <t>Customer 009</t>
  </si>
  <si>
    <t>ORD-100086</t>
  </si>
  <si>
    <t>Customer 056</t>
  </si>
  <si>
    <t>ORD-100087</t>
  </si>
  <si>
    <t>ORD-100088</t>
  </si>
  <si>
    <t>ORD-100089</t>
  </si>
  <si>
    <t>ORD-100090</t>
  </si>
  <si>
    <t>ORD-100091</t>
  </si>
  <si>
    <t>Customer 039</t>
  </si>
  <si>
    <t>ORD-100092</t>
  </si>
  <si>
    <t>Customer 050</t>
  </si>
  <si>
    <t>ORD-100093</t>
  </si>
  <si>
    <t>Customer 094</t>
  </si>
  <si>
    <t>ORD-100094</t>
  </si>
  <si>
    <t>Customer 051</t>
  </si>
  <si>
    <t>ORD-100095</t>
  </si>
  <si>
    <t>Customer 095</t>
  </si>
  <si>
    <t>ORD-100096</t>
  </si>
  <si>
    <t>ORD-100097</t>
  </si>
  <si>
    <t>ORD-100098</t>
  </si>
  <si>
    <t>ORD-100099</t>
  </si>
  <si>
    <t>Customer 014</t>
  </si>
  <si>
    <t>ORD-100100</t>
  </si>
  <si>
    <t>Customer 054</t>
  </si>
  <si>
    <t>ORD-100101</t>
  </si>
  <si>
    <t>ORD-100102</t>
  </si>
  <si>
    <t>ORD-100103</t>
  </si>
  <si>
    <t>ORD-100104</t>
  </si>
  <si>
    <t>ORD-100105</t>
  </si>
  <si>
    <t>Customer 079</t>
  </si>
  <si>
    <t>ORD-100106</t>
  </si>
  <si>
    <t>ORD-100107</t>
  </si>
  <si>
    <t>ORD-100108</t>
  </si>
  <si>
    <t>Customer 010</t>
  </si>
  <si>
    <t>ORD-100109</t>
  </si>
  <si>
    <t>ORD-100110</t>
  </si>
  <si>
    <t>ORD-100111</t>
  </si>
  <si>
    <t>ORD-100112</t>
  </si>
  <si>
    <t>Customer 002</t>
  </si>
  <si>
    <t>ORD-100113</t>
  </si>
  <si>
    <t>ORD-100114</t>
  </si>
  <si>
    <t>ORD-100115</t>
  </si>
  <si>
    <t>Customer 043</t>
  </si>
  <si>
    <t>ORD-100116</t>
  </si>
  <si>
    <t>ORD-100117</t>
  </si>
  <si>
    <t>Customer 058</t>
  </si>
  <si>
    <t>ORD-100118</t>
  </si>
  <si>
    <t>ORD-100119</t>
  </si>
  <si>
    <t>ORD-100120</t>
  </si>
  <si>
    <t>ORD-100121</t>
  </si>
  <si>
    <t>Customer 073</t>
  </si>
  <si>
    <t>ORD-100122</t>
  </si>
  <si>
    <t>Customer 018</t>
  </si>
  <si>
    <t>ORD-100123</t>
  </si>
  <si>
    <t>Customer 066</t>
  </si>
  <si>
    <t>ORD-100124</t>
  </si>
  <si>
    <t>ORD-100125</t>
  </si>
  <si>
    <t>ORD-100126</t>
  </si>
  <si>
    <t>ORD-100127</t>
  </si>
  <si>
    <t>ORD-100128</t>
  </si>
  <si>
    <t>ORD-100129</t>
  </si>
  <si>
    <t>ORD-100130</t>
  </si>
  <si>
    <t>ORD-100131</t>
  </si>
  <si>
    <t>ORD-100132</t>
  </si>
  <si>
    <t>Customer 070</t>
  </si>
  <si>
    <t>ORD-100133</t>
  </si>
  <si>
    <t>ORD-100134</t>
  </si>
  <si>
    <t>Customer 080</t>
  </si>
  <si>
    <t>ORD-100135</t>
  </si>
  <si>
    <t>ORD-100136</t>
  </si>
  <si>
    <t>Customer 017</t>
  </si>
  <si>
    <t>ORD-100137</t>
  </si>
  <si>
    <t>Customer 027</t>
  </si>
  <si>
    <t>ORD-100138</t>
  </si>
  <si>
    <t>Customer 063</t>
  </si>
  <si>
    <t>ORD-100139</t>
  </si>
  <si>
    <t>ORD-100140</t>
  </si>
  <si>
    <t>ORD-100141</t>
  </si>
  <si>
    <t>ORD-100142</t>
  </si>
  <si>
    <t>Customer 089</t>
  </si>
  <si>
    <t>ORD-100143</t>
  </si>
  <si>
    <t>ORD-100144</t>
  </si>
  <si>
    <t>ORD-100145</t>
  </si>
  <si>
    <t>ORD-100146</t>
  </si>
  <si>
    <t>ORD-100147</t>
  </si>
  <si>
    <t>ORD-100148</t>
  </si>
  <si>
    <t>Customer 022</t>
  </si>
  <si>
    <t>ORD-100149</t>
  </si>
  <si>
    <t>ORD-100150</t>
  </si>
  <si>
    <t>Customer 072</t>
  </si>
  <si>
    <t>ORD-100151</t>
  </si>
  <si>
    <t>ORD-100152</t>
  </si>
  <si>
    <t>ORD-100153</t>
  </si>
  <si>
    <t>ORD-100154</t>
  </si>
  <si>
    <t>ORD-100155</t>
  </si>
  <si>
    <t>ORD-100156</t>
  </si>
  <si>
    <t>ORD-100157</t>
  </si>
  <si>
    <t>Customer 035</t>
  </si>
  <si>
    <t>ORD-100158</t>
  </si>
  <si>
    <t>Customer 053</t>
  </si>
  <si>
    <t>ORD-100159</t>
  </si>
  <si>
    <t>Customer 013</t>
  </si>
  <si>
    <t>ORD-100160</t>
  </si>
  <si>
    <t>ORD-100161</t>
  </si>
  <si>
    <t>ORD-100162</t>
  </si>
  <si>
    <t>ORD-100163</t>
  </si>
  <si>
    <t>ORD-100164</t>
  </si>
  <si>
    <t>ORD-100165</t>
  </si>
  <si>
    <t>ORD-100166</t>
  </si>
  <si>
    <t>ORD-100167</t>
  </si>
  <si>
    <t>ORD-100168</t>
  </si>
  <si>
    <t>ORD-100169</t>
  </si>
  <si>
    <t>ORD-100170</t>
  </si>
  <si>
    <t>Customer 077</t>
  </si>
  <si>
    <t>ORD-100171</t>
  </si>
  <si>
    <t>Customer 025</t>
  </si>
  <si>
    <t>ORD-100172</t>
  </si>
  <si>
    <t>ORD-100173</t>
  </si>
  <si>
    <t>ORD-100174</t>
  </si>
  <si>
    <t>ORD-100175</t>
  </si>
  <si>
    <t>ORD-100176</t>
  </si>
  <si>
    <t>ORD-100177</t>
  </si>
  <si>
    <t>ORD-100178</t>
  </si>
  <si>
    <t>ORD-100179</t>
  </si>
  <si>
    <t>Customer 093</t>
  </si>
  <si>
    <t>ORD-100180</t>
  </si>
  <si>
    <t>Customer 087</t>
  </si>
  <si>
    <t>ORD-100181</t>
  </si>
  <si>
    <t>ORD-100182</t>
  </si>
  <si>
    <t>ORD-100183</t>
  </si>
  <si>
    <t>ORD-100184</t>
  </si>
  <si>
    <t>ORD-100185</t>
  </si>
  <si>
    <t>Customer 037</t>
  </si>
  <si>
    <t>ORD-100186</t>
  </si>
  <si>
    <t>Customer 100</t>
  </si>
  <si>
    <t>ORD-100187</t>
  </si>
  <si>
    <t>ORD-100188</t>
  </si>
  <si>
    <t>ORD-100189</t>
  </si>
  <si>
    <t>ORD-100190</t>
  </si>
  <si>
    <t>ORD-100191</t>
  </si>
  <si>
    <t>ORD-100192</t>
  </si>
  <si>
    <t>ORD-100193</t>
  </si>
  <si>
    <t>ORD-100194</t>
  </si>
  <si>
    <t>ORD-100195</t>
  </si>
  <si>
    <t>ORD-100196</t>
  </si>
  <si>
    <t>ORD-100197</t>
  </si>
  <si>
    <t>Customer 016</t>
  </si>
  <si>
    <t>ORD-100198</t>
  </si>
  <si>
    <t>ORD-100199</t>
  </si>
  <si>
    <t>ORD-100200</t>
  </si>
  <si>
    <t>ORD-100201</t>
  </si>
  <si>
    <t>ORD-100202</t>
  </si>
  <si>
    <t>ORD-100203</t>
  </si>
  <si>
    <t>ORD-100204</t>
  </si>
  <si>
    <t>ORD-100205</t>
  </si>
  <si>
    <t>Customer 057</t>
  </si>
  <si>
    <t>ORD-100206</t>
  </si>
  <si>
    <t>ORD-100207</t>
  </si>
  <si>
    <t>ORD-100208</t>
  </si>
  <si>
    <t>ORD-100209</t>
  </si>
  <si>
    <t>Customer 062</t>
  </si>
  <si>
    <t>ORD-100210</t>
  </si>
  <si>
    <t>ORD-100211</t>
  </si>
  <si>
    <t>ORD-100212</t>
  </si>
  <si>
    <t>ORD-100213</t>
  </si>
  <si>
    <t>ORD-100214</t>
  </si>
  <si>
    <t>ORD-100215</t>
  </si>
  <si>
    <t>ORD-100216</t>
  </si>
  <si>
    <t>ORD-100217</t>
  </si>
  <si>
    <t>ORD-100218</t>
  </si>
  <si>
    <t>Customer 083</t>
  </si>
  <si>
    <t>ORD-100219</t>
  </si>
  <si>
    <t>ORD-100220</t>
  </si>
  <si>
    <t>Customer 012</t>
  </si>
  <si>
    <t>ORD-100221</t>
  </si>
  <si>
    <t>ORD-100222</t>
  </si>
  <si>
    <t>ORD-100223</t>
  </si>
  <si>
    <t>ORD-100224</t>
  </si>
  <si>
    <t>ORD-100225</t>
  </si>
  <si>
    <t>ORD-100226</t>
  </si>
  <si>
    <t>ORD-100227</t>
  </si>
  <si>
    <t>ORD-100228</t>
  </si>
  <si>
    <t>ORD-100229</t>
  </si>
  <si>
    <t>ORD-100230</t>
  </si>
  <si>
    <t>ORD-100231</t>
  </si>
  <si>
    <t>ORD-100232</t>
  </si>
  <si>
    <t>ORD-100233</t>
  </si>
  <si>
    <t>ORD-100234</t>
  </si>
  <si>
    <t>ORD-100235</t>
  </si>
  <si>
    <t>ORD-100236</t>
  </si>
  <si>
    <t>ORD-100237</t>
  </si>
  <si>
    <t>ORD-100238</t>
  </si>
  <si>
    <t>ORD-100239</t>
  </si>
  <si>
    <t>ORD-100240</t>
  </si>
  <si>
    <t>ORD-100241</t>
  </si>
  <si>
    <t>ORD-100242</t>
  </si>
  <si>
    <t>ORD-100243</t>
  </si>
  <si>
    <t>ORD-100244</t>
  </si>
  <si>
    <t>ORD-100245</t>
  </si>
  <si>
    <t>ORD-100246</t>
  </si>
  <si>
    <t>ORD-100247</t>
  </si>
  <si>
    <t>ORD-100248</t>
  </si>
  <si>
    <t>ORD-100249</t>
  </si>
  <si>
    <t>ORD-100250</t>
  </si>
  <si>
    <t>ORD-100251</t>
  </si>
  <si>
    <t>ORD-100252</t>
  </si>
  <si>
    <t>ORD-100253</t>
  </si>
  <si>
    <t>ORD-100254</t>
  </si>
  <si>
    <t>Customer 086</t>
  </si>
  <si>
    <t>ORD-100255</t>
  </si>
  <si>
    <t>ORD-100256</t>
  </si>
  <si>
    <t>ORD-100257</t>
  </si>
  <si>
    <t>ORD-100258</t>
  </si>
  <si>
    <t>Customer 041</t>
  </si>
  <si>
    <t>ORD-100259</t>
  </si>
  <si>
    <t>ORD-100260</t>
  </si>
  <si>
    <t>ORD-100261</t>
  </si>
  <si>
    <t>ORD-100262</t>
  </si>
  <si>
    <t>ORD-100263</t>
  </si>
  <si>
    <t>ORD-100264</t>
  </si>
  <si>
    <t>ORD-100265</t>
  </si>
  <si>
    <t>ORD-100266</t>
  </si>
  <si>
    <t>ORD-100267</t>
  </si>
  <si>
    <t>ORD-100268</t>
  </si>
  <si>
    <t>ORD-100269</t>
  </si>
  <si>
    <t>ORD-100270</t>
  </si>
  <si>
    <t>ORD-100271</t>
  </si>
  <si>
    <t>ORD-100272</t>
  </si>
  <si>
    <t>ORD-100273</t>
  </si>
  <si>
    <t>ORD-100274</t>
  </si>
  <si>
    <t>ORD-100275</t>
  </si>
  <si>
    <t>ORD-100276</t>
  </si>
  <si>
    <t>ORD-100277</t>
  </si>
  <si>
    <t>ORD-100278</t>
  </si>
  <si>
    <t>ORD-100279</t>
  </si>
  <si>
    <t>ORD-100280</t>
  </si>
  <si>
    <t>ORD-100281</t>
  </si>
  <si>
    <t>ORD-100282</t>
  </si>
  <si>
    <t>Customer 033</t>
  </si>
  <si>
    <t>ORD-100283</t>
  </si>
  <si>
    <t>ORD-100284</t>
  </si>
  <si>
    <t>ORD-100285</t>
  </si>
  <si>
    <t>ORD-100286</t>
  </si>
  <si>
    <t>ORD-100287</t>
  </si>
  <si>
    <t>Customer 011</t>
  </si>
  <si>
    <t>ORD-100288</t>
  </si>
  <si>
    <t>ORD-100289</t>
  </si>
  <si>
    <t>Customer 019</t>
  </si>
  <si>
    <t>ORD-100290</t>
  </si>
  <si>
    <t>ORD-100291</t>
  </si>
  <si>
    <t>ORD-100292</t>
  </si>
  <si>
    <t>ORD-100293</t>
  </si>
  <si>
    <t>ORD-100294</t>
  </si>
  <si>
    <t>ORD-100295</t>
  </si>
  <si>
    <t>ORD-100296</t>
  </si>
  <si>
    <t>ORD-100297</t>
  </si>
  <si>
    <t>ORD-100298</t>
  </si>
  <si>
    <t>ORD-100299</t>
  </si>
  <si>
    <t>ORD-100300</t>
  </si>
  <si>
    <t>ORD-100301</t>
  </si>
  <si>
    <t>ORD-100302</t>
  </si>
  <si>
    <t>ORD-100303</t>
  </si>
  <si>
    <t>ORD-100304</t>
  </si>
  <si>
    <t>ORD-100305</t>
  </si>
  <si>
    <t>ORD-100306</t>
  </si>
  <si>
    <t>ORD-100307</t>
  </si>
  <si>
    <t>ORD-100308</t>
  </si>
  <si>
    <t>ORD-100309</t>
  </si>
  <si>
    <t>ORD-100310</t>
  </si>
  <si>
    <t>ORD-100311</t>
  </si>
  <si>
    <t>ORD-100312</t>
  </si>
  <si>
    <t>ORD-100313</t>
  </si>
  <si>
    <t>ORD-100314</t>
  </si>
  <si>
    <t>ORD-100315</t>
  </si>
  <si>
    <t>ORD-100316</t>
  </si>
  <si>
    <t>ORD-100317</t>
  </si>
  <si>
    <t>ORD-100318</t>
  </si>
  <si>
    <t>ORD-100319</t>
  </si>
  <si>
    <t>ORD-100320</t>
  </si>
  <si>
    <t>ORD-100321</t>
  </si>
  <si>
    <t>ORD-100322</t>
  </si>
  <si>
    <t>Customer 046</t>
  </si>
  <si>
    <t>ORD-100323</t>
  </si>
  <si>
    <t>ORD-100324</t>
  </si>
  <si>
    <t>ORD-100325</t>
  </si>
  <si>
    <t>Customer 082</t>
  </si>
  <si>
    <t>ORD-100326</t>
  </si>
  <si>
    <t>ORD-100327</t>
  </si>
  <si>
    <t>ORD-100328</t>
  </si>
  <si>
    <t>ORD-100329</t>
  </si>
  <si>
    <t>ORD-100330</t>
  </si>
  <si>
    <t>ORD-100331</t>
  </si>
  <si>
    <t>ORD-100332</t>
  </si>
  <si>
    <t>ORD-100333</t>
  </si>
  <si>
    <t>ORD-100334</t>
  </si>
  <si>
    <t>ORD-100335</t>
  </si>
  <si>
    <t>ORD-100336</t>
  </si>
  <si>
    <t>ORD-100337</t>
  </si>
  <si>
    <t>ORD-100338</t>
  </si>
  <si>
    <t>ORD-100339</t>
  </si>
  <si>
    <t>ORD-100340</t>
  </si>
  <si>
    <t>ORD-100341</t>
  </si>
  <si>
    <t>ORD-100342</t>
  </si>
  <si>
    <t>ORD-100343</t>
  </si>
  <si>
    <t>ORD-100344</t>
  </si>
  <si>
    <t>ORD-100345</t>
  </si>
  <si>
    <t>ORD-100346</t>
  </si>
  <si>
    <t>ORD-100347</t>
  </si>
  <si>
    <t>ORD-100348</t>
  </si>
  <si>
    <t>ORD-100349</t>
  </si>
  <si>
    <t>ORD-100350</t>
  </si>
  <si>
    <t>ORD-100351</t>
  </si>
  <si>
    <t>ORD-100352</t>
  </si>
  <si>
    <t>ORD-100353</t>
  </si>
  <si>
    <t>ORD-100354</t>
  </si>
  <si>
    <t>ORD-100355</t>
  </si>
  <si>
    <t>ORD-100356</t>
  </si>
  <si>
    <t>ORD-100357</t>
  </si>
  <si>
    <t>ORD-100358</t>
  </si>
  <si>
    <t>ORD-100359</t>
  </si>
  <si>
    <t>ORD-100360</t>
  </si>
  <si>
    <t>ORD-100361</t>
  </si>
  <si>
    <t>ORD-100362</t>
  </si>
  <si>
    <t>ORD-100363</t>
  </si>
  <si>
    <t>ORD-100364</t>
  </si>
  <si>
    <t>ORD-100365</t>
  </si>
  <si>
    <t>ORD-100366</t>
  </si>
  <si>
    <t>ORD-100367</t>
  </si>
  <si>
    <t>ORD-100368</t>
  </si>
  <si>
    <t>ORD-100369</t>
  </si>
  <si>
    <t>ORD-100370</t>
  </si>
  <si>
    <t>ORD-100371</t>
  </si>
  <si>
    <t>ORD-100372</t>
  </si>
  <si>
    <t>ORD-100373</t>
  </si>
  <si>
    <t>ORD-100374</t>
  </si>
  <si>
    <t>ORD-100375</t>
  </si>
  <si>
    <t>ORD-100376</t>
  </si>
  <si>
    <t>ORD-100377</t>
  </si>
  <si>
    <t>ORD-100378</t>
  </si>
  <si>
    <t>ORD-100379</t>
  </si>
  <si>
    <t>ORD-100380</t>
  </si>
  <si>
    <t>ORD-100381</t>
  </si>
  <si>
    <t>ORD-100382</t>
  </si>
  <si>
    <t>ORD-100383</t>
  </si>
  <si>
    <t>ORD-100384</t>
  </si>
  <si>
    <t>ORD-100385</t>
  </si>
  <si>
    <t>ORD-100386</t>
  </si>
  <si>
    <t>ORD-100387</t>
  </si>
  <si>
    <t>ORD-100388</t>
  </si>
  <si>
    <t>ORD-100389</t>
  </si>
  <si>
    <t>ORD-100390</t>
  </si>
  <si>
    <t>ORD-100391</t>
  </si>
  <si>
    <t>ORD-100392</t>
  </si>
  <si>
    <t>ORD-100393</t>
  </si>
  <si>
    <t>ORD-100394</t>
  </si>
  <si>
    <t>ORD-100395</t>
  </si>
  <si>
    <t>ORD-100396</t>
  </si>
  <si>
    <t>ORD-100397</t>
  </si>
  <si>
    <t>ORD-100398</t>
  </si>
  <si>
    <t>ORD-100399</t>
  </si>
  <si>
    <t>ORD-100400</t>
  </si>
  <si>
    <t>ORD-100401</t>
  </si>
  <si>
    <t>ORD-100402</t>
  </si>
  <si>
    <t>ORD-100403</t>
  </si>
  <si>
    <t>ORD-100404</t>
  </si>
  <si>
    <t>ORD-100405</t>
  </si>
  <si>
    <t>ORD-100406</t>
  </si>
  <si>
    <t>ORD-100407</t>
  </si>
  <si>
    <t>ORD-100408</t>
  </si>
  <si>
    <t>ORD-100409</t>
  </si>
  <si>
    <t>ORD-100410</t>
  </si>
  <si>
    <t>ORD-100411</t>
  </si>
  <si>
    <t>ORD-100412</t>
  </si>
  <si>
    <t>ORD-100413</t>
  </si>
  <si>
    <t>ORD-100414</t>
  </si>
  <si>
    <t>ORD-100415</t>
  </si>
  <si>
    <t>ORD-100416</t>
  </si>
  <si>
    <t>ORD-100417</t>
  </si>
  <si>
    <t>ORD-100418</t>
  </si>
  <si>
    <t>ORD-100419</t>
  </si>
  <si>
    <t>ORD-100420</t>
  </si>
  <si>
    <t>ORD-100421</t>
  </si>
  <si>
    <t>ORD-100422</t>
  </si>
  <si>
    <t>ORD-100423</t>
  </si>
  <si>
    <t>ORD-100424</t>
  </si>
  <si>
    <t>ORD-100425</t>
  </si>
  <si>
    <t>ORD-100426</t>
  </si>
  <si>
    <t>ORD-100427</t>
  </si>
  <si>
    <t>ORD-100428</t>
  </si>
  <si>
    <t>ORD-100429</t>
  </si>
  <si>
    <t>ORD-100430</t>
  </si>
  <si>
    <t>ORD-100431</t>
  </si>
  <si>
    <t>ORD-100432</t>
  </si>
  <si>
    <t>ORD-100433</t>
  </si>
  <si>
    <t>ORD-100434</t>
  </si>
  <si>
    <t>ORD-100435</t>
  </si>
  <si>
    <t>ORD-100436</t>
  </si>
  <si>
    <t>ORD-100437</t>
  </si>
  <si>
    <t>ORD-100438</t>
  </si>
  <si>
    <t>ORD-100439</t>
  </si>
  <si>
    <t>ORD-100440</t>
  </si>
  <si>
    <t>ORD-100441</t>
  </si>
  <si>
    <t>ORD-100442</t>
  </si>
  <si>
    <t>ORD-100443</t>
  </si>
  <si>
    <t>ORD-100444</t>
  </si>
  <si>
    <t>ORD-100445</t>
  </si>
  <si>
    <t>ORD-100446</t>
  </si>
  <si>
    <t>ORD-100447</t>
  </si>
  <si>
    <t>ORD-100448</t>
  </si>
  <si>
    <t>ORD-100449</t>
  </si>
  <si>
    <t>ORD-100450</t>
  </si>
  <si>
    <t>ORD-100451</t>
  </si>
  <si>
    <t>ORD-100452</t>
  </si>
  <si>
    <t>ORD-100453</t>
  </si>
  <si>
    <t>ORD-100454</t>
  </si>
  <si>
    <t>ORD-100455</t>
  </si>
  <si>
    <t>ORD-100456</t>
  </si>
  <si>
    <t>ORD-100457</t>
  </si>
  <si>
    <t>ORD-100458</t>
  </si>
  <si>
    <t>ORD-100459</t>
  </si>
  <si>
    <t>ORD-100460</t>
  </si>
  <si>
    <t>ORD-100461</t>
  </si>
  <si>
    <t>ORD-100462</t>
  </si>
  <si>
    <t>ORD-100463</t>
  </si>
  <si>
    <t>ORD-100464</t>
  </si>
  <si>
    <t>ORD-100465</t>
  </si>
  <si>
    <t>ORD-100466</t>
  </si>
  <si>
    <t>ORD-100467</t>
  </si>
  <si>
    <t>ORD-100468</t>
  </si>
  <si>
    <t>ORD-100469</t>
  </si>
  <si>
    <t>ORD-100470</t>
  </si>
  <si>
    <t>ORD-100471</t>
  </si>
  <si>
    <t>ORD-100472</t>
  </si>
  <si>
    <t>ORD-100473</t>
  </si>
  <si>
    <t>ORD-100474</t>
  </si>
  <si>
    <t>ORD-100475</t>
  </si>
  <si>
    <t>ORD-100476</t>
  </si>
  <si>
    <t>ORD-100477</t>
  </si>
  <si>
    <t>ORD-100478</t>
  </si>
  <si>
    <t>ORD-100479</t>
  </si>
  <si>
    <t>ORD-100480</t>
  </si>
  <si>
    <t>ORD-100481</t>
  </si>
  <si>
    <t>ORD-100482</t>
  </si>
  <si>
    <t>ORD-100483</t>
  </si>
  <si>
    <t>ORD-100484</t>
  </si>
  <si>
    <t>ORD-100485</t>
  </si>
  <si>
    <t>ORD-100486</t>
  </si>
  <si>
    <t>ORD-100487</t>
  </si>
  <si>
    <t>ORD-100488</t>
  </si>
  <si>
    <t>ORD-100489</t>
  </si>
  <si>
    <t>ORD-100490</t>
  </si>
  <si>
    <t>ORD-100491</t>
  </si>
  <si>
    <t>ORD-100492</t>
  </si>
  <si>
    <t>ORD-100493</t>
  </si>
  <si>
    <t>ORD-100494</t>
  </si>
  <si>
    <t>ORD-100495</t>
  </si>
  <si>
    <t>ORD-100496</t>
  </si>
  <si>
    <t>ORD-100497</t>
  </si>
  <si>
    <t>ORD-100498</t>
  </si>
  <si>
    <t>ORD-100499</t>
  </si>
  <si>
    <t>ORD-100500</t>
  </si>
  <si>
    <t>ORD-100501</t>
  </si>
  <si>
    <t>ORD-100502</t>
  </si>
  <si>
    <t>ORD-100503</t>
  </si>
  <si>
    <t>ORD-100504</t>
  </si>
  <si>
    <t>ORD-100505</t>
  </si>
  <si>
    <t>ORD-100506</t>
  </si>
  <si>
    <t>ORD-100507</t>
  </si>
  <si>
    <t>ORD-100508</t>
  </si>
  <si>
    <t>ORD-100509</t>
  </si>
  <si>
    <t>ORD-100510</t>
  </si>
  <si>
    <t>ORD-100511</t>
  </si>
  <si>
    <t>ORD-100512</t>
  </si>
  <si>
    <t>ORD-100513</t>
  </si>
  <si>
    <t>ORD-100514</t>
  </si>
  <si>
    <t>ORD-100515</t>
  </si>
  <si>
    <t>ORD-100516</t>
  </si>
  <si>
    <t>ORD-100517</t>
  </si>
  <si>
    <t>ORD-100518</t>
  </si>
  <si>
    <t>ORD-100519</t>
  </si>
  <si>
    <t>ORD-100520</t>
  </si>
  <si>
    <t>ORD-100521</t>
  </si>
  <si>
    <t>ORD-100522</t>
  </si>
  <si>
    <t>ORD-100523</t>
  </si>
  <si>
    <t>ORD-100524</t>
  </si>
  <si>
    <t>ORD-100525</t>
  </si>
  <si>
    <t>ORD-100526</t>
  </si>
  <si>
    <t>ORD-100527</t>
  </si>
  <si>
    <t>ORD-100528</t>
  </si>
  <si>
    <t>ORD-100529</t>
  </si>
  <si>
    <t>ORD-100530</t>
  </si>
  <si>
    <t>ORD-100531</t>
  </si>
  <si>
    <t>ORD-100532</t>
  </si>
  <si>
    <t>ORD-100533</t>
  </si>
  <si>
    <t>ORD-100534</t>
  </si>
  <si>
    <t>ORD-100535</t>
  </si>
  <si>
    <t>ORD-100536</t>
  </si>
  <si>
    <t>ORD-100537</t>
  </si>
  <si>
    <t>ORD-100538</t>
  </si>
  <si>
    <t>ORD-100539</t>
  </si>
  <si>
    <t>ORD-100540</t>
  </si>
  <si>
    <t>ORD-100541</t>
  </si>
  <si>
    <t>ORD-100542</t>
  </si>
  <si>
    <t>ORD-100543</t>
  </si>
  <si>
    <t>ORD-100544</t>
  </si>
  <si>
    <t>ORD-100545</t>
  </si>
  <si>
    <t>ORD-100546</t>
  </si>
  <si>
    <t>ORD-100547</t>
  </si>
  <si>
    <t>ORD-100548</t>
  </si>
  <si>
    <t>ORD-100549</t>
  </si>
  <si>
    <t>ORD-100550</t>
  </si>
  <si>
    <t>ORD-100551</t>
  </si>
  <si>
    <t>ORD-100552</t>
  </si>
  <si>
    <t>ORD-100553</t>
  </si>
  <si>
    <t>ORD-100554</t>
  </si>
  <si>
    <t>ORD-100555</t>
  </si>
  <si>
    <t>ORD-100556</t>
  </si>
  <si>
    <t>ORD-100557</t>
  </si>
  <si>
    <t>ORD-100558</t>
  </si>
  <si>
    <t>ORD-100559</t>
  </si>
  <si>
    <t>ORD-100560</t>
  </si>
  <si>
    <t>ORD-100561</t>
  </si>
  <si>
    <t>ORD-100562</t>
  </si>
  <si>
    <t>ORD-100563</t>
  </si>
  <si>
    <t>ORD-100564</t>
  </si>
  <si>
    <t>ORD-100565</t>
  </si>
  <si>
    <t>ORD-100566</t>
  </si>
  <si>
    <t>ORD-100567</t>
  </si>
  <si>
    <t>ORD-100568</t>
  </si>
  <si>
    <t>ORD-100569</t>
  </si>
  <si>
    <t>ORD-100570</t>
  </si>
  <si>
    <t>ORD-100571</t>
  </si>
  <si>
    <t>ORD-100572</t>
  </si>
  <si>
    <t>ORD-100573</t>
  </si>
  <si>
    <t>ORD-100574</t>
  </si>
  <si>
    <t>ORD-100575</t>
  </si>
  <si>
    <t>ORD-100576</t>
  </si>
  <si>
    <t>ORD-100577</t>
  </si>
  <si>
    <t>ORD-100578</t>
  </si>
  <si>
    <t>ORD-100579</t>
  </si>
  <si>
    <t>ORD-100580</t>
  </si>
  <si>
    <t>ORD-100581</t>
  </si>
  <si>
    <t>ORD-100582</t>
  </si>
  <si>
    <t>ORD-100583</t>
  </si>
  <si>
    <t>ORD-100584</t>
  </si>
  <si>
    <t>ORD-100585</t>
  </si>
  <si>
    <t>ORD-100586</t>
  </si>
  <si>
    <t>ORD-100587</t>
  </si>
  <si>
    <t>ORD-100588</t>
  </si>
  <si>
    <t>ORD-100589</t>
  </si>
  <si>
    <t>ORD-100590</t>
  </si>
  <si>
    <t>ORD-100591</t>
  </si>
  <si>
    <t>ORD-100592</t>
  </si>
  <si>
    <t>ORD-100593</t>
  </si>
  <si>
    <t>ORD-100594</t>
  </si>
  <si>
    <t>ORD-100595</t>
  </si>
  <si>
    <t>ORD-100596</t>
  </si>
  <si>
    <t>ORD-100597</t>
  </si>
  <si>
    <t>ORD-100598</t>
  </si>
  <si>
    <t>ORD-100599</t>
  </si>
  <si>
    <t>ORD-100600</t>
  </si>
  <si>
    <t>ORD-100601</t>
  </si>
  <si>
    <t>ORD-100602</t>
  </si>
  <si>
    <t>ORD-100603</t>
  </si>
  <si>
    <t>ORD-100604</t>
  </si>
  <si>
    <t>ORD-100605</t>
  </si>
  <si>
    <t>ORD-100606</t>
  </si>
  <si>
    <t>ORD-100607</t>
  </si>
  <si>
    <t>ORD-100608</t>
  </si>
  <si>
    <t>ORD-100609</t>
  </si>
  <si>
    <t>ORD-100610</t>
  </si>
  <si>
    <t>ORD-100611</t>
  </si>
  <si>
    <t>ORD-100612</t>
  </si>
  <si>
    <t>ORD-100613</t>
  </si>
  <si>
    <t>ORD-100614</t>
  </si>
  <si>
    <t>ORD-100615</t>
  </si>
  <si>
    <t>ORD-100616</t>
  </si>
  <si>
    <t>ORD-100617</t>
  </si>
  <si>
    <t>ORD-100618</t>
  </si>
  <si>
    <t>ORD-100619</t>
  </si>
  <si>
    <t>ORD-100620</t>
  </si>
  <si>
    <t>ORD-100621</t>
  </si>
  <si>
    <t>ORD-100622</t>
  </si>
  <si>
    <t>ORD-100623</t>
  </si>
  <si>
    <t>ORD-100624</t>
  </si>
  <si>
    <t>ORD-100625</t>
  </si>
  <si>
    <t>ORD-100626</t>
  </si>
  <si>
    <t>ORD-100627</t>
  </si>
  <si>
    <t>ORD-100628</t>
  </si>
  <si>
    <t>ORD-100629</t>
  </si>
  <si>
    <t>ORD-100630</t>
  </si>
  <si>
    <t>ORD-100631</t>
  </si>
  <si>
    <t>ORD-100632</t>
  </si>
  <si>
    <t>ORD-100633</t>
  </si>
  <si>
    <t>ORD-100634</t>
  </si>
  <si>
    <t>ORD-100635</t>
  </si>
  <si>
    <t>ORD-100636</t>
  </si>
  <si>
    <t>ORD-100637</t>
  </si>
  <si>
    <t>ORD-100638</t>
  </si>
  <si>
    <t>ORD-100639</t>
  </si>
  <si>
    <t>ORD-100640</t>
  </si>
  <si>
    <t>ORD-100641</t>
  </si>
  <si>
    <t>ORD-100642</t>
  </si>
  <si>
    <t>ORD-100643</t>
  </si>
  <si>
    <t>ORD-100644</t>
  </si>
  <si>
    <t>ORD-100645</t>
  </si>
  <si>
    <t>ORD-100646</t>
  </si>
  <si>
    <t>ORD-100647</t>
  </si>
  <si>
    <t>ORD-100648</t>
  </si>
  <si>
    <t>ORD-100649</t>
  </si>
  <si>
    <t>ORD-100650</t>
  </si>
  <si>
    <t>ORD-100651</t>
  </si>
  <si>
    <t>ORD-100652</t>
  </si>
  <si>
    <t>ORD-100653</t>
  </si>
  <si>
    <t>ORD-100654</t>
  </si>
  <si>
    <t>ORD-100655</t>
  </si>
  <si>
    <t>ORD-100656</t>
  </si>
  <si>
    <t>ORD-100657</t>
  </si>
  <si>
    <t>ORD-100658</t>
  </si>
  <si>
    <t>ORD-100659</t>
  </si>
  <si>
    <t>ORD-100660</t>
  </si>
  <si>
    <t>ORD-100661</t>
  </si>
  <si>
    <t>ORD-100662</t>
  </si>
  <si>
    <t>ORD-100663</t>
  </si>
  <si>
    <t>ORD-100664</t>
  </si>
  <si>
    <t>ORD-100665</t>
  </si>
  <si>
    <t>ORD-100666</t>
  </si>
  <si>
    <t>ORD-100667</t>
  </si>
  <si>
    <t>ORD-100668</t>
  </si>
  <si>
    <t>ORD-100669</t>
  </si>
  <si>
    <t>ORD-100670</t>
  </si>
  <si>
    <t>ORD-100671</t>
  </si>
  <si>
    <t>ORD-100672</t>
  </si>
  <si>
    <t>ORD-100673</t>
  </si>
  <si>
    <t>ORD-100674</t>
  </si>
  <si>
    <t>ORD-100675</t>
  </si>
  <si>
    <t>ORD-100676</t>
  </si>
  <si>
    <t>ORD-100677</t>
  </si>
  <si>
    <t>ORD-100678</t>
  </si>
  <si>
    <t>ORD-100679</t>
  </si>
  <si>
    <t>ORD-100680</t>
  </si>
  <si>
    <t>ORD-100681</t>
  </si>
  <si>
    <t>ORD-100682</t>
  </si>
  <si>
    <t>ORD-100683</t>
  </si>
  <si>
    <t>ORD-100684</t>
  </si>
  <si>
    <t>ORD-100685</t>
  </si>
  <si>
    <t>ORD-100686</t>
  </si>
  <si>
    <t>ORD-100687</t>
  </si>
  <si>
    <t>ORD-100688</t>
  </si>
  <si>
    <t>ORD-100689</t>
  </si>
  <si>
    <t>ORD-100690</t>
  </si>
  <si>
    <t>ORD-100691</t>
  </si>
  <si>
    <t>ORD-100692</t>
  </si>
  <si>
    <t>ORD-100693</t>
  </si>
  <si>
    <t>ORD-100694</t>
  </si>
  <si>
    <t>ORD-100695</t>
  </si>
  <si>
    <t>ORD-100696</t>
  </si>
  <si>
    <t>ORD-100697</t>
  </si>
  <si>
    <t>ORD-100698</t>
  </si>
  <si>
    <t>ORD-100699</t>
  </si>
  <si>
    <t>ORD-100700</t>
  </si>
  <si>
    <t>ORD-100701</t>
  </si>
  <si>
    <t>ORD-100702</t>
  </si>
  <si>
    <t>ORD-100703</t>
  </si>
  <si>
    <t>ORD-100704</t>
  </si>
  <si>
    <t>ORD-100705</t>
  </si>
  <si>
    <t>ORD-100706</t>
  </si>
  <si>
    <t>ORD-100707</t>
  </si>
  <si>
    <t>ORD-100708</t>
  </si>
  <si>
    <t>ORD-100709</t>
  </si>
  <si>
    <t>ORD-100710</t>
  </si>
  <si>
    <t>ORD-100711</t>
  </si>
  <si>
    <t>ORD-100712</t>
  </si>
  <si>
    <t>ORD-100713</t>
  </si>
  <si>
    <t>ORD-100714</t>
  </si>
  <si>
    <t>ORD-100715</t>
  </si>
  <si>
    <t>ORD-100716</t>
  </si>
  <si>
    <t>ORD-100717</t>
  </si>
  <si>
    <t>ORD-100718</t>
  </si>
  <si>
    <t>ORD-100719</t>
  </si>
  <si>
    <t>ORD-100720</t>
  </si>
  <si>
    <t>ORD-100721</t>
  </si>
  <si>
    <t>ORD-100722</t>
  </si>
  <si>
    <t>ORD-100723</t>
  </si>
  <si>
    <t>ORD-100724</t>
  </si>
  <si>
    <t>ORD-100725</t>
  </si>
  <si>
    <t>ORD-100726</t>
  </si>
  <si>
    <t>ORD-100727</t>
  </si>
  <si>
    <t>ORD-100728</t>
  </si>
  <si>
    <t>ORD-100729</t>
  </si>
  <si>
    <t>ORD-100730</t>
  </si>
  <si>
    <t>ORD-100731</t>
  </si>
  <si>
    <t>ORD-100732</t>
  </si>
  <si>
    <t>ORD-100733</t>
  </si>
  <si>
    <t>ORD-100734</t>
  </si>
  <si>
    <t>ORD-100735</t>
  </si>
  <si>
    <t>ORD-100736</t>
  </si>
  <si>
    <t>ORD-100737</t>
  </si>
  <si>
    <t>ORD-100738</t>
  </si>
  <si>
    <t>ORD-100739</t>
  </si>
  <si>
    <t>ORD-100740</t>
  </si>
  <si>
    <t>ORD-100741</t>
  </si>
  <si>
    <t>ORD-100742</t>
  </si>
  <si>
    <t>ORD-100743</t>
  </si>
  <si>
    <t>ORD-100744</t>
  </si>
  <si>
    <t>ORD-100745</t>
  </si>
  <si>
    <t>ORD-100746</t>
  </si>
  <si>
    <t>ORD-100747</t>
  </si>
  <si>
    <t>ORD-100748</t>
  </si>
  <si>
    <t>ORD-100749</t>
  </si>
  <si>
    <t>ORD-100750</t>
  </si>
  <si>
    <t>ORD-100751</t>
  </si>
  <si>
    <t>ORD-100752</t>
  </si>
  <si>
    <t>ORD-100753</t>
  </si>
  <si>
    <t>ORD-100754</t>
  </si>
  <si>
    <t>ORD-100755</t>
  </si>
  <si>
    <t>ORD-100756</t>
  </si>
  <si>
    <t>ORD-100757</t>
  </si>
  <si>
    <t>ORD-100758</t>
  </si>
  <si>
    <t>ORD-100759</t>
  </si>
  <si>
    <t>ORD-100760</t>
  </si>
  <si>
    <t>ORD-100761</t>
  </si>
  <si>
    <t>ORD-100762</t>
  </si>
  <si>
    <t>ORD-100763</t>
  </si>
  <si>
    <t>ORD-100764</t>
  </si>
  <si>
    <t>ORD-100765</t>
  </si>
  <si>
    <t>ORD-100766</t>
  </si>
  <si>
    <t>ORD-100767</t>
  </si>
  <si>
    <t>ORD-100768</t>
  </si>
  <si>
    <t>ORD-100769</t>
  </si>
  <si>
    <t>ORD-100770</t>
  </si>
  <si>
    <t>ORD-100771</t>
  </si>
  <si>
    <t>ORD-100772</t>
  </si>
  <si>
    <t>ORD-100773</t>
  </si>
  <si>
    <t>ORD-100774</t>
  </si>
  <si>
    <t>ORD-100775</t>
  </si>
  <si>
    <t>ORD-100776</t>
  </si>
  <si>
    <t>ORD-100777</t>
  </si>
  <si>
    <t>ORD-100778</t>
  </si>
  <si>
    <t>ORD-100779</t>
  </si>
  <si>
    <t>ORD-100780</t>
  </si>
  <si>
    <t>ORD-100781</t>
  </si>
  <si>
    <t>ORD-100782</t>
  </si>
  <si>
    <t>ORD-100783</t>
  </si>
  <si>
    <t>ORD-100784</t>
  </si>
  <si>
    <t>ORD-100785</t>
  </si>
  <si>
    <t>ORD-100786</t>
  </si>
  <si>
    <t>ORD-100787</t>
  </si>
  <si>
    <t>ORD-100788</t>
  </si>
  <si>
    <t>ORD-100789</t>
  </si>
  <si>
    <t>ORD-100790</t>
  </si>
  <si>
    <t>ORD-100791</t>
  </si>
  <si>
    <t>ORD-100792</t>
  </si>
  <si>
    <t>ORD-100793</t>
  </si>
  <si>
    <t>ORD-100794</t>
  </si>
  <si>
    <t>ORD-100795</t>
  </si>
  <si>
    <t>ORD-100796</t>
  </si>
  <si>
    <t>ORD-100797</t>
  </si>
  <si>
    <t>ORD-100798</t>
  </si>
  <si>
    <t>ORD-100799</t>
  </si>
  <si>
    <t>ORD-100800</t>
  </si>
  <si>
    <t>ORD-100801</t>
  </si>
  <si>
    <t>ORD-100802</t>
  </si>
  <si>
    <t>ORD-100803</t>
  </si>
  <si>
    <t>ORD-100804</t>
  </si>
  <si>
    <t>ORD-100805</t>
  </si>
  <si>
    <t>ORD-100806</t>
  </si>
  <si>
    <t>ORD-100807</t>
  </si>
  <si>
    <t>ORD-100808</t>
  </si>
  <si>
    <t>ORD-100809</t>
  </si>
  <si>
    <t>ORD-100810</t>
  </si>
  <si>
    <t>ORD-100811</t>
  </si>
  <si>
    <t>ORD-100812</t>
  </si>
  <si>
    <t>ORD-100813</t>
  </si>
  <si>
    <t>ORD-100814</t>
  </si>
  <si>
    <t>ORD-100815</t>
  </si>
  <si>
    <t>ORD-100816</t>
  </si>
  <si>
    <t>ORD-100817</t>
  </si>
  <si>
    <t>ORD-100818</t>
  </si>
  <si>
    <t>ORD-100819</t>
  </si>
  <si>
    <t>ORD-100820</t>
  </si>
  <si>
    <t>ORD-100821</t>
  </si>
  <si>
    <t>ORD-100822</t>
  </si>
  <si>
    <t>ORD-100823</t>
  </si>
  <si>
    <t>ORD-100824</t>
  </si>
  <si>
    <t>ORD-100825</t>
  </si>
  <si>
    <t>ORD-100826</t>
  </si>
  <si>
    <t>ORD-100827</t>
  </si>
  <si>
    <t>ORD-100828</t>
  </si>
  <si>
    <t>ORD-100829</t>
  </si>
  <si>
    <t>ORD-100830</t>
  </si>
  <si>
    <t>ORD-100831</t>
  </si>
  <si>
    <t>ORD-100832</t>
  </si>
  <si>
    <t>ORD-100833</t>
  </si>
  <si>
    <t>ORD-100834</t>
  </si>
  <si>
    <t>ORD-100835</t>
  </si>
  <si>
    <t>ORD-100836</t>
  </si>
  <si>
    <t>ORD-100837</t>
  </si>
  <si>
    <t>ORD-100838</t>
  </si>
  <si>
    <t>ORD-100839</t>
  </si>
  <si>
    <t>ORD-100840</t>
  </si>
  <si>
    <t>ORD-100841</t>
  </si>
  <si>
    <t>ORD-100842</t>
  </si>
  <si>
    <t>ORD-100843</t>
  </si>
  <si>
    <t>ORD-100844</t>
  </si>
  <si>
    <t>ORD-100845</t>
  </si>
  <si>
    <t>ORD-100846</t>
  </si>
  <si>
    <t>ORD-100847</t>
  </si>
  <si>
    <t>ORD-100848</t>
  </si>
  <si>
    <t>ORD-100849</t>
  </si>
  <si>
    <t>ORD-100850</t>
  </si>
  <si>
    <t>ORD-100851</t>
  </si>
  <si>
    <t>ORD-100852</t>
  </si>
  <si>
    <t>ORD-100853</t>
  </si>
  <si>
    <t>ORD-100854</t>
  </si>
  <si>
    <t>ORD-100855</t>
  </si>
  <si>
    <t>ORD-100856</t>
  </si>
  <si>
    <t>ORD-100857</t>
  </si>
  <si>
    <t>ORD-100858</t>
  </si>
  <si>
    <t>ORD-100859</t>
  </si>
  <si>
    <t>ORD-100860</t>
  </si>
  <si>
    <t>ORD-100861</t>
  </si>
  <si>
    <t>ORD-100862</t>
  </si>
  <si>
    <t>ORD-100863</t>
  </si>
  <si>
    <t>ORD-100864</t>
  </si>
  <si>
    <t>ORD-100865</t>
  </si>
  <si>
    <t>ORD-100866</t>
  </si>
  <si>
    <t>ORD-100867</t>
  </si>
  <si>
    <t>ORD-100868</t>
  </si>
  <si>
    <t>ORD-100869</t>
  </si>
  <si>
    <t>ORD-100870</t>
  </si>
  <si>
    <t>ORD-100871</t>
  </si>
  <si>
    <t>ORD-100872</t>
  </si>
  <si>
    <t>ORD-100873</t>
  </si>
  <si>
    <t>ORD-100874</t>
  </si>
  <si>
    <t>ORD-100875</t>
  </si>
  <si>
    <t>ORD-100876</t>
  </si>
  <si>
    <t>ORD-100877</t>
  </si>
  <si>
    <t>ORD-100878</t>
  </si>
  <si>
    <t>ORD-100879</t>
  </si>
  <si>
    <t>ORD-100880</t>
  </si>
  <si>
    <t>ORD-100881</t>
  </si>
  <si>
    <t>ORD-100882</t>
  </si>
  <si>
    <t>ORD-100883</t>
  </si>
  <si>
    <t>ORD-100884</t>
  </si>
  <si>
    <t>ORD-100885</t>
  </si>
  <si>
    <t>ORD-100886</t>
  </si>
  <si>
    <t>ORD-100887</t>
  </si>
  <si>
    <t>ORD-100888</t>
  </si>
  <si>
    <t>ORD-100889</t>
  </si>
  <si>
    <t>ORD-100890</t>
  </si>
  <si>
    <t>ORD-100891</t>
  </si>
  <si>
    <t>ORD-100892</t>
  </si>
  <si>
    <t>ORD-100893</t>
  </si>
  <si>
    <t>ORD-100894</t>
  </si>
  <si>
    <t>ORD-100895</t>
  </si>
  <si>
    <t>ORD-100896</t>
  </si>
  <si>
    <t>ORD-100897</t>
  </si>
  <si>
    <t>ORD-100898</t>
  </si>
  <si>
    <t>ORD-100899</t>
  </si>
  <si>
    <t>ORD-100900</t>
  </si>
  <si>
    <t>ORD-100901</t>
  </si>
  <si>
    <t>ORD-100902</t>
  </si>
  <si>
    <t>ORD-100903</t>
  </si>
  <si>
    <t>ORD-100904</t>
  </si>
  <si>
    <t>ORD-100905</t>
  </si>
  <si>
    <t>ORD-100906</t>
  </si>
  <si>
    <t>ORD-100907</t>
  </si>
  <si>
    <t>ORD-100908</t>
  </si>
  <si>
    <t>ORD-100909</t>
  </si>
  <si>
    <t>ORD-100910</t>
  </si>
  <si>
    <t>ORD-100911</t>
  </si>
  <si>
    <t>ORD-100912</t>
  </si>
  <si>
    <t>ORD-100913</t>
  </si>
  <si>
    <t>ORD-100914</t>
  </si>
  <si>
    <t>ORD-100915</t>
  </si>
  <si>
    <t>ORD-100916</t>
  </si>
  <si>
    <t>ORD-100917</t>
  </si>
  <si>
    <t>ORD-100918</t>
  </si>
  <si>
    <t>ORD-100919</t>
  </si>
  <si>
    <t>ORD-100920</t>
  </si>
  <si>
    <t>ORD-100921</t>
  </si>
  <si>
    <t>ORD-100922</t>
  </si>
  <si>
    <t>ORD-100923</t>
  </si>
  <si>
    <t>ORD-100924</t>
  </si>
  <si>
    <t>ORD-100925</t>
  </si>
  <si>
    <t>ORD-100926</t>
  </si>
  <si>
    <t>ORD-100927</t>
  </si>
  <si>
    <t>ORD-100928</t>
  </si>
  <si>
    <t>ORD-100929</t>
  </si>
  <si>
    <t>ORD-100930</t>
  </si>
  <si>
    <t>ORD-100931</t>
  </si>
  <si>
    <t>ORD-100932</t>
  </si>
  <si>
    <t>ORD-100933</t>
  </si>
  <si>
    <t>ORD-100934</t>
  </si>
  <si>
    <t>ORD-100935</t>
  </si>
  <si>
    <t>ORD-100936</t>
  </si>
  <si>
    <t>ORD-100937</t>
  </si>
  <si>
    <t>ORD-100938</t>
  </si>
  <si>
    <t>ORD-100939</t>
  </si>
  <si>
    <t>ORD-100940</t>
  </si>
  <si>
    <t>ORD-100941</t>
  </si>
  <si>
    <t>ORD-100942</t>
  </si>
  <si>
    <t>ORD-100943</t>
  </si>
  <si>
    <t>ORD-100944</t>
  </si>
  <si>
    <t>ORD-100945</t>
  </si>
  <si>
    <t>ORD-100946</t>
  </si>
  <si>
    <t>ORD-100947</t>
  </si>
  <si>
    <t>ORD-100948</t>
  </si>
  <si>
    <t>ORD-100949</t>
  </si>
  <si>
    <t>ORD-100950</t>
  </si>
  <si>
    <t>ORD-100951</t>
  </si>
  <si>
    <t>ORD-100952</t>
  </si>
  <si>
    <t>ORD-100953</t>
  </si>
  <si>
    <t>ORD-100954</t>
  </si>
  <si>
    <t>ORD-100955</t>
  </si>
  <si>
    <t>ORD-100956</t>
  </si>
  <si>
    <t>ORD-100957</t>
  </si>
  <si>
    <t>ORD-100958</t>
  </si>
  <si>
    <t>ORD-100959</t>
  </si>
  <si>
    <t>ORD-100960</t>
  </si>
  <si>
    <t>ORD-100961</t>
  </si>
  <si>
    <t>ORD-100962</t>
  </si>
  <si>
    <t>ORD-100963</t>
  </si>
  <si>
    <t>ORD-100964</t>
  </si>
  <si>
    <t>ORD-100965</t>
  </si>
  <si>
    <t>ORD-100966</t>
  </si>
  <si>
    <t>ORD-100967</t>
  </si>
  <si>
    <t>ORD-100968</t>
  </si>
  <si>
    <t>ORD-100969</t>
  </si>
  <si>
    <t>ORD-100970</t>
  </si>
  <si>
    <t>ORD-100971</t>
  </si>
  <si>
    <t>ORD-100972</t>
  </si>
  <si>
    <t>ORD-100973</t>
  </si>
  <si>
    <t>ORD-100974</t>
  </si>
  <si>
    <t>ORD-100975</t>
  </si>
  <si>
    <t>ORD-100976</t>
  </si>
  <si>
    <t>ORD-100977</t>
  </si>
  <si>
    <t>ORD-100978</t>
  </si>
  <si>
    <t>ORD-100979</t>
  </si>
  <si>
    <t>ORD-100980</t>
  </si>
  <si>
    <t>ORD-100981</t>
  </si>
  <si>
    <t>ORD-100982</t>
  </si>
  <si>
    <t>ORD-100983</t>
  </si>
  <si>
    <t>ORD-100984</t>
  </si>
  <si>
    <t>ORD-100985</t>
  </si>
  <si>
    <t>ORD-100986</t>
  </si>
  <si>
    <t>ORD-100987</t>
  </si>
  <si>
    <t>ORD-100988</t>
  </si>
  <si>
    <t>ORD-100989</t>
  </si>
  <si>
    <t>ORD-100990</t>
  </si>
  <si>
    <t>ORD-100991</t>
  </si>
  <si>
    <t>ORD-100992</t>
  </si>
  <si>
    <t>ORD-100993</t>
  </si>
  <si>
    <t>ORD-100994</t>
  </si>
  <si>
    <t>ORD-100995</t>
  </si>
  <si>
    <t>ORD-100996</t>
  </si>
  <si>
    <t>ORD-100997</t>
  </si>
  <si>
    <t>ORD-100998</t>
  </si>
  <si>
    <t>ORD-100999</t>
  </si>
  <si>
    <t>ORD-101000</t>
  </si>
  <si>
    <t>ORD-101001</t>
  </si>
  <si>
    <t>ORD-101002</t>
  </si>
  <si>
    <t>ORD-101003</t>
  </si>
  <si>
    <t>ORD-101004</t>
  </si>
  <si>
    <t>ORD-101005</t>
  </si>
  <si>
    <t>ORD-101006</t>
  </si>
  <si>
    <t>ORD-101007</t>
  </si>
  <si>
    <t>ORD-101008</t>
  </si>
  <si>
    <t>ORD-101009</t>
  </si>
  <si>
    <t>ORD-101010</t>
  </si>
  <si>
    <t>ORD-101011</t>
  </si>
  <si>
    <t>ORD-101012</t>
  </si>
  <si>
    <t>ORD-101013</t>
  </si>
  <si>
    <t>ORD-101014</t>
  </si>
  <si>
    <t>ORD-101015</t>
  </si>
  <si>
    <t>ORD-101016</t>
  </si>
  <si>
    <t>ORD-101017</t>
  </si>
  <si>
    <t>ORD-101018</t>
  </si>
  <si>
    <t>ORD-101019</t>
  </si>
  <si>
    <t>ORD-101020</t>
  </si>
  <si>
    <t>ORD-101021</t>
  </si>
  <si>
    <t>ORD-101022</t>
  </si>
  <si>
    <t>ORD-101023</t>
  </si>
  <si>
    <t>ORD-101024</t>
  </si>
  <si>
    <t>ORD-101025</t>
  </si>
  <si>
    <t>ORD-101026</t>
  </si>
  <si>
    <t>ORD-101027</t>
  </si>
  <si>
    <t>ORD-101028</t>
  </si>
  <si>
    <t>ORD-101029</t>
  </si>
  <si>
    <t>ORD-101030</t>
  </si>
  <si>
    <t>ORD-101031</t>
  </si>
  <si>
    <t>ORD-101032</t>
  </si>
  <si>
    <t>ORD-101033</t>
  </si>
  <si>
    <t>ORD-101034</t>
  </si>
  <si>
    <t>ORD-101035</t>
  </si>
  <si>
    <t>ORD-101036</t>
  </si>
  <si>
    <t>ORD-101037</t>
  </si>
  <si>
    <t>ORD-101038</t>
  </si>
  <si>
    <t>ORD-101039</t>
  </si>
  <si>
    <t>ORD-101040</t>
  </si>
  <si>
    <t>ORD-101041</t>
  </si>
  <si>
    <t>ORD-101042</t>
  </si>
  <si>
    <t>ORD-101043</t>
  </si>
  <si>
    <t>ORD-101044</t>
  </si>
  <si>
    <t>ORD-101045</t>
  </si>
  <si>
    <t>ORD-101046</t>
  </si>
  <si>
    <t>ORD-101047</t>
  </si>
  <si>
    <t>ORD-101048</t>
  </si>
  <si>
    <t>ORD-101049</t>
  </si>
  <si>
    <t>ORD-101050</t>
  </si>
  <si>
    <t>ORD-101051</t>
  </si>
  <si>
    <t>ORD-101052</t>
  </si>
  <si>
    <t>ORD-101053</t>
  </si>
  <si>
    <t>ORD-101054</t>
  </si>
  <si>
    <t>ORD-101055</t>
  </si>
  <si>
    <t>ORD-101056</t>
  </si>
  <si>
    <t>ORD-101057</t>
  </si>
  <si>
    <t>ORD-101058</t>
  </si>
  <si>
    <t>ORD-101059</t>
  </si>
  <si>
    <t>ORD-101060</t>
  </si>
  <si>
    <t>ORD-101061</t>
  </si>
  <si>
    <t>ORD-101062</t>
  </si>
  <si>
    <t>ORD-101063</t>
  </si>
  <si>
    <t>ORD-101064</t>
  </si>
  <si>
    <t>ORD-101065</t>
  </si>
  <si>
    <t>ORD-101066</t>
  </si>
  <si>
    <t>ORD-101067</t>
  </si>
  <si>
    <t>ORD-101068</t>
  </si>
  <si>
    <t>ORD-101069</t>
  </si>
  <si>
    <t>ORD-101070</t>
  </si>
  <si>
    <t>ORD-101071</t>
  </si>
  <si>
    <t>ORD-101072</t>
  </si>
  <si>
    <t>ORD-101073</t>
  </si>
  <si>
    <t>ORD-101074</t>
  </si>
  <si>
    <t>ORD-101075</t>
  </si>
  <si>
    <t>ORD-101076</t>
  </si>
  <si>
    <t>ORD-101077</t>
  </si>
  <si>
    <t>ORD-101078</t>
  </si>
  <si>
    <t>ORD-101079</t>
  </si>
  <si>
    <t>ORD-101080</t>
  </si>
  <si>
    <t>ORD-101081</t>
  </si>
  <si>
    <t>ORD-101082</t>
  </si>
  <si>
    <t>ORD-101083</t>
  </si>
  <si>
    <t>ORD-101084</t>
  </si>
  <si>
    <t>ORD-101085</t>
  </si>
  <si>
    <t>ORD-101086</t>
  </si>
  <si>
    <t>ORD-101087</t>
  </si>
  <si>
    <t>ORD-101088</t>
  </si>
  <si>
    <t>ORD-101089</t>
  </si>
  <si>
    <t>ORD-101090</t>
  </si>
  <si>
    <t>ORD-101091</t>
  </si>
  <si>
    <t>ORD-101092</t>
  </si>
  <si>
    <t>ORD-101093</t>
  </si>
  <si>
    <t>ORD-101094</t>
  </si>
  <si>
    <t>ORD-101095</t>
  </si>
  <si>
    <t>ORD-101096</t>
  </si>
  <si>
    <t>ORD-101097</t>
  </si>
  <si>
    <t>ORD-101098</t>
  </si>
  <si>
    <t>ORD-101099</t>
  </si>
  <si>
    <t>ORD-101100</t>
  </si>
  <si>
    <t>ORD-101101</t>
  </si>
  <si>
    <t>ORD-101102</t>
  </si>
  <si>
    <t>ORD-101103</t>
  </si>
  <si>
    <t>ORD-101104</t>
  </si>
  <si>
    <t>ORD-101105</t>
  </si>
  <si>
    <t>ORD-101106</t>
  </si>
  <si>
    <t>ORD-101107</t>
  </si>
  <si>
    <t>ORD-101108</t>
  </si>
  <si>
    <t>ORD-101109</t>
  </si>
  <si>
    <t>ORD-101110</t>
  </si>
  <si>
    <t>ORD-101111</t>
  </si>
  <si>
    <t>ORD-101112</t>
  </si>
  <si>
    <t>ORD-101113</t>
  </si>
  <si>
    <t>ORD-101114</t>
  </si>
  <si>
    <t>ORD-101115</t>
  </si>
  <si>
    <t>ORD-101116</t>
  </si>
  <si>
    <t>ORD-101117</t>
  </si>
  <si>
    <t>ORD-101118</t>
  </si>
  <si>
    <t>ORD-101119</t>
  </si>
  <si>
    <t>ORD-101120</t>
  </si>
  <si>
    <t>ORD-101121</t>
  </si>
  <si>
    <t>ORD-101122</t>
  </si>
  <si>
    <t>ORD-101123</t>
  </si>
  <si>
    <t>ORD-101124</t>
  </si>
  <si>
    <t>ORD-101125</t>
  </si>
  <si>
    <t>ORD-101126</t>
  </si>
  <si>
    <t>ORD-101127</t>
  </si>
  <si>
    <t>ORD-101128</t>
  </si>
  <si>
    <t>ORD-101129</t>
  </si>
  <si>
    <t>ORD-101130</t>
  </si>
  <si>
    <t>ORD-101131</t>
  </si>
  <si>
    <t>ORD-101132</t>
  </si>
  <si>
    <t>ORD-101133</t>
  </si>
  <si>
    <t>ORD-101134</t>
  </si>
  <si>
    <t>ORD-101135</t>
  </si>
  <si>
    <t>ORD-101136</t>
  </si>
  <si>
    <t>ORD-101137</t>
  </si>
  <si>
    <t>ORD-101138</t>
  </si>
  <si>
    <t>ORD-101139</t>
  </si>
  <si>
    <t>ORD-101140</t>
  </si>
  <si>
    <t>ORD-101141</t>
  </si>
  <si>
    <t>ORD-101142</t>
  </si>
  <si>
    <t>ORD-101143</t>
  </si>
  <si>
    <t>ORD-101144</t>
  </si>
  <si>
    <t>ORD-101145</t>
  </si>
  <si>
    <t>ORD-101146</t>
  </si>
  <si>
    <t>ORD-101147</t>
  </si>
  <si>
    <t>ORD-101148</t>
  </si>
  <si>
    <t>ORD-101149</t>
  </si>
  <si>
    <t>ORD-101150</t>
  </si>
  <si>
    <t>ORD-101151</t>
  </si>
  <si>
    <t>ORD-101152</t>
  </si>
  <si>
    <t>ORD-101153</t>
  </si>
  <si>
    <t>ORD-101154</t>
  </si>
  <si>
    <t>ORD-101155</t>
  </si>
  <si>
    <t>ORD-101156</t>
  </si>
  <si>
    <t>ORD-101157</t>
  </si>
  <si>
    <t>ORD-101158</t>
  </si>
  <si>
    <t>ORD-101159</t>
  </si>
  <si>
    <t>ORD-101160</t>
  </si>
  <si>
    <t>ORD-101161</t>
  </si>
  <si>
    <t>ORD-101162</t>
  </si>
  <si>
    <t>ORD-101163</t>
  </si>
  <si>
    <t>ORD-101164</t>
  </si>
  <si>
    <t>ORD-101165</t>
  </si>
  <si>
    <t>ORD-101166</t>
  </si>
  <si>
    <t>ORD-101167</t>
  </si>
  <si>
    <t>ORD-101168</t>
  </si>
  <si>
    <t>ORD-101169</t>
  </si>
  <si>
    <t>ORD-101170</t>
  </si>
  <si>
    <t>ORD-101171</t>
  </si>
  <si>
    <t>ORD-101172</t>
  </si>
  <si>
    <t>ORD-101173</t>
  </si>
  <si>
    <t>ORD-101174</t>
  </si>
  <si>
    <t>ORD-101175</t>
  </si>
  <si>
    <t>ORD-101176</t>
  </si>
  <si>
    <t>ORD-101177</t>
  </si>
  <si>
    <t>ORD-101178</t>
  </si>
  <si>
    <t>ORD-101179</t>
  </si>
  <si>
    <t>ORD-101180</t>
  </si>
  <si>
    <t>ORD-101181</t>
  </si>
  <si>
    <t>ORD-101182</t>
  </si>
  <si>
    <t>ORD-101183</t>
  </si>
  <si>
    <t>ORD-101184</t>
  </si>
  <si>
    <t>ORD-101185</t>
  </si>
  <si>
    <t>ORD-101186</t>
  </si>
  <si>
    <t>ORD-101187</t>
  </si>
  <si>
    <t>ORD-101188</t>
  </si>
  <si>
    <t>ORD-101189</t>
  </si>
  <si>
    <t>ORD-101190</t>
  </si>
  <si>
    <t>ORD-101191</t>
  </si>
  <si>
    <t>ORD-101192</t>
  </si>
  <si>
    <t>ORD-101193</t>
  </si>
  <si>
    <t>ORD-101194</t>
  </si>
  <si>
    <t>ORD-101195</t>
  </si>
  <si>
    <t>ORD-101196</t>
  </si>
  <si>
    <t>ORD-101197</t>
  </si>
  <si>
    <t>ORD-101198</t>
  </si>
  <si>
    <t>ORD-101199</t>
  </si>
  <si>
    <t>ORD-101200</t>
  </si>
  <si>
    <t>ORD-101201</t>
  </si>
  <si>
    <t>ORD-101202</t>
  </si>
  <si>
    <t>ORD-101203</t>
  </si>
  <si>
    <t>ORD-101204</t>
  </si>
  <si>
    <t>ORD-101205</t>
  </si>
  <si>
    <t>ORD-101206</t>
  </si>
  <si>
    <t>ORD-101207</t>
  </si>
  <si>
    <t>ORD-101208</t>
  </si>
  <si>
    <t>ORD-101209</t>
  </si>
  <si>
    <t>ORD-101210</t>
  </si>
  <si>
    <t>ORD-101211</t>
  </si>
  <si>
    <t>ORD-101212</t>
  </si>
  <si>
    <t>ORD-101213</t>
  </si>
  <si>
    <t>ORD-101214</t>
  </si>
  <si>
    <t>ORD-101215</t>
  </si>
  <si>
    <t>ORD-101216</t>
  </si>
  <si>
    <t>ORD-101217</t>
  </si>
  <si>
    <t>ORD-101218</t>
  </si>
  <si>
    <t>ORD-101219</t>
  </si>
  <si>
    <t>ORD-101220</t>
  </si>
  <si>
    <t>ORD-101221</t>
  </si>
  <si>
    <t>ORD-101222</t>
  </si>
  <si>
    <t>ORD-101223</t>
  </si>
  <si>
    <t>ORD-101224</t>
  </si>
  <si>
    <t>ORD-101225</t>
  </si>
  <si>
    <t>ORD-101226</t>
  </si>
  <si>
    <t>ORD-101227</t>
  </si>
  <si>
    <t>ORD-101228</t>
  </si>
  <si>
    <t>ORD-101229</t>
  </si>
  <si>
    <t>ORD-101230</t>
  </si>
  <si>
    <t>ORD-101231</t>
  </si>
  <si>
    <t>ORD-101232</t>
  </si>
  <si>
    <t>ORD-101233</t>
  </si>
  <si>
    <t>ORD-101234</t>
  </si>
  <si>
    <t>ORD-101235</t>
  </si>
  <si>
    <t>ORD-101236</t>
  </si>
  <si>
    <t>ORD-101237</t>
  </si>
  <si>
    <t>ORD-101238</t>
  </si>
  <si>
    <t>ORD-101239</t>
  </si>
  <si>
    <t>ORD-101240</t>
  </si>
  <si>
    <t>ORD-101241</t>
  </si>
  <si>
    <t>ORD-101242</t>
  </si>
  <si>
    <t>ORD-101243</t>
  </si>
  <si>
    <t>ORD-101244</t>
  </si>
  <si>
    <t>ORD-101245</t>
  </si>
  <si>
    <t>ORD-101246</t>
  </si>
  <si>
    <t>ORD-101247</t>
  </si>
  <si>
    <t>ORD-101248</t>
  </si>
  <si>
    <t>ORD-101249</t>
  </si>
  <si>
    <t>ORD-101250</t>
  </si>
  <si>
    <t>ORD-101251</t>
  </si>
  <si>
    <t>ORD-101252</t>
  </si>
  <si>
    <t>ORD-101253</t>
  </si>
  <si>
    <t>ORD-101254</t>
  </si>
  <si>
    <t>ORD-101255</t>
  </si>
  <si>
    <t>ORD-101256</t>
  </si>
  <si>
    <t>ORD-101257</t>
  </si>
  <si>
    <t>ORD-101258</t>
  </si>
  <si>
    <t>ORD-101259</t>
  </si>
  <si>
    <t>ORD-101260</t>
  </si>
  <si>
    <t>ORD-101261</t>
  </si>
  <si>
    <t>ORD-101262</t>
  </si>
  <si>
    <t>ORD-101263</t>
  </si>
  <si>
    <t>ORD-101264</t>
  </si>
  <si>
    <t>ORD-101265</t>
  </si>
  <si>
    <t>ORD-101266</t>
  </si>
  <si>
    <t>ORD-101267</t>
  </si>
  <si>
    <t>ORD-101268</t>
  </si>
  <si>
    <t>ORD-101269</t>
  </si>
  <si>
    <t>ORD-101270</t>
  </si>
  <si>
    <t>ORD-101271</t>
  </si>
  <si>
    <t>ORD-101272</t>
  </si>
  <si>
    <t>ORD-101273</t>
  </si>
  <si>
    <t>ORD-101274</t>
  </si>
  <si>
    <t>ORD-101275</t>
  </si>
  <si>
    <t>ORD-101276</t>
  </si>
  <si>
    <t>ORD-101277</t>
  </si>
  <si>
    <t>ORD-101278</t>
  </si>
  <si>
    <t>ORD-101279</t>
  </si>
  <si>
    <t>ORD-101280</t>
  </si>
  <si>
    <t>ORD-101281</t>
  </si>
  <si>
    <t>ORD-101282</t>
  </si>
  <si>
    <t>ORD-101283</t>
  </si>
  <si>
    <t>ORD-101284</t>
  </si>
  <si>
    <t>ORD-101285</t>
  </si>
  <si>
    <t>ORD-101286</t>
  </si>
  <si>
    <t>ORD-101287</t>
  </si>
  <si>
    <t>ORD-101288</t>
  </si>
  <si>
    <t>ORD-101289</t>
  </si>
  <si>
    <t>ORD-101290</t>
  </si>
  <si>
    <t>ORD-101291</t>
  </si>
  <si>
    <t>ORD-101292</t>
  </si>
  <si>
    <t>ORD-101293</t>
  </si>
  <si>
    <t>ORD-101294</t>
  </si>
  <si>
    <t>ORD-101295</t>
  </si>
  <si>
    <t>ORD-101296</t>
  </si>
  <si>
    <t>ORD-101297</t>
  </si>
  <si>
    <t>ORD-101298</t>
  </si>
  <si>
    <t>ORD-101299</t>
  </si>
  <si>
    <t>ORD-101300</t>
  </si>
  <si>
    <t>ORD-101301</t>
  </si>
  <si>
    <t>ORD-101302</t>
  </si>
  <si>
    <t>ORD-101303</t>
  </si>
  <si>
    <t>ORD-101304</t>
  </si>
  <si>
    <t>ORD-101305</t>
  </si>
  <si>
    <t>ORD-101306</t>
  </si>
  <si>
    <t>ORD-101307</t>
  </si>
  <si>
    <t>ORD-101308</t>
  </si>
  <si>
    <t>ORD-101309</t>
  </si>
  <si>
    <t>ORD-101310</t>
  </si>
  <si>
    <t>ORD-101311</t>
  </si>
  <si>
    <t>ORD-101312</t>
  </si>
  <si>
    <t>ORD-101313</t>
  </si>
  <si>
    <t>ORD-101314</t>
  </si>
  <si>
    <t>ORD-101315</t>
  </si>
  <si>
    <t>ORD-101316</t>
  </si>
  <si>
    <t>ORD-101317</t>
  </si>
  <si>
    <t>ORD-101318</t>
  </si>
  <si>
    <t>ORD-101319</t>
  </si>
  <si>
    <t>ORD-101320</t>
  </si>
  <si>
    <t>ORD-101321</t>
  </si>
  <si>
    <t>ORD-101322</t>
  </si>
  <si>
    <t>ORD-101323</t>
  </si>
  <si>
    <t>ORD-101324</t>
  </si>
  <si>
    <t>ORD-101325</t>
  </si>
  <si>
    <t>ORD-101326</t>
  </si>
  <si>
    <t>ORD-101327</t>
  </si>
  <si>
    <t>ORD-101328</t>
  </si>
  <si>
    <t>ORD-101329</t>
  </si>
  <si>
    <t>ORD-101330</t>
  </si>
  <si>
    <t>ORD-101331</t>
  </si>
  <si>
    <t>ORD-101332</t>
  </si>
  <si>
    <t>ORD-101333</t>
  </si>
  <si>
    <t>ORD-101334</t>
  </si>
  <si>
    <t>ORD-101335</t>
  </si>
  <si>
    <t>ORD-101336</t>
  </si>
  <si>
    <t>ORD-101337</t>
  </si>
  <si>
    <t>ORD-101338</t>
  </si>
  <si>
    <t>ORD-101339</t>
  </si>
  <si>
    <t>ORD-101340</t>
  </si>
  <si>
    <t>ORD-101341</t>
  </si>
  <si>
    <t>ORD-101342</t>
  </si>
  <si>
    <t>ORD-101343</t>
  </si>
  <si>
    <t>ORD-101344</t>
  </si>
  <si>
    <t>ORD-101345</t>
  </si>
  <si>
    <t>ORD-101346</t>
  </si>
  <si>
    <t>ORD-101347</t>
  </si>
  <si>
    <t>ORD-101348</t>
  </si>
  <si>
    <t>ORD-101349</t>
  </si>
  <si>
    <t>ORD-101350</t>
  </si>
  <si>
    <t>ORD-101351</t>
  </si>
  <si>
    <t>ORD-101352</t>
  </si>
  <si>
    <t>ORD-101353</t>
  </si>
  <si>
    <t>ORD-101354</t>
  </si>
  <si>
    <t>ORD-101355</t>
  </si>
  <si>
    <t>ORD-101356</t>
  </si>
  <si>
    <t>ORD-101357</t>
  </si>
  <si>
    <t>ORD-101358</t>
  </si>
  <si>
    <t>ORD-101359</t>
  </si>
  <si>
    <t>ORD-101360</t>
  </si>
  <si>
    <t>ORD-101361</t>
  </si>
  <si>
    <t>ORD-101362</t>
  </si>
  <si>
    <t>ORD-101363</t>
  </si>
  <si>
    <t>ORD-101364</t>
  </si>
  <si>
    <t>ORD-101365</t>
  </si>
  <si>
    <t>ORD-101366</t>
  </si>
  <si>
    <t>ORD-101367</t>
  </si>
  <si>
    <t>ORD-101368</t>
  </si>
  <si>
    <t>ORD-101369</t>
  </si>
  <si>
    <t>ORD-101370</t>
  </si>
  <si>
    <t>ORD-101371</t>
  </si>
  <si>
    <t>ORD-101372</t>
  </si>
  <si>
    <t>ORD-101373</t>
  </si>
  <si>
    <t>ORD-101374</t>
  </si>
  <si>
    <t>ORD-101375</t>
  </si>
  <si>
    <t>ORD-101376</t>
  </si>
  <si>
    <t>ORD-101377</t>
  </si>
  <si>
    <t>ORD-101378</t>
  </si>
  <si>
    <t>ORD-101379</t>
  </si>
  <si>
    <t>ORD-101380</t>
  </si>
  <si>
    <t>ORD-101381</t>
  </si>
  <si>
    <t>ORD-101382</t>
  </si>
  <si>
    <t>ORD-101383</t>
  </si>
  <si>
    <t>ORD-101384</t>
  </si>
  <si>
    <t>ORD-101385</t>
  </si>
  <si>
    <t>ORD-101386</t>
  </si>
  <si>
    <t>ORD-101387</t>
  </si>
  <si>
    <t>ORD-101388</t>
  </si>
  <si>
    <t>ORD-101389</t>
  </si>
  <si>
    <t>ORD-101390</t>
  </si>
  <si>
    <t>ORD-101391</t>
  </si>
  <si>
    <t>ORD-101392</t>
  </si>
  <si>
    <t>ORD-101393</t>
  </si>
  <si>
    <t>ORD-101394</t>
  </si>
  <si>
    <t>ORD-101395</t>
  </si>
  <si>
    <t>ORD-101396</t>
  </si>
  <si>
    <t>ORD-101397</t>
  </si>
  <si>
    <t>ORD-101398</t>
  </si>
  <si>
    <t>ORD-101399</t>
  </si>
  <si>
    <t>ORD-101400</t>
  </si>
  <si>
    <t>ORD-101401</t>
  </si>
  <si>
    <t>ORD-101402</t>
  </si>
  <si>
    <t>ORD-101403</t>
  </si>
  <si>
    <t>ORD-101404</t>
  </si>
  <si>
    <t>ORD-101405</t>
  </si>
  <si>
    <t>ORD-101406</t>
  </si>
  <si>
    <t>ORD-101407</t>
  </si>
  <si>
    <t>ORD-101408</t>
  </si>
  <si>
    <t>ORD-101409</t>
  </si>
  <si>
    <t>ORD-101410</t>
  </si>
  <si>
    <t>ORD-101411</t>
  </si>
  <si>
    <t>ORD-101412</t>
  </si>
  <si>
    <t>ORD-101413</t>
  </si>
  <si>
    <t>ORD-101414</t>
  </si>
  <si>
    <t>ORD-101415</t>
  </si>
  <si>
    <t>ORD-101416</t>
  </si>
  <si>
    <t>ORD-101417</t>
  </si>
  <si>
    <t>ORD-101418</t>
  </si>
  <si>
    <t>ORD-101419</t>
  </si>
  <si>
    <t>ORD-101420</t>
  </si>
  <si>
    <t>ORD-101421</t>
  </si>
  <si>
    <t>ORD-101422</t>
  </si>
  <si>
    <t>ORD-101423</t>
  </si>
  <si>
    <t>ORD-101424</t>
  </si>
  <si>
    <t>ORD-101425</t>
  </si>
  <si>
    <t>ORD-101426</t>
  </si>
  <si>
    <t>ORD-101427</t>
  </si>
  <si>
    <t>ORD-101428</t>
  </si>
  <si>
    <t>ORD-101429</t>
  </si>
  <si>
    <t>ORD-101430</t>
  </si>
  <si>
    <t>ORD-101431</t>
  </si>
  <si>
    <t>ORD-101432</t>
  </si>
  <si>
    <t>ORD-101433</t>
  </si>
  <si>
    <t>ORD-101434</t>
  </si>
  <si>
    <t>ORD-101435</t>
  </si>
  <si>
    <t>ORD-101436</t>
  </si>
  <si>
    <t>ORD-101437</t>
  </si>
  <si>
    <t>ORD-101438</t>
  </si>
  <si>
    <t>ORD-101439</t>
  </si>
  <si>
    <t>ORD-101440</t>
  </si>
  <si>
    <t>ORD-101441</t>
  </si>
  <si>
    <t>ORD-101442</t>
  </si>
  <si>
    <t>ORD-101443</t>
  </si>
  <si>
    <t>ORD-101444</t>
  </si>
  <si>
    <t>ORD-101445</t>
  </si>
  <si>
    <t>ORD-101446</t>
  </si>
  <si>
    <t>ORD-101447</t>
  </si>
  <si>
    <t>ORD-101448</t>
  </si>
  <si>
    <t>ORD-101449</t>
  </si>
  <si>
    <t>ORD-101450</t>
  </si>
  <si>
    <t>ORD-101451</t>
  </si>
  <si>
    <t>ORD-101452</t>
  </si>
  <si>
    <t>ORD-101453</t>
  </si>
  <si>
    <t>ORD-101454</t>
  </si>
  <si>
    <t>ORD-101455</t>
  </si>
  <si>
    <t>ORD-101456</t>
  </si>
  <si>
    <t>ORD-101457</t>
  </si>
  <si>
    <t>ORD-101458</t>
  </si>
  <si>
    <t>ORD-101459</t>
  </si>
  <si>
    <t>ORD-101460</t>
  </si>
  <si>
    <t>ORD-101461</t>
  </si>
  <si>
    <t>ORD-101462</t>
  </si>
  <si>
    <t>ORD-101463</t>
  </si>
  <si>
    <t>ORD-101464</t>
  </si>
  <si>
    <t>ORD-101465</t>
  </si>
  <si>
    <t>ORD-101466</t>
  </si>
  <si>
    <t>ORD-101467</t>
  </si>
  <si>
    <t>ORD-101468</t>
  </si>
  <si>
    <t>ORD-101469</t>
  </si>
  <si>
    <t>ORD-101470</t>
  </si>
  <si>
    <t>ORD-101471</t>
  </si>
  <si>
    <t>ORD-101472</t>
  </si>
  <si>
    <t>ORD-101473</t>
  </si>
  <si>
    <t>ORD-101474</t>
  </si>
  <si>
    <t>ORD-101475</t>
  </si>
  <si>
    <t>ORD-101476</t>
  </si>
  <si>
    <t>ORD-101477</t>
  </si>
  <si>
    <t>ORD-101478</t>
  </si>
  <si>
    <t>ORD-101479</t>
  </si>
  <si>
    <t>ORD-101480</t>
  </si>
  <si>
    <t>ORD-101481</t>
  </si>
  <si>
    <t>ORD-101482</t>
  </si>
  <si>
    <t>ORD-101483</t>
  </si>
  <si>
    <t>ORD-101484</t>
  </si>
  <si>
    <t>ORD-101485</t>
  </si>
  <si>
    <t>ORD-101486</t>
  </si>
  <si>
    <t>ORD-101487</t>
  </si>
  <si>
    <t>ORD-101488</t>
  </si>
  <si>
    <t>ORD-101489</t>
  </si>
  <si>
    <t>ORD-101490</t>
  </si>
  <si>
    <t>ORD-101491</t>
  </si>
  <si>
    <t>ORD-101492</t>
  </si>
  <si>
    <t>ORD-101493</t>
  </si>
  <si>
    <t>ORD-101494</t>
  </si>
  <si>
    <t>ORD-101495</t>
  </si>
  <si>
    <t>ORD-101496</t>
  </si>
  <si>
    <t>ORD-101497</t>
  </si>
  <si>
    <t>ORD-101498</t>
  </si>
  <si>
    <t>ORD-101499</t>
  </si>
  <si>
    <t>ORD-101500</t>
  </si>
  <si>
    <t>ORD-101501</t>
  </si>
  <si>
    <t>ORD-101502</t>
  </si>
  <si>
    <t>ORD-101503</t>
  </si>
  <si>
    <t>ORD-101504</t>
  </si>
  <si>
    <t>ORD-101505</t>
  </si>
  <si>
    <t>ORD-101506</t>
  </si>
  <si>
    <t>ORD-101507</t>
  </si>
  <si>
    <t>ORD-101508</t>
  </si>
  <si>
    <t>ORD-101509</t>
  </si>
  <si>
    <t>ORD-101510</t>
  </si>
  <si>
    <t>ORD-101511</t>
  </si>
  <si>
    <t>ORD-101512</t>
  </si>
  <si>
    <t>ORD-101513</t>
  </si>
  <si>
    <t>ORD-101514</t>
  </si>
  <si>
    <t>ORD-101515</t>
  </si>
  <si>
    <t>ORD-101516</t>
  </si>
  <si>
    <t>ORD-101517</t>
  </si>
  <si>
    <t>ORD-101518</t>
  </si>
  <si>
    <t>ORD-101519</t>
  </si>
  <si>
    <t>ORD-101520</t>
  </si>
  <si>
    <t>ORD-101521</t>
  </si>
  <si>
    <t>ORD-101522</t>
  </si>
  <si>
    <t>ORD-101523</t>
  </si>
  <si>
    <t>ORD-101524</t>
  </si>
  <si>
    <t>ORD-101525</t>
  </si>
  <si>
    <t>ORD-101526</t>
  </si>
  <si>
    <t>ORD-101527</t>
  </si>
  <si>
    <t>ORD-101528</t>
  </si>
  <si>
    <t>ORD-101529</t>
  </si>
  <si>
    <t>ORD-101530</t>
  </si>
  <si>
    <t>ORD-101531</t>
  </si>
  <si>
    <t>ORD-101532</t>
  </si>
  <si>
    <t>ORD-101533</t>
  </si>
  <si>
    <t>ORD-101534</t>
  </si>
  <si>
    <t>ORD-101535</t>
  </si>
  <si>
    <t>ORD-101536</t>
  </si>
  <si>
    <t>ORD-101537</t>
  </si>
  <si>
    <t>ORD-101538</t>
  </si>
  <si>
    <t>ORD-101539</t>
  </si>
  <si>
    <t>ORD-101540</t>
  </si>
  <si>
    <t>ORD-101541</t>
  </si>
  <si>
    <t>ORD-101542</t>
  </si>
  <si>
    <t>ORD-101543</t>
  </si>
  <si>
    <t>ORD-101544</t>
  </si>
  <si>
    <t>ORD-101545</t>
  </si>
  <si>
    <t>ORD-101546</t>
  </si>
  <si>
    <t>ORD-101547</t>
  </si>
  <si>
    <t>ORD-101548</t>
  </si>
  <si>
    <t>ORD-101549</t>
  </si>
  <si>
    <t>ORD-101550</t>
  </si>
  <si>
    <t>ORD-101551</t>
  </si>
  <si>
    <t>ORD-101552</t>
  </si>
  <si>
    <t>ORD-101553</t>
  </si>
  <si>
    <t>ORD-101554</t>
  </si>
  <si>
    <t>ORD-101555</t>
  </si>
  <si>
    <t>ORD-101556</t>
  </si>
  <si>
    <t>ORD-101557</t>
  </si>
  <si>
    <t>ORD-101558</t>
  </si>
  <si>
    <t>ORD-101559</t>
  </si>
  <si>
    <t>ORD-101560</t>
  </si>
  <si>
    <t>ORD-101561</t>
  </si>
  <si>
    <t>ORD-101562</t>
  </si>
  <si>
    <t>ORD-101563</t>
  </si>
  <si>
    <t>ORD-101564</t>
  </si>
  <si>
    <t>ORD-101565</t>
  </si>
  <si>
    <t>ORD-101566</t>
  </si>
  <si>
    <t>ORD-101567</t>
  </si>
  <si>
    <t>ORD-101568</t>
  </si>
  <si>
    <t>ORD-101569</t>
  </si>
  <si>
    <t>ORD-101570</t>
  </si>
  <si>
    <t>ORD-101571</t>
  </si>
  <si>
    <t>ORD-101572</t>
  </si>
  <si>
    <t>ORD-101573</t>
  </si>
  <si>
    <t>ORD-101574</t>
  </si>
  <si>
    <t>ORD-101575</t>
  </si>
  <si>
    <t>ORD-101576</t>
  </si>
  <si>
    <t>ORD-101577</t>
  </si>
  <si>
    <t>ORD-101578</t>
  </si>
  <si>
    <t>ORD-101579</t>
  </si>
  <si>
    <t>ORD-101580</t>
  </si>
  <si>
    <t>ORD-101581</t>
  </si>
  <si>
    <t>ORD-101582</t>
  </si>
  <si>
    <t>ORD-101583</t>
  </si>
  <si>
    <t>ORD-101584</t>
  </si>
  <si>
    <t>ORD-101585</t>
  </si>
  <si>
    <t>ORD-101586</t>
  </si>
  <si>
    <t>ORD-101587</t>
  </si>
  <si>
    <t>ORD-101588</t>
  </si>
  <si>
    <t>ORD-101589</t>
  </si>
  <si>
    <t>ORD-101590</t>
  </si>
  <si>
    <t>ORD-101591</t>
  </si>
  <si>
    <t>ORD-101592</t>
  </si>
  <si>
    <t>ORD-101593</t>
  </si>
  <si>
    <t>ORD-101594</t>
  </si>
  <si>
    <t>ORD-101595</t>
  </si>
  <si>
    <t>ORD-101596</t>
  </si>
  <si>
    <t>ORD-101597</t>
  </si>
  <si>
    <t>ORD-101598</t>
  </si>
  <si>
    <t>ORD-101599</t>
  </si>
  <si>
    <t>ORD-101600</t>
  </si>
  <si>
    <t>ORD-101601</t>
  </si>
  <si>
    <t>ORD-101602</t>
  </si>
  <si>
    <t>ORD-101603</t>
  </si>
  <si>
    <t>ORD-101604</t>
  </si>
  <si>
    <t>ORD-101605</t>
  </si>
  <si>
    <t>ORD-101606</t>
  </si>
  <si>
    <t>ORD-101607</t>
  </si>
  <si>
    <t>ORD-101608</t>
  </si>
  <si>
    <t>ORD-101609</t>
  </si>
  <si>
    <t>ORD-101610</t>
  </si>
  <si>
    <t>ORD-101611</t>
  </si>
  <si>
    <t>ORD-101612</t>
  </si>
  <si>
    <t>ORD-101613</t>
  </si>
  <si>
    <t>ORD-101614</t>
  </si>
  <si>
    <t>ORD-101615</t>
  </si>
  <si>
    <t>ORD-101616</t>
  </si>
  <si>
    <t>ORD-101617</t>
  </si>
  <si>
    <t>ORD-101618</t>
  </si>
  <si>
    <t>ORD-101619</t>
  </si>
  <si>
    <t>ORD-101620</t>
  </si>
  <si>
    <t>ORD-101621</t>
  </si>
  <si>
    <t>ORD-101622</t>
  </si>
  <si>
    <t>ORD-101623</t>
  </si>
  <si>
    <t>ORD-101624</t>
  </si>
  <si>
    <t>ORD-101625</t>
  </si>
  <si>
    <t>ORD-101626</t>
  </si>
  <si>
    <t>ORD-101627</t>
  </si>
  <si>
    <t>ORD-101628</t>
  </si>
  <si>
    <t>ORD-101629</t>
  </si>
  <si>
    <t>ORD-101630</t>
  </si>
  <si>
    <t>ORD-101631</t>
  </si>
  <si>
    <t>ORD-101632</t>
  </si>
  <si>
    <t>ORD-101633</t>
  </si>
  <si>
    <t>ORD-101634</t>
  </si>
  <si>
    <t>ORD-101635</t>
  </si>
  <si>
    <t>ORD-101636</t>
  </si>
  <si>
    <t>ORD-101637</t>
  </si>
  <si>
    <t>ORD-101638</t>
  </si>
  <si>
    <t>ORD-101639</t>
  </si>
  <si>
    <t>ORD-101640</t>
  </si>
  <si>
    <t>ORD-101641</t>
  </si>
  <si>
    <t>ORD-101642</t>
  </si>
  <si>
    <t>ORD-101643</t>
  </si>
  <si>
    <t>ORD-101644</t>
  </si>
  <si>
    <t>ORD-101645</t>
  </si>
  <si>
    <t>ORD-101646</t>
  </si>
  <si>
    <t>ORD-101647</t>
  </si>
  <si>
    <t>ORD-101648</t>
  </si>
  <si>
    <t>ORD-101649</t>
  </si>
  <si>
    <t>ORD-101650</t>
  </si>
  <si>
    <t>ORD-101651</t>
  </si>
  <si>
    <t>ORD-101652</t>
  </si>
  <si>
    <t>ORD-101653</t>
  </si>
  <si>
    <t>ORD-101654</t>
  </si>
  <si>
    <t>ORD-101655</t>
  </si>
  <si>
    <t>ORD-101656</t>
  </si>
  <si>
    <t>ORD-101657</t>
  </si>
  <si>
    <t>ORD-101658</t>
  </si>
  <si>
    <t>ORD-101659</t>
  </si>
  <si>
    <t>ORD-101660</t>
  </si>
  <si>
    <t>ORD-101661</t>
  </si>
  <si>
    <t>ORD-101662</t>
  </si>
  <si>
    <t>ORD-101663</t>
  </si>
  <si>
    <t>ORD-101664</t>
  </si>
  <si>
    <t>ORD-101665</t>
  </si>
  <si>
    <t>ORD-101666</t>
  </si>
  <si>
    <t>ORD-101667</t>
  </si>
  <si>
    <t>ORD-101668</t>
  </si>
  <si>
    <t>ORD-101669</t>
  </si>
  <si>
    <t>ORD-101670</t>
  </si>
  <si>
    <t>ORD-101671</t>
  </si>
  <si>
    <t>ORD-101672</t>
  </si>
  <si>
    <t>ORD-101673</t>
  </si>
  <si>
    <t>ORD-101674</t>
  </si>
  <si>
    <t>ORD-101675</t>
  </si>
  <si>
    <t>ORD-101676</t>
  </si>
  <si>
    <t>ORD-101677</t>
  </si>
  <si>
    <t>ORD-101678</t>
  </si>
  <si>
    <t>ORD-101679</t>
  </si>
  <si>
    <t>ORD-101680</t>
  </si>
  <si>
    <t>ORD-101681</t>
  </si>
  <si>
    <t>ORD-101682</t>
  </si>
  <si>
    <t>ORD-101683</t>
  </si>
  <si>
    <t>ORD-101684</t>
  </si>
  <si>
    <t>ORD-101685</t>
  </si>
  <si>
    <t>ORD-101686</t>
  </si>
  <si>
    <t>ORD-101687</t>
  </si>
  <si>
    <t>ORD-101688</t>
  </si>
  <si>
    <t>ORD-101689</t>
  </si>
  <si>
    <t>ORD-101690</t>
  </si>
  <si>
    <t>ORD-101691</t>
  </si>
  <si>
    <t>ORD-101692</t>
  </si>
  <si>
    <t>ORD-101693</t>
  </si>
  <si>
    <t>ORD-101694</t>
  </si>
  <si>
    <t>ORD-101695</t>
  </si>
  <si>
    <t>ORD-101696</t>
  </si>
  <si>
    <t>ORD-101697</t>
  </si>
  <si>
    <t>ORD-101698</t>
  </si>
  <si>
    <t>ORD-101699</t>
  </si>
  <si>
    <t>ORD-101700</t>
  </si>
  <si>
    <t>ORD-101701</t>
  </si>
  <si>
    <t>ORD-101702</t>
  </si>
  <si>
    <t>ORD-101703</t>
  </si>
  <si>
    <t>ORD-101704</t>
  </si>
  <si>
    <t>ORD-101705</t>
  </si>
  <si>
    <t>ORD-101706</t>
  </si>
  <si>
    <t>ORD-101707</t>
  </si>
  <si>
    <t>ORD-101708</t>
  </si>
  <si>
    <t>ORD-101709</t>
  </si>
  <si>
    <t>ORD-101710</t>
  </si>
  <si>
    <t>ORD-101711</t>
  </si>
  <si>
    <t>ORD-101712</t>
  </si>
  <si>
    <t>ORD-101713</t>
  </si>
  <si>
    <t>ORD-101714</t>
  </si>
  <si>
    <t>ORD-101715</t>
  </si>
  <si>
    <t>ORD-101716</t>
  </si>
  <si>
    <t>ORD-101717</t>
  </si>
  <si>
    <t>ORD-101718</t>
  </si>
  <si>
    <t>ORD-101719</t>
  </si>
  <si>
    <t>ORD-101720</t>
  </si>
  <si>
    <t>ORD-101721</t>
  </si>
  <si>
    <t>ORD-101722</t>
  </si>
  <si>
    <t>ORD-101723</t>
  </si>
  <si>
    <t>ORD-101724</t>
  </si>
  <si>
    <t>ORD-101725</t>
  </si>
  <si>
    <t>ORD-101726</t>
  </si>
  <si>
    <t>ORD-101727</t>
  </si>
  <si>
    <t>ORD-101728</t>
  </si>
  <si>
    <t>ORD-101729</t>
  </si>
  <si>
    <t>ORD-101730</t>
  </si>
  <si>
    <t>ORD-101731</t>
  </si>
  <si>
    <t>ORD-101732</t>
  </si>
  <si>
    <t>ORD-101733</t>
  </si>
  <si>
    <t>ORD-101734</t>
  </si>
  <si>
    <t>ORD-101735</t>
  </si>
  <si>
    <t>ORD-101736</t>
  </si>
  <si>
    <t>ORD-101737</t>
  </si>
  <si>
    <t>ORD-101738</t>
  </si>
  <si>
    <t>ORD-101739</t>
  </si>
  <si>
    <t>ORD-101740</t>
  </si>
  <si>
    <t>ORD-101741</t>
  </si>
  <si>
    <t>ORD-101742</t>
  </si>
  <si>
    <t>ORD-101743</t>
  </si>
  <si>
    <t>ORD-101744</t>
  </si>
  <si>
    <t>ORD-101745</t>
  </si>
  <si>
    <t>ORD-101746</t>
  </si>
  <si>
    <t>ORD-101747</t>
  </si>
  <si>
    <t>ORD-101748</t>
  </si>
  <si>
    <t>ORD-101749</t>
  </si>
  <si>
    <t>ORD-101750</t>
  </si>
  <si>
    <t>ORD-101751</t>
  </si>
  <si>
    <t>ORD-101752</t>
  </si>
  <si>
    <t>ORD-101753</t>
  </si>
  <si>
    <t>ORD-101754</t>
  </si>
  <si>
    <t>ORD-101755</t>
  </si>
  <si>
    <t>ORD-101756</t>
  </si>
  <si>
    <t>ORD-101757</t>
  </si>
  <si>
    <t>ORD-101758</t>
  </si>
  <si>
    <t>ORD-101759</t>
  </si>
  <si>
    <t>ORD-101760</t>
  </si>
  <si>
    <t>ORD-101761</t>
  </si>
  <si>
    <t>ORD-101762</t>
  </si>
  <si>
    <t>ORD-101763</t>
  </si>
  <si>
    <t>ORD-101764</t>
  </si>
  <si>
    <t>ORD-101765</t>
  </si>
  <si>
    <t>ORD-101766</t>
  </si>
  <si>
    <t>ORD-101767</t>
  </si>
  <si>
    <t>ORD-101768</t>
  </si>
  <si>
    <t>ORD-101769</t>
  </si>
  <si>
    <t>ORD-101770</t>
  </si>
  <si>
    <t>ORD-101771</t>
  </si>
  <si>
    <t>ORD-101772</t>
  </si>
  <si>
    <t>ORD-101773</t>
  </si>
  <si>
    <t>ORD-101774</t>
  </si>
  <si>
    <t>ORD-101775</t>
  </si>
  <si>
    <t>ORD-101776</t>
  </si>
  <si>
    <t>ORD-101777</t>
  </si>
  <si>
    <t>ORD-101778</t>
  </si>
  <si>
    <t>ORD-101779</t>
  </si>
  <si>
    <t>ORD-101780</t>
  </si>
  <si>
    <t>ORD-101781</t>
  </si>
  <si>
    <t>ORD-101782</t>
  </si>
  <si>
    <t>ORD-101783</t>
  </si>
  <si>
    <t>ORD-101784</t>
  </si>
  <si>
    <t>ORD-101785</t>
  </si>
  <si>
    <t>ORD-101786</t>
  </si>
  <si>
    <t>ORD-101787</t>
  </si>
  <si>
    <t>ORD-101788</t>
  </si>
  <si>
    <t>ORD-101789</t>
  </si>
  <si>
    <t>ORD-101790</t>
  </si>
  <si>
    <t>ORD-101791</t>
  </si>
  <si>
    <t>ORD-101792</t>
  </si>
  <si>
    <t>ORD-101793</t>
  </si>
  <si>
    <t>ORD-101794</t>
  </si>
  <si>
    <t>ORD-101795</t>
  </si>
  <si>
    <t>ORD-101796</t>
  </si>
  <si>
    <t>ORD-101797</t>
  </si>
  <si>
    <t>ORD-101798</t>
  </si>
  <si>
    <t>ORD-101799</t>
  </si>
  <si>
    <t>ORD-101800</t>
  </si>
  <si>
    <t>1,800  sales transactions across 2024–2025.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</si>
</sst>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\£#,##0.00"/>
    <numFmt numFmtId="165" formatCode="dd\-mmm\-yyyy"/>
    <numFmt numFmtId="166" formatCode="\£#,##0"/>
    <numFmt numFmtId="167" formatCode="0.0%"/>
  </numFmts>
  <fonts count="25">
    <font>
      <sz val="11"/>
      <color rgb="FF000000"/>
      <name val="Arial"/>
      <scheme val="minor"/>
    </font>
    <font>
      <b/>
      <sz val="11"/>
      <color rgb="FFFFFFFF"/>
      <name val="Carlito"/>
    </font>
    <font>
      <sz val="11"/>
      <color theme="1"/>
      <name val="Arial"/>
      <family val="2"/>
      <scheme val="minor"/>
    </font>
    <font>
      <sz val="11"/>
      <color theme="1"/>
      <name val="Carlito"/>
    </font>
    <font>
      <b/>
      <sz val="22"/>
      <color rgb="FFFFFFFF"/>
      <name val="Carlito"/>
    </font>
    <font>
      <b/>
      <sz val="11"/>
      <color rgb="FF16361A"/>
      <name val="Carlito"/>
    </font>
    <font>
      <b/>
      <sz val="18"/>
      <color rgb="FFFFFFFF"/>
      <name val="Carlito"/>
    </font>
    <font>
      <sz val="11"/>
      <name val="Arial"/>
      <family val="2"/>
    </font>
    <font>
      <b/>
      <sz val="17"/>
      <color rgb="FF4B1F6F"/>
      <name val="Carlito"/>
    </font>
    <font>
      <b/>
      <sz val="10"/>
      <color rgb="FFFFD15C"/>
      <name val="Carlito"/>
    </font>
    <font>
      <b/>
      <i/>
      <sz val="8"/>
      <color rgb="FF4B1F6F"/>
      <name val="Carlito"/>
    </font>
    <font>
      <b/>
      <sz val="10"/>
      <color rgb="FF24152D"/>
      <name val="Carlito"/>
    </font>
    <font>
      <b/>
      <sz val="12"/>
      <color rgb="FFFFD15C"/>
      <name val="Carlito"/>
    </font>
    <font>
      <b/>
      <sz val="10"/>
      <color rgb="FFFFFFFF"/>
      <name val="Carlito"/>
    </font>
    <font>
      <sz val="10"/>
      <color rgb="FF24152D"/>
      <name val="Carlito"/>
    </font>
    <font>
      <sz val="10"/>
      <color rgb="FFFFFFFF"/>
      <name val="Carlito"/>
    </font>
    <font>
      <i/>
      <sz val="10"/>
      <color rgb="FFFFFFFF"/>
      <name val="Carlito"/>
    </font>
    <font>
      <b/>
      <i/>
      <sz val="10"/>
      <color rgb="FFFFD15C"/>
      <name val="Carlito"/>
    </font>
    <font>
      <b/>
      <i/>
      <sz val="10"/>
      <color rgb="FF24152D"/>
      <name val="Carlito"/>
    </font>
    <font>
      <b/>
      <sz val="9"/>
      <color rgb="FFFFFFFF"/>
      <name val="Carlito"/>
    </font>
    <font>
      <b/>
      <sz val="16"/>
      <color rgb="FF4B1F6F"/>
      <name val="Carlito"/>
    </font>
    <font>
      <sz val="8"/>
      <color rgb="FFEADFF0"/>
      <name val="Carlito"/>
    </font>
    <font>
      <b/>
      <sz val="10"/>
      <color rgb="FF4B1F6F"/>
      <name val="Carlito"/>
    </font>
    <font>
      <sz val="10"/>
      <color rgb="FF000000"/>
      <name val="Arial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B1F6F"/>
        <bgColor rgb="FF4B1F6F"/>
      </patternFill>
    </fill>
    <fill>
      <patternFill patternType="solid">
        <fgColor rgb="FF1B5E20"/>
        <bgColor rgb="FF1B5E20"/>
      </patternFill>
    </fill>
    <fill>
      <patternFill patternType="solid">
        <fgColor rgb="FFE8F5E9"/>
        <bgColor rgb="FFE8F5E9"/>
      </patternFill>
    </fill>
    <fill>
      <patternFill patternType="solid">
        <fgColor rgb="FF351452"/>
        <bgColor rgb="FF351452"/>
      </patternFill>
    </fill>
    <fill>
      <patternFill patternType="solid">
        <fgColor rgb="FFFFFFFF"/>
        <bgColor rgb="FFFFFFFF"/>
      </patternFill>
    </fill>
    <fill>
      <patternFill patternType="solid">
        <fgColor rgb="FFE8E7FC"/>
        <bgColor rgb="FFE8E7FC"/>
      </patternFill>
    </fill>
    <fill>
      <patternFill patternType="solid">
        <fgColor rgb="FFF2F0F4"/>
        <bgColor rgb="FFF2F0F4"/>
      </patternFill>
    </fill>
    <fill>
      <patternFill patternType="solid">
        <fgColor rgb="FFFAF8FB"/>
        <bgColor rgb="FFFAF8FB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7" tint="0.79998168889431442"/>
        <bgColor rgb="FFFAF8FB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F2F0F4"/>
      </patternFill>
    </fill>
  </fills>
  <borders count="65">
    <border>
      <left/>
      <right/>
      <top/>
      <bottom/>
      <diagonal/>
    </border>
    <border>
      <left style="medium">
        <color rgb="FFFFB800"/>
      </left>
      <right/>
      <top style="thin">
        <color rgb="FFD6D0DA"/>
      </top>
      <bottom/>
      <diagonal/>
    </border>
    <border>
      <left/>
      <right/>
      <top style="thin">
        <color rgb="FFD6D0DA"/>
      </top>
      <bottom/>
      <diagonal/>
    </border>
    <border>
      <left/>
      <right style="thin">
        <color rgb="FFD6D0DA"/>
      </right>
      <top style="thin">
        <color rgb="FFD6D0DA"/>
      </top>
      <bottom/>
      <diagonal/>
    </border>
    <border>
      <left/>
      <right style="thin">
        <color rgb="FFD6D0DA"/>
      </right>
      <top/>
      <bottom/>
      <diagonal/>
    </border>
    <border>
      <left/>
      <right/>
      <top/>
      <bottom style="thin">
        <color rgb="FFDDD5E2"/>
      </bottom>
      <diagonal/>
    </border>
    <border>
      <left/>
      <right/>
      <top/>
      <bottom style="thin">
        <color rgb="FFD6D0DA"/>
      </bottom>
      <diagonal/>
    </border>
    <border>
      <left/>
      <right style="thin">
        <color rgb="FFD6D0DA"/>
      </right>
      <top/>
      <bottom style="thin">
        <color rgb="FFD6D0DA"/>
      </bottom>
      <diagonal/>
    </border>
    <border>
      <left style="thin">
        <color rgb="FFD7E3DA"/>
      </left>
      <right/>
      <top/>
      <bottom/>
      <diagonal/>
    </border>
    <border>
      <left/>
      <right style="thin">
        <color rgb="FFD7E3DA"/>
      </right>
      <top/>
      <bottom/>
      <diagonal/>
    </border>
    <border>
      <left style="thin">
        <color rgb="FFD7E3DA"/>
      </left>
      <right/>
      <top style="thin">
        <color rgb="FFD7E3DA"/>
      </top>
      <bottom/>
      <diagonal/>
    </border>
    <border>
      <left/>
      <right style="thin">
        <color rgb="FFD7E3DA"/>
      </right>
      <top style="thin">
        <color rgb="FFD7E3DA"/>
      </top>
      <bottom/>
      <diagonal/>
    </border>
    <border>
      <left/>
      <right/>
      <top/>
      <bottom style="medium">
        <color rgb="FFFDB515"/>
      </bottom>
      <diagonal/>
    </border>
    <border>
      <left style="medium">
        <color rgb="FFFFB800"/>
      </left>
      <right/>
      <top/>
      <bottom/>
      <diagonal/>
    </border>
    <border>
      <left style="thin">
        <color rgb="FF2F7D4A"/>
      </left>
      <right/>
      <top style="thin">
        <color rgb="FF2F7D4A"/>
      </top>
      <bottom style="thin">
        <color rgb="FF2F7D4A"/>
      </bottom>
      <diagonal/>
    </border>
    <border>
      <left style="thin">
        <color rgb="FF2F7D4A"/>
      </left>
      <right style="thin">
        <color rgb="FF2F7D4A"/>
      </right>
      <top style="thin">
        <color rgb="FF2F7D4A"/>
      </top>
      <bottom style="thin">
        <color rgb="FF2F7D4A"/>
      </bottom>
      <diagonal/>
    </border>
    <border>
      <left/>
      <right style="thin">
        <color rgb="FFD7E3DA"/>
      </right>
      <top/>
      <bottom style="thin">
        <color rgb="FFD7E3DA"/>
      </bottom>
      <diagonal/>
    </border>
    <border>
      <left style="thin">
        <color rgb="FFD7E3DA"/>
      </left>
      <right/>
      <top/>
      <bottom style="thin">
        <color rgb="FFD7E3DA"/>
      </bottom>
      <diagonal/>
    </border>
    <border>
      <left style="thin">
        <color rgb="FFBEB4C4"/>
      </left>
      <right/>
      <top style="thin">
        <color rgb="FFBEB4C4"/>
      </top>
      <bottom style="thin">
        <color rgb="FFBEB4C4"/>
      </bottom>
      <diagonal/>
    </border>
    <border>
      <left/>
      <right style="thin">
        <color rgb="FFBEB4C4"/>
      </right>
      <top style="thin">
        <color rgb="FFBEB4C4"/>
      </top>
      <bottom style="thin">
        <color rgb="FFBEB4C4"/>
      </bottom>
      <diagonal/>
    </border>
    <border>
      <left style="thin">
        <color rgb="FFD6D0DA"/>
      </left>
      <right/>
      <top/>
      <bottom style="thin">
        <color rgb="FFDDD5E2"/>
      </bottom>
      <diagonal/>
    </border>
    <border>
      <left/>
      <right style="thin">
        <color rgb="FFDDD5E2"/>
      </right>
      <top/>
      <bottom style="thin">
        <color rgb="FFDDD5E2"/>
      </bottom>
      <diagonal/>
    </border>
    <border>
      <left style="thin">
        <color rgb="FFDDD5E2"/>
      </left>
      <right/>
      <top/>
      <bottom style="thin">
        <color rgb="FFDDD5E2"/>
      </bottom>
      <diagonal/>
    </border>
    <border>
      <left style="thin">
        <color rgb="FFD6D0DA"/>
      </left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0DA"/>
      </left>
      <right/>
      <top/>
      <bottom style="medium">
        <color rgb="FFFDB515"/>
      </bottom>
      <diagonal/>
    </border>
    <border>
      <left/>
      <right style="thin">
        <color rgb="FFD6D0DA"/>
      </right>
      <top/>
      <bottom style="medium">
        <color rgb="FFFDB515"/>
      </bottom>
      <diagonal/>
    </border>
    <border>
      <left/>
      <right style="thin">
        <color rgb="FF2F7D4A"/>
      </right>
      <top style="thin">
        <color rgb="FF2F7D4A"/>
      </top>
      <bottom style="thin">
        <color rgb="FF2F7D4A"/>
      </bottom>
      <diagonal/>
    </border>
    <border>
      <left style="thin">
        <color rgb="FFD6D0DA"/>
      </left>
      <right/>
      <top/>
      <bottom style="thin">
        <color rgb="FFD6D0DA"/>
      </bottom>
      <diagonal/>
    </border>
    <border>
      <left/>
      <right/>
      <top style="thin">
        <color rgb="FFFFB800"/>
      </top>
      <bottom/>
      <diagonal/>
    </border>
    <border>
      <left/>
      <right/>
      <top/>
      <bottom style="thin">
        <color rgb="FFFFB800"/>
      </bottom>
      <diagonal/>
    </border>
    <border>
      <left style="thin">
        <color rgb="FFD7E3DA"/>
      </left>
      <right/>
      <top style="thin">
        <color rgb="FFD7E3DA"/>
      </top>
      <bottom style="medium">
        <color rgb="FFFDB515"/>
      </bottom>
      <diagonal/>
    </border>
    <border>
      <left/>
      <right/>
      <top style="thin">
        <color rgb="FFD7E3DA"/>
      </top>
      <bottom style="medium">
        <color rgb="FFFDB515"/>
      </bottom>
      <diagonal/>
    </border>
    <border>
      <left/>
      <right/>
      <top/>
      <bottom style="thin">
        <color rgb="FFD7E3DA"/>
      </bottom>
      <diagonal/>
    </border>
    <border>
      <left style="thin">
        <color rgb="FFD6D0DA"/>
      </left>
      <right/>
      <top/>
      <bottom style="thin">
        <color rgb="FFEEF2EE"/>
      </bottom>
      <diagonal/>
    </border>
    <border>
      <left/>
      <right/>
      <top/>
      <bottom style="thin">
        <color rgb="FFEEF2EE"/>
      </bottom>
      <diagonal/>
    </border>
    <border>
      <left style="thin">
        <color rgb="FFD6D0DA"/>
      </left>
      <right/>
      <top/>
      <bottom style="thin">
        <color rgb="FFEEE9F0"/>
      </bottom>
      <diagonal/>
    </border>
    <border>
      <left/>
      <right/>
      <top/>
      <bottom style="thin">
        <color rgb="FFEEE9F0"/>
      </bottom>
      <diagonal/>
    </border>
    <border>
      <left/>
      <right/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 style="thin">
        <color rgb="FFD7E3DA"/>
      </left>
      <right style="thin">
        <color theme="6"/>
      </right>
      <top style="thin">
        <color rgb="FFD7E3DA"/>
      </top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 style="thin">
        <color rgb="FFD7E3DA"/>
      </right>
      <top/>
      <bottom style="thin">
        <color theme="6"/>
      </bottom>
      <diagonal/>
    </border>
    <border>
      <left style="thin">
        <color rgb="FFD7E3DA"/>
      </left>
      <right style="thin">
        <color rgb="FFDDD5E2"/>
      </right>
      <top/>
      <bottom style="thin">
        <color theme="6"/>
      </bottom>
      <diagonal/>
    </border>
    <border>
      <left style="thin">
        <color rgb="FFDDD5E2"/>
      </left>
      <right style="thin">
        <color rgb="FFD7E3DA"/>
      </right>
      <top/>
      <bottom style="thin">
        <color theme="6"/>
      </bottom>
      <diagonal/>
    </border>
    <border>
      <left style="thin">
        <color rgb="FFD7E3DA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rgb="FF2F7D4A"/>
      </left>
      <right/>
      <top/>
      <bottom style="thin">
        <color rgb="FF2F7D4A"/>
      </bottom>
      <diagonal/>
    </border>
    <border>
      <left style="thick">
        <color theme="4" tint="0.79998168889431442"/>
      </left>
      <right/>
      <top style="thin">
        <color rgb="FFD6D0DA"/>
      </top>
      <bottom/>
      <diagonal/>
    </border>
    <border>
      <left/>
      <right style="thick">
        <color theme="4" tint="0.79998168889431442"/>
      </right>
      <top/>
      <bottom/>
      <diagonal/>
    </border>
    <border>
      <left style="thick">
        <color theme="4" tint="0.79998168889431442"/>
      </left>
      <right/>
      <top/>
      <bottom style="thin">
        <color rgb="FFD7E3DA"/>
      </bottom>
      <diagonal/>
    </border>
    <border>
      <left/>
      <right style="thick">
        <color theme="4" tint="0.79998168889431442"/>
      </right>
      <top style="thin">
        <color rgb="FFD6D0DA"/>
      </top>
      <bottom/>
      <diagonal/>
    </border>
    <border>
      <left style="thick">
        <color theme="4" tint="0.79998168889431442"/>
      </left>
      <right/>
      <top/>
      <bottom style="thin">
        <color rgb="FFD6D0DA"/>
      </bottom>
      <diagonal/>
    </border>
    <border>
      <left/>
      <right style="thick">
        <color theme="4" tint="0.79998168889431442"/>
      </right>
      <top/>
      <bottom style="thin">
        <color rgb="FFD6D0DA"/>
      </bottom>
      <diagonal/>
    </border>
    <border>
      <left/>
      <right style="thick">
        <color theme="4" tint="0.79998168889431442"/>
      </right>
      <top style="thin">
        <color theme="6"/>
      </top>
      <bottom/>
      <diagonal/>
    </border>
    <border>
      <left style="thick">
        <color theme="4" tint="0.79998168889431442"/>
      </left>
      <right/>
      <top/>
      <bottom/>
      <diagonal/>
    </border>
    <border>
      <left/>
      <right/>
      <top style="thin">
        <color rgb="FFD7E3DA"/>
      </top>
      <bottom/>
      <diagonal/>
    </border>
    <border>
      <left/>
      <right style="thick">
        <color theme="4" tint="-0.249977111117893"/>
      </right>
      <top style="thin">
        <color rgb="FFD6D0DA"/>
      </top>
      <bottom/>
      <diagonal/>
    </border>
    <border>
      <left/>
      <right style="thick">
        <color theme="4" tint="0.79998168889431442"/>
      </right>
      <top/>
      <bottom style="thin">
        <color rgb="FFD7E3DA"/>
      </bottom>
      <diagonal/>
    </border>
    <border>
      <left/>
      <right style="dashed">
        <color theme="4" tint="0.79998168889431442"/>
      </right>
      <top/>
      <bottom/>
      <diagonal/>
    </border>
    <border>
      <left/>
      <right style="dashed">
        <color theme="4" tint="0.79998168889431442"/>
      </right>
      <top/>
      <bottom style="thin">
        <color rgb="FFEEE9F0"/>
      </bottom>
      <diagonal/>
    </border>
    <border>
      <left style="thin">
        <color theme="6" tint="0.39997558519241921"/>
      </left>
      <right/>
      <top style="medium">
        <color rgb="FFFDB515"/>
      </top>
      <bottom/>
      <diagonal/>
    </border>
    <border>
      <left/>
      <right/>
      <top style="medium">
        <color rgb="FFFDB515"/>
      </top>
      <bottom/>
      <diagonal/>
    </border>
    <border>
      <left style="thick">
        <color theme="4" tint="0.79998168889431442"/>
      </left>
      <right/>
      <top style="thin">
        <color theme="6" tint="0.39997558519241921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1" fillId="2" borderId="0" xfId="0" applyFont="1" applyFill="1"/>
    <xf numFmtId="0" fontId="2" fillId="0" borderId="0" xfId="0" applyFont="1"/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vertical="center"/>
    </xf>
    <xf numFmtId="164" fontId="3" fillId="0" borderId="0" xfId="0" applyNumberFormat="1" applyFont="1" applyAlignment="1">
      <alignment vertical="center"/>
    </xf>
    <xf numFmtId="165" fontId="3" fillId="0" borderId="0" xfId="0" applyNumberFormat="1" applyFont="1" applyAlignment="1">
      <alignment vertical="center"/>
    </xf>
    <xf numFmtId="0" fontId="5" fillId="4" borderId="0" xfId="0" applyFont="1" applyFill="1" applyAlignment="1">
      <alignment wrapText="1"/>
    </xf>
    <xf numFmtId="0" fontId="3" fillId="0" borderId="0" xfId="0" applyFont="1" applyAlignment="1">
      <alignment wrapText="1"/>
    </xf>
    <xf numFmtId="0" fontId="9" fillId="5" borderId="5" xfId="0" applyFont="1" applyFill="1" applyBorder="1" applyAlignment="1">
      <alignment horizontal="left" vertical="center"/>
    </xf>
    <xf numFmtId="0" fontId="11" fillId="8" borderId="0" xfId="0" applyFont="1" applyFill="1" applyAlignment="1">
      <alignment horizontal="center" vertical="center"/>
    </xf>
    <xf numFmtId="0" fontId="11" fillId="8" borderId="8" xfId="0" applyFont="1" applyFill="1" applyBorder="1" applyAlignment="1">
      <alignment horizontal="center"/>
    </xf>
    <xf numFmtId="0" fontId="11" fillId="8" borderId="9" xfId="0" applyFont="1" applyFill="1" applyBorder="1" applyAlignment="1">
      <alignment horizontal="center"/>
    </xf>
    <xf numFmtId="0" fontId="11" fillId="8" borderId="10" xfId="0" applyFont="1" applyFill="1" applyBorder="1" applyAlignment="1">
      <alignment horizontal="center"/>
    </xf>
    <xf numFmtId="0" fontId="11" fillId="8" borderId="11" xfId="0" applyFont="1" applyFill="1" applyBorder="1" applyAlignment="1">
      <alignment horizontal="center"/>
    </xf>
    <xf numFmtId="166" fontId="11" fillId="6" borderId="16" xfId="0" applyNumberFormat="1" applyFont="1" applyFill="1" applyBorder="1" applyAlignment="1">
      <alignment horizontal="center" vertical="center"/>
    </xf>
    <xf numFmtId="166" fontId="11" fillId="6" borderId="17" xfId="0" applyNumberFormat="1" applyFont="1" applyFill="1" applyBorder="1" applyAlignment="1">
      <alignment horizontal="center" vertical="center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21" xfId="0" applyFont="1" applyFill="1" applyBorder="1" applyAlignment="1">
      <alignment horizontal="center" vertical="center"/>
    </xf>
    <xf numFmtId="0" fontId="11" fillId="6" borderId="22" xfId="0" applyFont="1" applyFill="1" applyBorder="1" applyAlignment="1">
      <alignment horizontal="center" vertical="center"/>
    </xf>
    <xf numFmtId="0" fontId="14" fillId="6" borderId="4" xfId="0" applyFont="1" applyFill="1" applyBorder="1"/>
    <xf numFmtId="0" fontId="14" fillId="6" borderId="23" xfId="0" applyFont="1" applyFill="1" applyBorder="1"/>
    <xf numFmtId="0" fontId="14" fillId="6" borderId="0" xfId="0" applyFont="1" applyFill="1"/>
    <xf numFmtId="0" fontId="11" fillId="6" borderId="23" xfId="0" applyFont="1" applyFill="1" applyBorder="1" applyAlignment="1">
      <alignment horizontal="left"/>
    </xf>
    <xf numFmtId="0" fontId="11" fillId="6" borderId="0" xfId="0" applyFont="1" applyFill="1" applyAlignment="1">
      <alignment horizontal="left"/>
    </xf>
    <xf numFmtId="0" fontId="13" fillId="5" borderId="14" xfId="0" applyFont="1" applyFill="1" applyBorder="1" applyAlignment="1">
      <alignment horizontal="left" vertical="center"/>
    </xf>
    <xf numFmtId="0" fontId="13" fillId="5" borderId="15" xfId="0" applyFont="1" applyFill="1" applyBorder="1" applyAlignment="1">
      <alignment horizontal="left" vertical="center"/>
    </xf>
    <xf numFmtId="0" fontId="11" fillId="6" borderId="26" xfId="0" applyFont="1" applyFill="1" applyBorder="1" applyAlignment="1">
      <alignment horizontal="left"/>
    </xf>
    <xf numFmtId="0" fontId="11" fillId="6" borderId="12" xfId="0" applyFont="1" applyFill="1" applyBorder="1" applyAlignment="1">
      <alignment horizontal="left"/>
    </xf>
    <xf numFmtId="0" fontId="11" fillId="6" borderId="27" xfId="0" applyFont="1" applyFill="1" applyBorder="1" applyAlignment="1">
      <alignment horizontal="left"/>
    </xf>
    <xf numFmtId="0" fontId="13" fillId="5" borderId="18" xfId="0" applyFont="1" applyFill="1" applyBorder="1" applyAlignment="1">
      <alignment horizontal="center" vertical="center"/>
    </xf>
    <xf numFmtId="166" fontId="13" fillId="5" borderId="19" xfId="0" applyNumberFormat="1" applyFont="1" applyFill="1" applyBorder="1" applyAlignment="1">
      <alignment horizontal="center" vertical="center"/>
    </xf>
    <xf numFmtId="166" fontId="14" fillId="6" borderId="23" xfId="0" applyNumberFormat="1" applyFont="1" applyFill="1" applyBorder="1"/>
    <xf numFmtId="166" fontId="14" fillId="6" borderId="0" xfId="0" applyNumberFormat="1" applyFont="1" applyFill="1"/>
    <xf numFmtId="167" fontId="14" fillId="6" borderId="0" xfId="0" applyNumberFormat="1" applyFont="1" applyFill="1"/>
    <xf numFmtId="166" fontId="14" fillId="6" borderId="4" xfId="0" applyNumberFormat="1" applyFont="1" applyFill="1" applyBorder="1"/>
    <xf numFmtId="167" fontId="14" fillId="6" borderId="4" xfId="0" applyNumberFormat="1" applyFont="1" applyFill="1" applyBorder="1"/>
    <xf numFmtId="0" fontId="13" fillId="5" borderId="0" xfId="0" applyFont="1" applyFill="1" applyAlignment="1">
      <alignment horizontal="left"/>
    </xf>
    <xf numFmtId="166" fontId="13" fillId="5" borderId="0" xfId="0" applyNumberFormat="1" applyFont="1" applyFill="1" applyAlignment="1">
      <alignment horizontal="left"/>
    </xf>
    <xf numFmtId="0" fontId="11" fillId="6" borderId="0" xfId="0" applyFont="1" applyFill="1" applyAlignment="1">
      <alignment horizontal="center"/>
    </xf>
    <xf numFmtId="0" fontId="11" fillId="6" borderId="4" xfId="0" applyFont="1" applyFill="1" applyBorder="1" applyAlignment="1">
      <alignment horizontal="center"/>
    </xf>
    <xf numFmtId="0" fontId="15" fillId="5" borderId="0" xfId="0" applyFont="1" applyFill="1"/>
    <xf numFmtId="166" fontId="15" fillId="5" borderId="0" xfId="0" applyNumberFormat="1" applyFont="1" applyFill="1"/>
    <xf numFmtId="0" fontId="16" fillId="5" borderId="10" xfId="0" applyFont="1" applyFill="1" applyBorder="1" applyAlignment="1">
      <alignment horizontal="center" vertical="center" wrapText="1"/>
    </xf>
    <xf numFmtId="166" fontId="16" fillId="5" borderId="11" xfId="0" applyNumberFormat="1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166" fontId="16" fillId="5" borderId="0" xfId="0" applyNumberFormat="1" applyFont="1" applyFill="1" applyAlignment="1">
      <alignment horizontal="center" vertical="center" wrapText="1"/>
    </xf>
    <xf numFmtId="0" fontId="14" fillId="6" borderId="29" xfId="0" applyFont="1" applyFill="1" applyBorder="1"/>
    <xf numFmtId="0" fontId="14" fillId="6" borderId="6" xfId="0" applyFont="1" applyFill="1" applyBorder="1"/>
    <xf numFmtId="0" fontId="14" fillId="6" borderId="7" xfId="0" applyFont="1" applyFill="1" applyBorder="1"/>
    <xf numFmtId="166" fontId="14" fillId="6" borderId="6" xfId="0" applyNumberFormat="1" applyFont="1" applyFill="1" applyBorder="1"/>
    <xf numFmtId="0" fontId="14" fillId="8" borderId="0" xfId="0" applyFont="1" applyFill="1"/>
    <xf numFmtId="166" fontId="14" fillId="8" borderId="0" xfId="0" applyNumberFormat="1" applyFont="1" applyFill="1"/>
    <xf numFmtId="0" fontId="14" fillId="2" borderId="23" xfId="0" applyFont="1" applyFill="1" applyBorder="1"/>
    <xf numFmtId="0" fontId="14" fillId="2" borderId="0" xfId="0" applyFont="1" applyFill="1"/>
    <xf numFmtId="0" fontId="11" fillId="6" borderId="32" xfId="0" applyFont="1" applyFill="1" applyBorder="1" applyAlignment="1">
      <alignment horizontal="left" vertical="center" wrapText="1"/>
    </xf>
    <xf numFmtId="0" fontId="11" fillId="6" borderId="33" xfId="0" applyFont="1" applyFill="1" applyBorder="1" applyAlignment="1">
      <alignment horizontal="left" vertical="center" wrapText="1"/>
    </xf>
    <xf numFmtId="0" fontId="13" fillId="2" borderId="23" xfId="0" applyFont="1" applyFill="1" applyBorder="1" applyAlignment="1">
      <alignment horizontal="center"/>
    </xf>
    <xf numFmtId="166" fontId="13" fillId="2" borderId="0" xfId="0" applyNumberFormat="1" applyFont="1" applyFill="1" applyAlignment="1">
      <alignment horizontal="center"/>
    </xf>
    <xf numFmtId="167" fontId="13" fillId="2" borderId="0" xfId="0" applyNumberFormat="1" applyFont="1" applyFill="1" applyAlignment="1">
      <alignment horizontal="center"/>
    </xf>
    <xf numFmtId="0" fontId="13" fillId="2" borderId="8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0" fontId="14" fillId="6" borderId="35" xfId="0" applyFont="1" applyFill="1" applyBorder="1"/>
    <xf numFmtId="166" fontId="14" fillId="6" borderId="36" xfId="0" applyNumberFormat="1" applyFont="1" applyFill="1" applyBorder="1"/>
    <xf numFmtId="0" fontId="14" fillId="6" borderId="37" xfId="0" applyFont="1" applyFill="1" applyBorder="1"/>
    <xf numFmtId="166" fontId="14" fillId="6" borderId="38" xfId="0" applyNumberFormat="1" applyFont="1" applyFill="1" applyBorder="1"/>
    <xf numFmtId="167" fontId="14" fillId="6" borderId="36" xfId="0" applyNumberFormat="1" applyFont="1" applyFill="1" applyBorder="1"/>
    <xf numFmtId="167" fontId="14" fillId="6" borderId="38" xfId="0" applyNumberFormat="1" applyFont="1" applyFill="1" applyBorder="1"/>
    <xf numFmtId="0" fontId="0" fillId="10" borderId="0" xfId="0" applyFill="1"/>
    <xf numFmtId="0" fontId="14" fillId="11" borderId="4" xfId="0" applyFont="1" applyFill="1" applyBorder="1"/>
    <xf numFmtId="0" fontId="11" fillId="8" borderId="40" xfId="0" applyFont="1" applyFill="1" applyBorder="1" applyAlignment="1">
      <alignment horizontal="center"/>
    </xf>
    <xf numFmtId="0" fontId="11" fillId="8" borderId="41" xfId="0" applyFont="1" applyFill="1" applyBorder="1" applyAlignment="1">
      <alignment horizontal="center"/>
    </xf>
    <xf numFmtId="166" fontId="11" fillId="6" borderId="42" xfId="0" applyNumberFormat="1" applyFont="1" applyFill="1" applyBorder="1" applyAlignment="1">
      <alignment horizontal="center" vertical="center"/>
    </xf>
    <xf numFmtId="166" fontId="11" fillId="6" borderId="43" xfId="0" applyNumberFormat="1" applyFont="1" applyFill="1" applyBorder="1" applyAlignment="1">
      <alignment horizontal="center" vertical="center"/>
    </xf>
    <xf numFmtId="167" fontId="11" fillId="6" borderId="44" xfId="0" applyNumberFormat="1" applyFont="1" applyFill="1" applyBorder="1" applyAlignment="1">
      <alignment horizontal="center" vertical="center"/>
    </xf>
    <xf numFmtId="166" fontId="11" fillId="6" borderId="45" xfId="0" applyNumberFormat="1" applyFont="1" applyFill="1" applyBorder="1" applyAlignment="1">
      <alignment horizontal="center" vertical="center"/>
    </xf>
    <xf numFmtId="3" fontId="11" fillId="6" borderId="46" xfId="0" applyNumberFormat="1" applyFont="1" applyFill="1" applyBorder="1" applyAlignment="1">
      <alignment horizontal="center" vertical="center"/>
    </xf>
    <xf numFmtId="3" fontId="11" fillId="6" borderId="47" xfId="0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 wrapText="1"/>
    </xf>
    <xf numFmtId="0" fontId="9" fillId="5" borderId="0" xfId="0" applyFont="1" applyFill="1" applyAlignment="1">
      <alignment horizontal="left" vertical="center"/>
    </xf>
    <xf numFmtId="166" fontId="13" fillId="5" borderId="48" xfId="0" applyNumberFormat="1" applyFont="1" applyFill="1" applyBorder="1" applyAlignment="1">
      <alignment horizontal="left" vertical="center"/>
    </xf>
    <xf numFmtId="166" fontId="11" fillId="6" borderId="23" xfId="0" applyNumberFormat="1" applyFont="1" applyFill="1" applyBorder="1" applyAlignment="1">
      <alignment horizontal="left"/>
    </xf>
    <xf numFmtId="0" fontId="11" fillId="6" borderId="0" xfId="0" applyFont="1" applyFill="1" applyAlignment="1">
      <alignment horizontal="center" vertical="top" wrapText="1"/>
    </xf>
    <xf numFmtId="0" fontId="11" fillId="6" borderId="0" xfId="0" applyFont="1" applyFill="1" applyAlignment="1">
      <alignment horizontal="center" vertical="top"/>
    </xf>
    <xf numFmtId="0" fontId="14" fillId="6" borderId="0" xfId="0" applyFont="1" applyFill="1" applyAlignment="1">
      <alignment horizontal="center" vertical="center" wrapText="1"/>
    </xf>
    <xf numFmtId="167" fontId="11" fillId="6" borderId="0" xfId="0" applyNumberFormat="1" applyFont="1" applyFill="1" applyAlignment="1">
      <alignment horizontal="center" wrapText="1"/>
    </xf>
    <xf numFmtId="0" fontId="14" fillId="14" borderId="0" xfId="0" applyFont="1" applyFill="1"/>
    <xf numFmtId="0" fontId="11" fillId="8" borderId="57" xfId="0" applyFont="1" applyFill="1" applyBorder="1" applyAlignment="1">
      <alignment horizontal="center"/>
    </xf>
    <xf numFmtId="0" fontId="11" fillId="6" borderId="34" xfId="0" applyFont="1" applyFill="1" applyBorder="1" applyAlignment="1">
      <alignment horizontal="center" vertical="center"/>
    </xf>
    <xf numFmtId="0" fontId="0" fillId="10" borderId="56" xfId="0" applyFill="1" applyBorder="1"/>
    <xf numFmtId="0" fontId="14" fillId="6" borderId="60" xfId="0" applyFont="1" applyFill="1" applyBorder="1"/>
    <xf numFmtId="0" fontId="14" fillId="6" borderId="61" xfId="0" applyFont="1" applyFill="1" applyBorder="1"/>
    <xf numFmtId="0" fontId="13" fillId="2" borderId="63" xfId="0" applyFont="1" applyFill="1" applyBorder="1" applyAlignment="1">
      <alignment horizontal="center"/>
    </xf>
    <xf numFmtId="0" fontId="13" fillId="2" borderId="62" xfId="0" applyFont="1" applyFill="1" applyBorder="1" applyAlignment="1">
      <alignment horizontal="center"/>
    </xf>
    <xf numFmtId="0" fontId="0" fillId="10" borderId="64" xfId="0" applyFill="1" applyBorder="1"/>
    <xf numFmtId="0" fontId="10" fillId="6" borderId="0" xfId="0" applyFont="1" applyFill="1" applyAlignment="1">
      <alignment horizontal="center" vertical="center"/>
    </xf>
    <xf numFmtId="0" fontId="0" fillId="0" borderId="0" xfId="0"/>
    <xf numFmtId="0" fontId="4" fillId="5" borderId="0" xfId="0" applyFont="1" applyFill="1" applyAlignment="1">
      <alignment horizontal="left" vertical="center" wrapText="1"/>
    </xf>
    <xf numFmtId="0" fontId="6" fillId="2" borderId="39" xfId="0" applyFont="1" applyFill="1" applyBorder="1" applyAlignment="1">
      <alignment horizontal="center" vertical="center"/>
    </xf>
    <xf numFmtId="0" fontId="7" fillId="2" borderId="39" xfId="0" applyFont="1" applyFill="1" applyBorder="1"/>
    <xf numFmtId="0" fontId="7" fillId="2" borderId="55" xfId="0" applyFont="1" applyFill="1" applyBorder="1"/>
    <xf numFmtId="166" fontId="8" fillId="6" borderId="0" xfId="0" applyNumberFormat="1" applyFont="1" applyFill="1" applyAlignment="1">
      <alignment horizontal="center" vertical="center"/>
    </xf>
    <xf numFmtId="0" fontId="0" fillId="0" borderId="50" xfId="0" applyBorder="1"/>
    <xf numFmtId="3" fontId="8" fillId="6" borderId="0" xfId="0" applyNumberFormat="1" applyFont="1" applyFill="1" applyAlignment="1">
      <alignment horizontal="center" vertical="center"/>
    </xf>
    <xf numFmtId="0" fontId="7" fillId="6" borderId="50" xfId="0" applyFont="1" applyFill="1" applyBorder="1"/>
    <xf numFmtId="0" fontId="7" fillId="7" borderId="50" xfId="0" applyFont="1" applyFill="1" applyBorder="1"/>
    <xf numFmtId="167" fontId="8" fillId="6" borderId="56" xfId="0" applyNumberFormat="1" applyFont="1" applyFill="1" applyBorder="1" applyAlignment="1">
      <alignment horizontal="center" vertical="center"/>
    </xf>
    <xf numFmtId="0" fontId="7" fillId="6" borderId="0" xfId="0" applyFont="1" applyFill="1"/>
    <xf numFmtId="0" fontId="0" fillId="0" borderId="56" xfId="0" applyBorder="1"/>
    <xf numFmtId="0" fontId="7" fillId="7" borderId="0" xfId="0" applyFont="1" applyFill="1"/>
    <xf numFmtId="0" fontId="10" fillId="6" borderId="51" xfId="0" applyFont="1" applyFill="1" applyBorder="1" applyAlignment="1">
      <alignment horizontal="center" vertical="center"/>
    </xf>
    <xf numFmtId="0" fontId="7" fillId="6" borderId="59" xfId="0" applyFont="1" applyFill="1" applyBorder="1"/>
    <xf numFmtId="0" fontId="10" fillId="6" borderId="53" xfId="0" applyFont="1" applyFill="1" applyBorder="1" applyAlignment="1">
      <alignment horizontal="center" vertical="center"/>
    </xf>
    <xf numFmtId="0" fontId="7" fillId="6" borderId="6" xfId="0" applyFont="1" applyFill="1" applyBorder="1"/>
    <xf numFmtId="0" fontId="7" fillId="6" borderId="54" xfId="0" applyFont="1" applyFill="1" applyBorder="1"/>
    <xf numFmtId="0" fontId="6" fillId="2" borderId="49" xfId="0" applyFont="1" applyFill="1" applyBorder="1" applyAlignment="1">
      <alignment horizontal="center" vertical="center"/>
    </xf>
    <xf numFmtId="0" fontId="7" fillId="2" borderId="2" xfId="0" applyFont="1" applyFill="1" applyBorder="1"/>
    <xf numFmtId="0" fontId="7" fillId="2" borderId="52" xfId="0" applyFont="1" applyFill="1" applyBorder="1"/>
    <xf numFmtId="0" fontId="7" fillId="2" borderId="58" xfId="0" applyFont="1" applyFill="1" applyBorder="1"/>
    <xf numFmtId="0" fontId="22" fillId="9" borderId="23" xfId="0" applyFont="1" applyFill="1" applyBorder="1" applyAlignment="1">
      <alignment horizontal="center"/>
    </xf>
    <xf numFmtId="0" fontId="23" fillId="0" borderId="0" xfId="0" applyFont="1"/>
    <xf numFmtId="0" fontId="24" fillId="0" borderId="4" xfId="0" applyFont="1" applyBorder="1"/>
    <xf numFmtId="0" fontId="24" fillId="0" borderId="23" xfId="0" applyFont="1" applyBorder="1"/>
    <xf numFmtId="166" fontId="20" fillId="6" borderId="23" xfId="0" applyNumberFormat="1" applyFont="1" applyFill="1" applyBorder="1" applyAlignment="1">
      <alignment horizontal="center" vertical="center"/>
    </xf>
    <xf numFmtId="0" fontId="7" fillId="0" borderId="4" xfId="0" applyFont="1" applyBorder="1"/>
    <xf numFmtId="0" fontId="7" fillId="0" borderId="23" xfId="0" applyFont="1" applyBorder="1"/>
    <xf numFmtId="0" fontId="13" fillId="2" borderId="1" xfId="0" applyFont="1" applyFill="1" applyBorder="1" applyAlignment="1">
      <alignment horizontal="left" vertical="center"/>
    </xf>
    <xf numFmtId="0" fontId="7" fillId="0" borderId="2" xfId="0" applyFont="1" applyBorder="1"/>
    <xf numFmtId="0" fontId="7" fillId="0" borderId="3" xfId="0" applyFont="1" applyBorder="1"/>
    <xf numFmtId="0" fontId="7" fillId="0" borderId="13" xfId="0" applyFont="1" applyBorder="1"/>
    <xf numFmtId="0" fontId="19" fillId="2" borderId="30" xfId="0" applyFont="1" applyFill="1" applyBorder="1" applyAlignment="1">
      <alignment horizontal="center" vertical="center" wrapText="1"/>
    </xf>
    <xf numFmtId="0" fontId="7" fillId="0" borderId="30" xfId="0" applyFont="1" applyBorder="1"/>
    <xf numFmtId="0" fontId="7" fillId="0" borderId="31" xfId="0" applyFont="1" applyBorder="1"/>
    <xf numFmtId="0" fontId="21" fillId="2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left"/>
    </xf>
    <xf numFmtId="0" fontId="11" fillId="6" borderId="24" xfId="0" applyFont="1" applyFill="1" applyBorder="1" applyAlignment="1">
      <alignment horizontal="center" vertical="center"/>
    </xf>
    <xf numFmtId="0" fontId="7" fillId="0" borderId="25" xfId="0" applyFont="1" applyBorder="1"/>
    <xf numFmtId="166" fontId="13" fillId="2" borderId="1" xfId="0" applyNumberFormat="1" applyFont="1" applyFill="1" applyBorder="1" applyAlignment="1">
      <alignment horizontal="left" vertical="center"/>
    </xf>
    <xf numFmtId="0" fontId="7" fillId="0" borderId="52" xfId="0" applyFont="1" applyBorder="1"/>
    <xf numFmtId="0" fontId="7" fillId="0" borderId="50" xfId="0" applyFont="1" applyBorder="1"/>
    <xf numFmtId="166" fontId="22" fillId="12" borderId="0" xfId="0" applyNumberFormat="1" applyFont="1" applyFill="1" applyAlignment="1">
      <alignment horizontal="center"/>
    </xf>
    <xf numFmtId="0" fontId="23" fillId="13" borderId="0" xfId="0" applyFont="1" applyFill="1"/>
    <xf numFmtId="0" fontId="24" fillId="13" borderId="0" xfId="0" applyFont="1" applyFill="1"/>
    <xf numFmtId="0" fontId="9" fillId="5" borderId="14" xfId="0" applyFont="1" applyFill="1" applyBorder="1" applyAlignment="1">
      <alignment horizontal="left" vertical="center"/>
    </xf>
    <xf numFmtId="0" fontId="7" fillId="0" borderId="28" xfId="0" applyFont="1" applyBorder="1"/>
    <xf numFmtId="0" fontId="17" fillId="5" borderId="8" xfId="0" applyFont="1" applyFill="1" applyBorder="1" applyAlignment="1">
      <alignment horizontal="left" vertical="center" wrapText="1"/>
    </xf>
    <xf numFmtId="0" fontId="7" fillId="0" borderId="9" xfId="0" applyFont="1" applyBorder="1"/>
    <xf numFmtId="0" fontId="18" fillId="6" borderId="24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/>
    </xf>
    <xf numFmtId="0" fontId="7" fillId="0" borderId="0" xfId="0" applyFont="1"/>
    <xf numFmtId="166" fontId="13" fillId="2" borderId="2" xfId="0" applyNumberFormat="1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9" fillId="5" borderId="18" xfId="0" applyFont="1" applyFill="1" applyBorder="1" applyAlignment="1">
      <alignment horizontal="left" vertical="center"/>
    </xf>
    <xf numFmtId="0" fontId="7" fillId="0" borderId="19" xfId="0" applyFont="1" applyBorder="1"/>
    <xf numFmtId="0" fontId="4" fillId="3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ill>
        <patternFill patternType="solid">
          <fgColor rgb="FFFAF6FC"/>
          <bgColor rgb="FFFAF6FC"/>
        </patternFill>
      </fill>
    </dxf>
    <dxf>
      <fill>
        <patternFill patternType="solid">
          <fgColor rgb="FFFAF6FC"/>
          <bgColor rgb="FFFAF6FC"/>
        </patternFill>
      </fill>
    </dxf>
    <dxf>
      <fill>
        <patternFill patternType="solid">
          <fgColor rgb="FF4B1F6F"/>
          <bgColor rgb="FF4B1F6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1155CC"/>
          <bgColor rgb="FF1155CC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4">
    <tableStyle name="Raw Data-style" pivot="0" count="4" xr9:uid="{00000000-0011-0000-FFFF-FFFF00000000}">
      <tableStyleElement type="wholeTable" size="0" dxfId="13"/>
      <tableStyleElement type="headerRow" dxfId="12"/>
      <tableStyleElement type="firstRowStripe" dxfId="11"/>
      <tableStyleElement type="secondRowStripe" dxfId="10"/>
    </tableStyle>
    <tableStyle name="Budget-style" pivot="0" count="4" xr9:uid="{00000000-0011-0000-FFFF-FFFF01000000}">
      <tableStyleElement type="wholeTable" size="0" dxfId="9"/>
      <tableStyleElement type="headerRow" dxfId="8"/>
      <tableStyleElement type="firstRowStripe" dxfId="7"/>
      <tableStyleElement type="secondRowStripe" dxfId="6"/>
    </tableStyle>
    <tableStyle name="Dashboard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Dashboard-style 2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colors>
    <mruColors>
      <color rgb="FFFDD2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GB" b="0">
                <a:solidFill>
                  <a:srgbClr val="757575"/>
                </a:solidFill>
                <a:latin typeface="+mn-lt"/>
              </a:rPr>
              <a:t>Monthly Sales vs Budget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Revenue</c:v>
          </c:tx>
          <c:spPr>
            <a:solidFill>
              <a:srgbClr val="4B1F6F"/>
            </a:solidFill>
            <a:ln cmpd="sng">
              <a:noFill/>
            </a:ln>
          </c:spPr>
          <c:invertIfNegative val="1"/>
          <c:cat>
            <c:strRef>
              <c:f>Dashboard!$P$3:$P$14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Dashboard!$Q$3:$Q$14</c:f>
              <c:numCache>
                <c:formatCode>General</c:formatCode>
                <c:ptCount val="12"/>
                <c:pt idx="0">
                  <c:v>96159.63999999997</c:v>
                </c:pt>
                <c:pt idx="1">
                  <c:v>62855.090000000004</c:v>
                </c:pt>
                <c:pt idx="2">
                  <c:v>84593.369999999966</c:v>
                </c:pt>
                <c:pt idx="3">
                  <c:v>70267.709999999963</c:v>
                </c:pt>
                <c:pt idx="4">
                  <c:v>82323.38</c:v>
                </c:pt>
                <c:pt idx="5">
                  <c:v>78582.38</c:v>
                </c:pt>
                <c:pt idx="6">
                  <c:v>64319.03</c:v>
                </c:pt>
                <c:pt idx="7">
                  <c:v>80145.579999999929</c:v>
                </c:pt>
                <c:pt idx="8">
                  <c:v>73125.679999999993</c:v>
                </c:pt>
                <c:pt idx="9">
                  <c:v>81057.370000000024</c:v>
                </c:pt>
                <c:pt idx="10">
                  <c:v>61572.740000000005</c:v>
                </c:pt>
                <c:pt idx="11">
                  <c:v>66103.889999999985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CCA-4E74-8738-5F1AB8373AE7}"/>
            </c:ext>
          </c:extLst>
        </c:ser>
        <c:ser>
          <c:idx val="1"/>
          <c:order val="1"/>
          <c:tx>
            <c:v>Budget</c:v>
          </c:tx>
          <c:spPr>
            <a:solidFill>
              <a:srgbClr val="8E7CC3"/>
            </a:solidFill>
            <a:ln cmpd="sng">
              <a:noFill/>
            </a:ln>
          </c:spPr>
          <c:invertIfNegative val="1"/>
          <c:cat>
            <c:strRef>
              <c:f>Dashboard!$P$3:$P$14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Dashboard!$R$3:$R$14</c:f>
              <c:numCache>
                <c:formatCode>General</c:formatCode>
                <c:ptCount val="12"/>
                <c:pt idx="0">
                  <c:v>408119.17999999988</c:v>
                </c:pt>
                <c:pt idx="1">
                  <c:v>408119.17999999988</c:v>
                </c:pt>
                <c:pt idx="2">
                  <c:v>408119.17999999988</c:v>
                </c:pt>
                <c:pt idx="3">
                  <c:v>408119.17999999988</c:v>
                </c:pt>
                <c:pt idx="4">
                  <c:v>408119.17999999988</c:v>
                </c:pt>
                <c:pt idx="5">
                  <c:v>440768.66999999987</c:v>
                </c:pt>
                <c:pt idx="6">
                  <c:v>440768.66999999987</c:v>
                </c:pt>
                <c:pt idx="7">
                  <c:v>440768.66999999987</c:v>
                </c:pt>
                <c:pt idx="8">
                  <c:v>408119.17999999988</c:v>
                </c:pt>
                <c:pt idx="9">
                  <c:v>408119.17999999988</c:v>
                </c:pt>
                <c:pt idx="10">
                  <c:v>489742.98999999987</c:v>
                </c:pt>
                <c:pt idx="11">
                  <c:v>489742.98999999987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CCA-4E74-8738-5F1AB837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5538154"/>
        <c:axId val="195153358"/>
      </c:barChart>
      <c:catAx>
        <c:axId val="141553815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5153358"/>
        <c:crosses val="autoZero"/>
        <c:auto val="1"/>
        <c:lblAlgn val="ctr"/>
        <c:lblOffset val="100"/>
        <c:noMultiLvlLbl val="1"/>
      </c:catAx>
      <c:valAx>
        <c:axId val="19515335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15538154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GB" b="0">
                <a:solidFill>
                  <a:srgbClr val="757575"/>
                </a:solidFill>
                <a:latin typeface="+mn-lt"/>
              </a:rPr>
              <a:t>Sales by Category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B1F6F"/>
              </a:solidFill>
            </c:spPr>
            <c:extLst>
              <c:ext xmlns:c16="http://schemas.microsoft.com/office/drawing/2014/chart" uri="{C3380CC4-5D6E-409C-BE32-E72D297353CC}">
                <c16:uniqueId val="{00000001-BA58-4AB5-B469-2BBB4C18047A}"/>
              </c:ext>
            </c:extLst>
          </c:dPt>
          <c:dPt>
            <c:idx val="1"/>
            <c:bubble3D val="0"/>
            <c:spPr>
              <a:solidFill>
                <a:srgbClr val="8E7CC3"/>
              </a:solidFill>
            </c:spPr>
            <c:extLst>
              <c:ext xmlns:c16="http://schemas.microsoft.com/office/drawing/2014/chart" uri="{C3380CC4-5D6E-409C-BE32-E72D297353CC}">
                <c16:uniqueId val="{00000003-BA58-4AB5-B469-2BBB4C18047A}"/>
              </c:ext>
            </c:extLst>
          </c:dPt>
          <c:dPt>
            <c:idx val="2"/>
            <c:bubble3D val="0"/>
            <c:spPr>
              <a:solidFill>
                <a:srgbClr val="FF6F31"/>
              </a:solidFill>
            </c:spPr>
            <c:extLst>
              <c:ext xmlns:c16="http://schemas.microsoft.com/office/drawing/2014/chart" uri="{C3380CC4-5D6E-409C-BE32-E72D297353CC}">
                <c16:uniqueId val="{00000005-BA58-4AB5-B469-2BBB4C18047A}"/>
              </c:ext>
            </c:extLst>
          </c:dPt>
          <c:cat>
            <c:strRef>
              <c:f>Dashboard!$V$11:$V$13</c:f>
              <c:strCache>
                <c:ptCount val="3"/>
                <c:pt idx="0">
                  <c:v>Technology</c:v>
                </c:pt>
                <c:pt idx="1">
                  <c:v>Office Supplies</c:v>
                </c:pt>
                <c:pt idx="2">
                  <c:v>Furniture</c:v>
                </c:pt>
              </c:strCache>
            </c:strRef>
          </c:cat>
          <c:val>
            <c:numRef>
              <c:f>Dashboard!$W$11:$W$13</c:f>
              <c:numCache>
                <c:formatCode>General</c:formatCode>
                <c:ptCount val="3"/>
                <c:pt idx="0">
                  <c:v>320356.92000000022</c:v>
                </c:pt>
                <c:pt idx="1">
                  <c:v>95022.040000000037</c:v>
                </c:pt>
                <c:pt idx="2">
                  <c:v>485726.89999999962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58-4AB5-B469-2BBB4C180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GB" b="0">
                <a:solidFill>
                  <a:srgbClr val="757575"/>
                </a:solidFill>
                <a:latin typeface="+mn-lt"/>
              </a:rPr>
              <a:t>Sales by Region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Revenue</c:v>
          </c:tx>
          <c:spPr>
            <a:solidFill>
              <a:srgbClr val="4B1F6F"/>
            </a:solidFill>
            <a:ln cmpd="sng">
              <a:noFill/>
            </a:ln>
          </c:spPr>
          <c:invertIfNegative val="1"/>
          <c:cat>
            <c:strRef>
              <c:f>Dashboard!$V$3:$V$6</c:f>
              <c:strCache>
                <c:ptCount val="4"/>
                <c:pt idx="0">
                  <c:v>UK</c:v>
                </c:pt>
                <c:pt idx="1">
                  <c:v>Europe</c:v>
                </c:pt>
                <c:pt idx="2">
                  <c:v>North America</c:v>
                </c:pt>
                <c:pt idx="3">
                  <c:v>Asia Pacific</c:v>
                </c:pt>
              </c:strCache>
            </c:strRef>
          </c:cat>
          <c:val>
            <c:numRef>
              <c:f>Dashboard!$W$3:$W$6</c:f>
              <c:numCache>
                <c:formatCode>General</c:formatCode>
                <c:ptCount val="4"/>
                <c:pt idx="0">
                  <c:v>450594.61999999988</c:v>
                </c:pt>
                <c:pt idx="1">
                  <c:v>227234.51000000004</c:v>
                </c:pt>
                <c:pt idx="2">
                  <c:v>140951.98999999987</c:v>
                </c:pt>
                <c:pt idx="3">
                  <c:v>82324.739999999962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A49-436B-B400-6500E802D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3866073"/>
        <c:axId val="1507326530"/>
      </c:barChart>
      <c:catAx>
        <c:axId val="175386607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07326530"/>
        <c:crosses val="autoZero"/>
        <c:auto val="1"/>
        <c:lblAlgn val="ctr"/>
        <c:lblOffset val="100"/>
        <c:noMultiLvlLbl val="1"/>
      </c:catAx>
      <c:valAx>
        <c:axId val="150732653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5386607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GB" b="0">
                <a:solidFill>
                  <a:srgbClr val="757575"/>
                </a:solidFill>
                <a:latin typeface="+mn-lt"/>
              </a:rPr>
              <a:t>Sales by Channel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B1F6F"/>
              </a:solidFill>
            </c:spPr>
            <c:extLst>
              <c:ext xmlns:c16="http://schemas.microsoft.com/office/drawing/2014/chart" uri="{C3380CC4-5D6E-409C-BE32-E72D297353CC}">
                <c16:uniqueId val="{00000001-1764-4D23-9F21-524B9A4257BC}"/>
              </c:ext>
            </c:extLst>
          </c:dPt>
          <c:dPt>
            <c:idx val="1"/>
            <c:bubble3D val="0"/>
            <c:spPr>
              <a:solidFill>
                <a:srgbClr val="8E7CC3"/>
              </a:solidFill>
            </c:spPr>
            <c:extLst>
              <c:ext xmlns:c16="http://schemas.microsoft.com/office/drawing/2014/chart" uri="{C3380CC4-5D6E-409C-BE32-E72D297353CC}">
                <c16:uniqueId val="{00000003-1764-4D23-9F21-524B9A4257BC}"/>
              </c:ext>
            </c:extLst>
          </c:dPt>
          <c:dPt>
            <c:idx val="2"/>
            <c:bubble3D val="0"/>
            <c:spPr>
              <a:solidFill>
                <a:srgbClr val="FF6F31"/>
              </a:solidFill>
            </c:spPr>
            <c:extLst>
              <c:ext xmlns:c16="http://schemas.microsoft.com/office/drawing/2014/chart" uri="{C3380CC4-5D6E-409C-BE32-E72D297353CC}">
                <c16:uniqueId val="{00000005-1764-4D23-9F21-524B9A4257BC}"/>
              </c:ext>
            </c:extLst>
          </c:dPt>
          <c:cat>
            <c:strRef>
              <c:f>Dashboard!$V$18:$V$20</c:f>
              <c:strCache>
                <c:ptCount val="3"/>
                <c:pt idx="0">
                  <c:v>Online</c:v>
                </c:pt>
                <c:pt idx="1">
                  <c:v>Retail</c:v>
                </c:pt>
                <c:pt idx="2">
                  <c:v>Wholesale</c:v>
                </c:pt>
              </c:strCache>
            </c:strRef>
          </c:cat>
          <c:val>
            <c:numRef>
              <c:f>Dashboard!$W$18:$W$20</c:f>
              <c:numCache>
                <c:formatCode>General</c:formatCode>
                <c:ptCount val="3"/>
                <c:pt idx="0">
                  <c:v>528952.68000000098</c:v>
                </c:pt>
                <c:pt idx="1">
                  <c:v>228988.87999999995</c:v>
                </c:pt>
                <c:pt idx="2">
                  <c:v>143164.29999999999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64-4D23-9F21-524B9A425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27543</xdr:colOff>
      <xdr:row>7</xdr:row>
      <xdr:rowOff>18361</xdr:rowOff>
    </xdr:from>
    <xdr:ext cx="7050794" cy="4048125"/>
    <xdr:graphicFrame macro="">
      <xdr:nvGraphicFramePr>
        <xdr:cNvPr id="528567686" name="Chart 1" title="Chart">
          <a:extLst>
            <a:ext uri="{FF2B5EF4-FFF2-40B4-BE49-F238E27FC236}">
              <a16:creationId xmlns:a16="http://schemas.microsoft.com/office/drawing/2014/main" id="{00000000-0008-0000-0000-0000864D8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9</xdr:col>
      <xdr:colOff>0</xdr:colOff>
      <xdr:row>7</xdr:row>
      <xdr:rowOff>0</xdr:rowOff>
    </xdr:from>
    <xdr:ext cx="4718138" cy="4048125"/>
    <xdr:graphicFrame macro="">
      <xdr:nvGraphicFramePr>
        <xdr:cNvPr id="277060741" name="Chart 2">
          <a:extLst>
            <a:ext uri="{FF2B5EF4-FFF2-40B4-BE49-F238E27FC236}">
              <a16:creationId xmlns:a16="http://schemas.microsoft.com/office/drawing/2014/main" id="{00000000-0008-0000-0000-0000859C8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0</xdr:colOff>
      <xdr:row>28</xdr:row>
      <xdr:rowOff>0</xdr:rowOff>
    </xdr:from>
    <xdr:ext cx="4572000" cy="3333750"/>
    <xdr:graphicFrame macro="">
      <xdr:nvGraphicFramePr>
        <xdr:cNvPr id="1485240713" name="Chart 3" title="Chart">
          <a:extLst>
            <a:ext uri="{FF2B5EF4-FFF2-40B4-BE49-F238E27FC236}">
              <a16:creationId xmlns:a16="http://schemas.microsoft.com/office/drawing/2014/main" id="{00000000-0008-0000-0000-000089F986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7</xdr:col>
      <xdr:colOff>0</xdr:colOff>
      <xdr:row>28</xdr:row>
      <xdr:rowOff>0</xdr:rowOff>
    </xdr:from>
    <xdr:ext cx="3657600" cy="3333750"/>
    <xdr:graphicFrame macro="">
      <xdr:nvGraphicFramePr>
        <xdr:cNvPr id="760984548" name="Chart 4">
          <a:extLst>
            <a:ext uri="{FF2B5EF4-FFF2-40B4-BE49-F238E27FC236}">
              <a16:creationId xmlns:a16="http://schemas.microsoft.com/office/drawing/2014/main" id="{00000000-0008-0000-0000-0000E4B35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_1" displayName="Table_1" ref="L37:N37" headerRowCount="0">
  <tableColumns count="3">
    <tableColumn id="1" xr3:uid="{00000000-0010-0000-0000-000001000000}" name="Column1"/>
    <tableColumn id="2" xr3:uid="{00000000-0010-0000-0000-000002000000}" name="Column2"/>
    <tableColumn id="3" xr3:uid="{00000000-0010-0000-0000-000003000000}" name="Column3"/>
  </tableColumns>
  <tableStyleInfo name="Dashboard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2" displayName="Table_2" ref="C48:N61" headerRowCount="0">
  <tableColumns count="12">
    <tableColumn id="1" xr3:uid="{00000000-0010-0000-0100-000001000000}" name="Column1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  <tableColumn id="7" xr3:uid="{00000000-0010-0000-0100-000007000000}" name="Column7"/>
    <tableColumn id="8" xr3:uid="{00000000-0010-0000-0100-000008000000}" name="Column8"/>
    <tableColumn id="9" xr3:uid="{00000000-0010-0000-0100-000009000000}" name="Column9"/>
    <tableColumn id="10" xr3:uid="{00000000-0010-0000-0100-00000A000000}" name="Column10"/>
    <tableColumn id="11" xr3:uid="{00000000-0010-0000-0100-00000B000000}" name="Column11"/>
    <tableColumn id="12" xr3:uid="{00000000-0010-0000-0100-00000C000000}" name="Column12"/>
  </tableColumns>
  <tableStyleInfo name="Dashboard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alesData" displayName="SalesData" ref="A1:P1801">
  <tableColumns count="16">
    <tableColumn id="1" xr3:uid="{00000000-0010-0000-0200-000001000000}" name="Order ID"/>
    <tableColumn id="2" xr3:uid="{00000000-0010-0000-0200-000002000000}" name="Date"/>
    <tableColumn id="3" xr3:uid="{00000000-0010-0000-0200-000003000000}" name="Year"/>
    <tableColumn id="4" xr3:uid="{00000000-0010-0000-0200-000004000000}" name="Month No"/>
    <tableColumn id="5" xr3:uid="{00000000-0010-0000-0200-000005000000}" name="Month"/>
    <tableColumn id="6" xr3:uid="{00000000-0010-0000-0200-000006000000}" name="Region"/>
    <tableColumn id="7" xr3:uid="{00000000-0010-0000-0200-000007000000}" name="Category"/>
    <tableColumn id="8" xr3:uid="{00000000-0010-0000-0200-000008000000}" name="Product"/>
    <tableColumn id="9" xr3:uid="{00000000-0010-0000-0200-000009000000}" name="Channel"/>
    <tableColumn id="10" xr3:uid="{00000000-0010-0000-0200-00000A000000}" name="Customer"/>
    <tableColumn id="11" xr3:uid="{00000000-0010-0000-0200-00000B000000}" name="Units"/>
    <tableColumn id="12" xr3:uid="{00000000-0010-0000-0200-00000C000000}" name="Unit Price"/>
    <tableColumn id="13" xr3:uid="{00000000-0010-0000-0200-00000D000000}" name="Revenue"/>
    <tableColumn id="14" xr3:uid="{00000000-0010-0000-0200-00000E000000}" name="Cost"/>
    <tableColumn id="15" xr3:uid="{00000000-0010-0000-0200-00000F000000}" name="Profit"/>
    <tableColumn id="16" xr3:uid="{00000000-0010-0000-0200-000010000000}" name="Selected"/>
  </tableColumns>
  <tableStyleInfo name="Raw Data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BudgetData" displayName="BudgetData" ref="A1:H865">
  <tableColumns count="8">
    <tableColumn id="1" xr3:uid="{00000000-0010-0000-0300-000001000000}" name="Year"/>
    <tableColumn id="2" xr3:uid="{00000000-0010-0000-0300-000002000000}" name="Month No"/>
    <tableColumn id="3" xr3:uid="{00000000-0010-0000-0300-000003000000}" name="Month"/>
    <tableColumn id="4" xr3:uid="{00000000-0010-0000-0300-000004000000}" name="Region"/>
    <tableColumn id="5" xr3:uid="{00000000-0010-0000-0300-000005000000}" name="Category"/>
    <tableColumn id="6" xr3:uid="{00000000-0010-0000-0300-000006000000}" name="Channel"/>
    <tableColumn id="7" xr3:uid="{00000000-0010-0000-0300-000007000000}" name="Budget Revenue"/>
    <tableColumn id="8" xr3:uid="{00000000-0010-0000-0300-000008000000}" name="Selected"/>
  </tableColumns>
  <tableStyleInfo name="Budget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B1F6F"/>
      </a:accent1>
      <a:accent2>
        <a:srgbClr val="8E7CC3"/>
      </a:accent2>
      <a:accent3>
        <a:srgbClr val="FF6F31"/>
      </a:accent3>
      <a:accent4>
        <a:srgbClr val="B4A7D6"/>
      </a:accent4>
      <a:accent5>
        <a:srgbClr val="0F45A8"/>
      </a:accent5>
      <a:accent6>
        <a:srgbClr val="4CDC8B"/>
      </a:accent6>
      <a:hlink>
        <a:srgbClr val="0097A7"/>
      </a:hlink>
      <a:folHlink>
        <a:srgbClr val="0097A7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1000"/>
  <sheetViews>
    <sheetView tabSelected="1" zoomScale="60" zoomScaleNormal="60" workbookViewId="0">
      <selection activeCell="Q20" sqref="Q20"/>
    </sheetView>
  </sheetViews>
  <sheetFormatPr defaultColWidth="12.59765625" defaultRowHeight="15" customHeight="1"/>
  <cols>
    <col min="1" max="2" width="13" customWidth="1"/>
    <col min="3" max="3" width="14.8984375" customWidth="1"/>
    <col min="4" max="8" width="12" customWidth="1"/>
    <col min="9" max="9" width="18.59765625" customWidth="1"/>
    <col min="10" max="10" width="14.5" customWidth="1"/>
    <col min="11" max="14" width="12" customWidth="1"/>
    <col min="15" max="15" width="72" style="91" customWidth="1"/>
    <col min="16" max="26" width="8.59765625" customWidth="1"/>
  </cols>
  <sheetData>
    <row r="1" spans="1:25" ht="24" customHeight="1">
      <c r="A1" s="99" t="s">
        <v>73</v>
      </c>
      <c r="B1" s="98"/>
      <c r="C1" s="80"/>
      <c r="D1" s="100" t="s">
        <v>74</v>
      </c>
      <c r="E1" s="101"/>
      <c r="F1" s="102"/>
      <c r="G1" s="100" t="s">
        <v>75</v>
      </c>
      <c r="H1" s="101"/>
      <c r="I1" s="101"/>
      <c r="J1" s="117" t="s">
        <v>76</v>
      </c>
      <c r="K1" s="118"/>
      <c r="L1" s="119"/>
      <c r="M1" s="117" t="s">
        <v>77</v>
      </c>
      <c r="N1" s="120"/>
    </row>
    <row r="2" spans="1:25" ht="24" customHeight="1">
      <c r="A2" s="98"/>
      <c r="B2" s="98"/>
      <c r="C2" s="80"/>
      <c r="D2" s="103">
        <f>SUMIFS('Raw Data'!$M$2:$M$1801,'Raw Data'!$P$2:$P$1801,1)</f>
        <v>901105.86000000103</v>
      </c>
      <c r="E2" s="98"/>
      <c r="F2" s="104"/>
      <c r="G2" s="105">
        <f>COUNTIFS('Raw Data'!$P$2:$P$1801,1)</f>
        <v>1800</v>
      </c>
      <c r="H2" s="98"/>
      <c r="I2" s="106"/>
      <c r="J2" s="103">
        <f>SUMIFS('Raw Data'!$O$2:$O$1801,'Raw Data'!$P$2:$P$1801,1)</f>
        <v>350728.9300000011</v>
      </c>
      <c r="K2" s="98"/>
      <c r="L2" s="106"/>
      <c r="M2" s="108">
        <f>IFERROR(K2/E2,0)</f>
        <v>0</v>
      </c>
      <c r="N2" s="109"/>
      <c r="P2" s="2" t="s">
        <v>19</v>
      </c>
      <c r="Q2" s="2" t="s">
        <v>29</v>
      </c>
      <c r="R2" s="2" t="s">
        <v>83</v>
      </c>
      <c r="S2" s="2" t="s">
        <v>84</v>
      </c>
      <c r="T2" s="2" t="s">
        <v>85</v>
      </c>
      <c r="V2" s="2" t="s">
        <v>20</v>
      </c>
      <c r="W2" s="2" t="s">
        <v>29</v>
      </c>
      <c r="X2" s="2" t="s">
        <v>32</v>
      </c>
    </row>
    <row r="3" spans="1:25" ht="23.25" customHeight="1">
      <c r="A3" s="98"/>
      <c r="B3" s="98"/>
      <c r="C3" s="80"/>
      <c r="D3" s="98"/>
      <c r="E3" s="98"/>
      <c r="F3" s="104"/>
      <c r="G3" s="98"/>
      <c r="H3" s="98"/>
      <c r="I3" s="107"/>
      <c r="J3" s="98"/>
      <c r="K3" s="98"/>
      <c r="L3" s="107"/>
      <c r="M3" s="110"/>
      <c r="N3" s="111"/>
      <c r="P3" s="2" t="s">
        <v>30</v>
      </c>
      <c r="Q3" s="2">
        <f>SUMIFS('Raw Data'!$M$2:$M$1801,'Raw Data'!$P$2:$P$1801,1,'Raw Data'!$D$2:$D$1801,1)</f>
        <v>96159.63999999997</v>
      </c>
      <c r="R3" s="2">
        <f>SUMIFS(Budget!$G$2:$G$865,Budget!$H$2:$H$865,1,Budget!$B$2:$B$865,1)</f>
        <v>408119.17999999988</v>
      </c>
      <c r="S3" s="2">
        <f t="shared" ref="S3:S14" si="0">Q3-R3</f>
        <v>-311959.53999999992</v>
      </c>
      <c r="T3" s="2">
        <f t="shared" ref="T3:T14" si="1">IFERROR(S3/R3,0)</f>
        <v>-0.76438343329024627</v>
      </c>
      <c r="V3" s="2" t="s">
        <v>5</v>
      </c>
      <c r="W3" s="2">
        <f>SUMIFS('Raw Data'!$M$2:$M$1801,'Raw Data'!$P$2:$P$1801,1,'Raw Data'!$F$2:$F$1801,V3)</f>
        <v>450594.61999999988</v>
      </c>
      <c r="X3" s="2">
        <f>SUMIFS('Raw Data'!$O$2:$O$1801,'Raw Data'!$P$2:$P$1801,1,'Raw Data'!$F$2:$F$1801,V3)</f>
        <v>175485.08999999994</v>
      </c>
    </row>
    <row r="4" spans="1:25" ht="24" customHeight="1">
      <c r="A4" s="9" t="s">
        <v>90</v>
      </c>
      <c r="B4" s="81"/>
      <c r="C4" s="9"/>
      <c r="D4" s="97" t="s">
        <v>91</v>
      </c>
      <c r="E4" s="98"/>
      <c r="F4" s="98"/>
      <c r="G4" s="114" t="s">
        <v>93</v>
      </c>
      <c r="H4" s="115"/>
      <c r="I4" s="116"/>
      <c r="J4" s="114" t="s">
        <v>95</v>
      </c>
      <c r="K4" s="115"/>
      <c r="L4" s="116"/>
      <c r="M4" s="112" t="s">
        <v>96</v>
      </c>
      <c r="N4" s="113"/>
      <c r="P4" s="2" t="s">
        <v>70</v>
      </c>
      <c r="Q4" s="2">
        <f>SUMIFS('Raw Data'!$M$2:$M$1801,'Raw Data'!$P$2:$P$1801,1,'Raw Data'!$D$2:$D$1801,2)</f>
        <v>62855.090000000004</v>
      </c>
      <c r="R4" s="2">
        <f>SUMIFS(Budget!$G$2:$G$865,Budget!$H$2:$H$865,1,Budget!$B$2:$B$865,2)</f>
        <v>408119.17999999988</v>
      </c>
      <c r="S4" s="2">
        <f t="shared" si="0"/>
        <v>-345264.08999999985</v>
      </c>
      <c r="T4" s="2">
        <f t="shared" si="1"/>
        <v>-0.84598839486054034</v>
      </c>
      <c r="V4" s="2" t="s">
        <v>8</v>
      </c>
      <c r="W4" s="2">
        <f>SUMIFS('Raw Data'!$M$2:$M$1801,'Raw Data'!$P$2:$P$1801,1,'Raw Data'!$F$2:$F$1801,V4)</f>
        <v>227234.51000000004</v>
      </c>
      <c r="X4" s="2">
        <f>SUMIFS('Raw Data'!$O$2:$O$1801,'Raw Data'!$P$2:$P$1801,1,'Raw Data'!$F$2:$F$1801,V4)</f>
        <v>88088.950000000041</v>
      </c>
    </row>
    <row r="5" spans="1:25" ht="1.5" customHeight="1">
      <c r="A5" s="10"/>
      <c r="B5" s="10"/>
      <c r="C5" s="72"/>
      <c r="D5" s="12"/>
      <c r="E5" s="11"/>
      <c r="F5" s="12"/>
      <c r="G5" s="13"/>
      <c r="H5" s="14"/>
      <c r="I5" s="73"/>
      <c r="J5" s="14"/>
      <c r="K5" s="13"/>
      <c r="L5" s="14"/>
      <c r="M5" s="13"/>
      <c r="N5" s="89"/>
      <c r="P5" s="2" t="s">
        <v>100</v>
      </c>
      <c r="Q5" s="2">
        <f>SUMIFS('Raw Data'!$M$2:$M$1801,'Raw Data'!$P$2:$P$1801,1,'Raw Data'!$D$2:$D$1801,3)</f>
        <v>84593.369999999966</v>
      </c>
      <c r="R5" s="2">
        <f>SUMIFS(Budget!$G$2:$G$865,Budget!$H$2:$H$865,1,Budget!$B$2:$B$865,3)</f>
        <v>408119.17999999988</v>
      </c>
      <c r="S5" s="2">
        <f t="shared" si="0"/>
        <v>-323525.80999999994</v>
      </c>
      <c r="T5" s="2">
        <f t="shared" si="1"/>
        <v>-0.7927238558109424</v>
      </c>
      <c r="V5" s="2" t="s">
        <v>11</v>
      </c>
      <c r="W5" s="2">
        <f>SUMIFS('Raw Data'!$M$2:$M$1801,'Raw Data'!$P$2:$P$1801,1,'Raw Data'!$F$2:$F$1801,V5)</f>
        <v>140951.98999999987</v>
      </c>
      <c r="X5" s="2">
        <f>SUMIFS('Raw Data'!$O$2:$O$1801,'Raw Data'!$P$2:$P$1801,1,'Raw Data'!$F$2:$F$1801,V5)</f>
        <v>54863.230000000047</v>
      </c>
    </row>
    <row r="6" spans="1:25" ht="18.75" customHeight="1">
      <c r="A6" s="150" t="s">
        <v>102</v>
      </c>
      <c r="B6" s="151"/>
      <c r="C6" s="152" t="s">
        <v>103</v>
      </c>
      <c r="D6" s="129"/>
      <c r="E6" s="129"/>
      <c r="F6" s="129"/>
      <c r="G6" s="129"/>
      <c r="H6" s="129"/>
      <c r="I6" s="129"/>
      <c r="J6" s="153" t="s">
        <v>105</v>
      </c>
      <c r="K6" s="151"/>
      <c r="L6" s="151"/>
      <c r="M6" s="151"/>
      <c r="N6" s="151"/>
      <c r="O6" s="70"/>
      <c r="P6" s="2" t="s">
        <v>106</v>
      </c>
      <c r="Q6" s="2">
        <f>SUMIFS('Raw Data'!$M$2:$M$1801,'Raw Data'!$P$2:$P$1801,1,'Raw Data'!$D$2:$D$1801,4)</f>
        <v>70267.709999999963</v>
      </c>
      <c r="R6" s="2">
        <f>SUMIFS(Budget!$G$2:$G$865,Budget!$H$2:$H$865,1,Budget!$B$2:$B$865,4)</f>
        <v>408119.17999999988</v>
      </c>
      <c r="S6" s="2">
        <f t="shared" si="0"/>
        <v>-337851.46999999991</v>
      </c>
      <c r="T6" s="2">
        <f t="shared" si="1"/>
        <v>-0.82782551410595306</v>
      </c>
      <c r="V6" s="2" t="s">
        <v>14</v>
      </c>
      <c r="W6" s="2">
        <f>SUMIFS('Raw Data'!$M$2:$M$1801,'Raw Data'!$P$2:$P$1801,1,'Raw Data'!$F$2:$F$1801,V6)</f>
        <v>82324.739999999962</v>
      </c>
      <c r="X6" s="2">
        <f>SUMIFS('Raw Data'!$O$2:$O$1801,'Raw Data'!$P$2:$P$1801,1,'Raw Data'!$F$2:$F$1801,V6)</f>
        <v>32291.660000000018</v>
      </c>
    </row>
    <row r="7" spans="1:25" ht="18.75" customHeight="1">
      <c r="A7" s="151"/>
      <c r="B7" s="151"/>
      <c r="C7" s="151"/>
      <c r="D7" s="98"/>
      <c r="E7" s="98"/>
      <c r="F7" s="98"/>
      <c r="G7" s="98"/>
      <c r="H7" s="98"/>
      <c r="I7" s="151"/>
      <c r="J7" s="151"/>
      <c r="K7" s="98"/>
      <c r="L7" s="98"/>
      <c r="M7" s="98"/>
      <c r="N7" s="151"/>
      <c r="O7" s="70"/>
      <c r="P7" s="2" t="s">
        <v>108</v>
      </c>
      <c r="Q7" s="2">
        <f>SUMIFS('Raw Data'!$M$2:$M$1801,'Raw Data'!$P$2:$P$1801,1,'Raw Data'!$D$2:$D$1801,5)</f>
        <v>82323.38</v>
      </c>
      <c r="R7" s="2">
        <f>SUMIFS(Budget!$G$2:$G$865,Budget!$H$2:$H$865,1,Budget!$B$2:$B$865,5)</f>
        <v>408119.17999999988</v>
      </c>
      <c r="S7" s="2">
        <f t="shared" si="0"/>
        <v>-325795.79999999987</v>
      </c>
      <c r="T7" s="2">
        <f t="shared" si="1"/>
        <v>-0.79828593206523635</v>
      </c>
    </row>
    <row r="8" spans="1:25" ht="18.75" customHeight="1">
      <c r="A8" s="82" t="s">
        <v>4</v>
      </c>
      <c r="B8" s="82" t="s">
        <v>4</v>
      </c>
      <c r="C8" s="74"/>
      <c r="D8" s="75"/>
      <c r="E8" s="76"/>
      <c r="F8" s="77"/>
      <c r="G8" s="78"/>
      <c r="H8" s="79"/>
      <c r="I8" s="70"/>
      <c r="J8" s="15"/>
      <c r="K8" s="16"/>
      <c r="L8" s="15"/>
      <c r="M8" s="17"/>
      <c r="N8" s="90"/>
      <c r="P8" s="2" t="s">
        <v>34</v>
      </c>
      <c r="Q8" s="2">
        <f>SUMIFS('Raw Data'!$M$2:$M$1801,'Raw Data'!$P$2:$P$1801,1,'Raw Data'!$D$2:$D$1801,6)</f>
        <v>78582.38</v>
      </c>
      <c r="R8" s="2">
        <f>SUMIFS(Budget!$G$2:$G$865,Budget!$H$2:$H$865,1,Budget!$B$2:$B$865,6)</f>
        <v>440768.66999999987</v>
      </c>
      <c r="S8" s="2">
        <f t="shared" si="0"/>
        <v>-362186.28999999986</v>
      </c>
      <c r="T8" s="2">
        <f t="shared" si="1"/>
        <v>-0.82171514141420254</v>
      </c>
    </row>
    <row r="9" spans="1:25" ht="18.75" customHeight="1">
      <c r="A9" s="154" t="s">
        <v>112</v>
      </c>
      <c r="B9" s="155"/>
      <c r="C9" s="18"/>
      <c r="D9" s="19"/>
      <c r="E9" s="20"/>
      <c r="F9" s="21"/>
      <c r="G9" s="19"/>
      <c r="H9" s="19"/>
      <c r="I9" s="70"/>
      <c r="J9" s="24"/>
      <c r="K9" s="24"/>
      <c r="L9" s="24"/>
      <c r="M9" s="24"/>
      <c r="N9" s="24"/>
      <c r="P9" s="2" t="s">
        <v>63</v>
      </c>
      <c r="Q9" s="2">
        <f>SUMIFS('Raw Data'!$M$2:$M$1801,'Raw Data'!$P$2:$P$1801,1,'Raw Data'!$D$2:$D$1801,7)</f>
        <v>64319.03</v>
      </c>
      <c r="R9" s="2">
        <f>SUMIFS(Budget!$G$2:$G$865,Budget!$H$2:$H$865,1,Budget!$B$2:$B$865,7)</f>
        <v>440768.66999999987</v>
      </c>
      <c r="S9" s="2">
        <f t="shared" si="0"/>
        <v>-376449.6399999999</v>
      </c>
      <c r="T9" s="2">
        <f t="shared" si="1"/>
        <v>-0.85407531347452625</v>
      </c>
    </row>
    <row r="10" spans="1:25" ht="18.75" customHeight="1">
      <c r="A10" s="137" t="s">
        <v>4</v>
      </c>
      <c r="B10" s="138"/>
      <c r="C10" s="25"/>
      <c r="D10" s="26"/>
      <c r="E10" s="26"/>
      <c r="F10" s="26"/>
      <c r="G10" s="26"/>
      <c r="H10" s="26"/>
      <c r="I10" s="70"/>
      <c r="J10" s="25"/>
      <c r="K10" s="26"/>
      <c r="L10" s="26"/>
      <c r="M10" s="26"/>
      <c r="N10" s="26"/>
      <c r="P10" s="2" t="s">
        <v>67</v>
      </c>
      <c r="Q10" s="2">
        <f>SUMIFS('Raw Data'!$M$2:$M$1801,'Raw Data'!$P$2:$P$1801,1,'Raw Data'!$D$2:$D$1801,8)</f>
        <v>80145.579999999929</v>
      </c>
      <c r="R10" s="2">
        <f>SUMIFS(Budget!$G$2:$G$865,Budget!$H$2:$H$865,1,Budget!$B$2:$B$865,8)</f>
        <v>440768.66999999987</v>
      </c>
      <c r="S10" s="2">
        <f t="shared" si="0"/>
        <v>-360623.08999999997</v>
      </c>
      <c r="T10" s="2">
        <f t="shared" si="1"/>
        <v>-0.81816860985151252</v>
      </c>
      <c r="V10" s="2" t="s">
        <v>21</v>
      </c>
      <c r="W10" s="2" t="s">
        <v>29</v>
      </c>
      <c r="X10" s="2" t="s">
        <v>32</v>
      </c>
      <c r="Y10" s="2" t="s">
        <v>116</v>
      </c>
    </row>
    <row r="11" spans="1:25" ht="18.75" customHeight="1" thickBot="1">
      <c r="A11" s="27" t="s">
        <v>4</v>
      </c>
      <c r="B11" s="28"/>
      <c r="C11" s="29"/>
      <c r="D11" s="30"/>
      <c r="E11" s="30"/>
      <c r="F11" s="30"/>
      <c r="G11" s="30"/>
      <c r="H11" s="30"/>
      <c r="I11" s="70"/>
      <c r="J11" s="29"/>
      <c r="K11" s="30"/>
      <c r="L11" s="30"/>
      <c r="M11" s="30"/>
      <c r="N11" s="30"/>
      <c r="P11" s="2" t="s">
        <v>79</v>
      </c>
      <c r="Q11" s="2">
        <f>SUMIFS('Raw Data'!$M$2:$M$1801,'Raw Data'!$P$2:$P$1801,1,'Raw Data'!$D$2:$D$1801,9)</f>
        <v>73125.679999999993</v>
      </c>
      <c r="R11" s="2">
        <f>SUMIFS(Budget!$G$2:$G$865,Budget!$H$2:$H$865,1,Budget!$B$2:$B$865,9)</f>
        <v>408119.17999999988</v>
      </c>
      <c r="S11" s="2">
        <f t="shared" si="0"/>
        <v>-334993.49999999988</v>
      </c>
      <c r="T11" s="2">
        <f t="shared" si="1"/>
        <v>-0.8208227312423787</v>
      </c>
      <c r="V11" s="2" t="s">
        <v>6</v>
      </c>
      <c r="W11" s="2">
        <f>SUMIFS('Raw Data'!$M$2:$M$1801,'Raw Data'!$P$2:$P$1801,1,'Raw Data'!$G$2:$G$1801,V11)</f>
        <v>320356.92000000022</v>
      </c>
      <c r="X11" s="2">
        <f>SUMIFS('Raw Data'!$O$2:$O$1801,'Raw Data'!$P$2:$P$1801,1,'Raw Data'!$G$2:$G$1801,V11)</f>
        <v>109240.78999999998</v>
      </c>
      <c r="Y11" s="2">
        <f t="shared" ref="Y11:Y13" si="2">IFERROR(X11/W11,0)</f>
        <v>0.34099712907715529</v>
      </c>
    </row>
    <row r="12" spans="1:25" ht="18.75" customHeight="1">
      <c r="A12" s="32"/>
      <c r="B12" s="33"/>
      <c r="C12" s="34"/>
      <c r="D12" s="35"/>
      <c r="E12" s="36"/>
      <c r="F12" s="24"/>
      <c r="G12" s="24"/>
      <c r="H12" s="35"/>
      <c r="I12" s="70"/>
      <c r="J12" s="23"/>
      <c r="K12" s="24"/>
      <c r="L12" s="35"/>
      <c r="M12" s="35"/>
      <c r="N12" s="36"/>
      <c r="P12" s="2" t="s">
        <v>120</v>
      </c>
      <c r="Q12" s="2">
        <f>SUMIFS('Raw Data'!$M$2:$M$1801,'Raw Data'!$P$2:$P$1801,1,'Raw Data'!$D$2:$D$1801,10)</f>
        <v>81057.370000000024</v>
      </c>
      <c r="R12" s="2">
        <f>SUMIFS(Budget!$G$2:$G$865,Budget!$H$2:$H$865,1,Budget!$B$2:$B$865,10)</f>
        <v>408119.17999999988</v>
      </c>
      <c r="S12" s="2">
        <f t="shared" si="0"/>
        <v>-327061.80999999982</v>
      </c>
      <c r="T12" s="2">
        <f t="shared" si="1"/>
        <v>-0.80138799161558627</v>
      </c>
      <c r="V12" s="2" t="s">
        <v>9</v>
      </c>
      <c r="W12" s="2">
        <f>SUMIFS('Raw Data'!$M$2:$M$1801,'Raw Data'!$P$2:$P$1801,1,'Raw Data'!$G$2:$G$1801,V12)</f>
        <v>95022.040000000037</v>
      </c>
      <c r="X12" s="2">
        <f>SUMIFS('Raw Data'!$O$2:$O$1801,'Raw Data'!$P$2:$P$1801,1,'Raw Data'!$G$2:$G$1801,V12)</f>
        <v>47524.68</v>
      </c>
      <c r="Y12" s="2">
        <f t="shared" si="2"/>
        <v>0.50014375612226369</v>
      </c>
    </row>
    <row r="13" spans="1:25" ht="18.75" customHeight="1">
      <c r="A13" s="136" t="s">
        <v>123</v>
      </c>
      <c r="B13" s="98"/>
      <c r="C13" s="34"/>
      <c r="D13" s="35"/>
      <c r="E13" s="36"/>
      <c r="F13" s="24"/>
      <c r="G13" s="24"/>
      <c r="H13" s="35"/>
      <c r="I13" s="37"/>
      <c r="J13" s="23"/>
      <c r="K13" s="24"/>
      <c r="L13" s="35"/>
      <c r="M13" s="35"/>
      <c r="N13" s="36"/>
      <c r="P13" s="2" t="s">
        <v>89</v>
      </c>
      <c r="Q13" s="2">
        <f>SUMIFS('Raw Data'!$M$2:$M$1801,'Raw Data'!$P$2:$P$1801,1,'Raw Data'!$D$2:$D$1801,11)</f>
        <v>61572.740000000005</v>
      </c>
      <c r="R13" s="2">
        <f>SUMIFS(Budget!$G$2:$G$865,Budget!$H$2:$H$865,1,Budget!$B$2:$B$865,11)</f>
        <v>489742.98999999987</v>
      </c>
      <c r="S13" s="2">
        <f t="shared" si="0"/>
        <v>-428170.24999999988</v>
      </c>
      <c r="T13" s="2">
        <f t="shared" si="1"/>
        <v>-0.8742754031047999</v>
      </c>
      <c r="V13" s="2" t="s">
        <v>12</v>
      </c>
      <c r="W13" s="2">
        <f>SUMIFS('Raw Data'!$M$2:$M$1801,'Raw Data'!$P$2:$P$1801,1,'Raw Data'!$G$2:$G$1801,V13)</f>
        <v>485726.89999999962</v>
      </c>
      <c r="X13" s="2">
        <f>SUMIFS('Raw Data'!$O$2:$O$1801,'Raw Data'!$P$2:$P$1801,1,'Raw Data'!$G$2:$G$1801,V13)</f>
        <v>193963.46000000014</v>
      </c>
      <c r="Y13" s="2">
        <f t="shared" si="2"/>
        <v>0.39932616455872694</v>
      </c>
    </row>
    <row r="14" spans="1:25" ht="18.75" customHeight="1">
      <c r="A14" s="137" t="s">
        <v>4</v>
      </c>
      <c r="B14" s="138"/>
      <c r="C14" s="34"/>
      <c r="D14" s="35"/>
      <c r="E14" s="36"/>
      <c r="F14" s="24"/>
      <c r="G14" s="24"/>
      <c r="H14" s="35"/>
      <c r="I14" s="37"/>
      <c r="J14" s="23"/>
      <c r="K14" s="24"/>
      <c r="L14" s="35"/>
      <c r="M14" s="35"/>
      <c r="N14" s="36"/>
      <c r="P14" s="2" t="s">
        <v>57</v>
      </c>
      <c r="Q14" s="2">
        <f>SUMIFS('Raw Data'!$M$2:$M$1801,'Raw Data'!$P$2:$P$1801,1,'Raw Data'!$D$2:$D$1801,12)</f>
        <v>66103.889999999985</v>
      </c>
      <c r="R14" s="2">
        <f>SUMIFS(Budget!$G$2:$G$865,Budget!$H$2:$H$865,1,Budget!$B$2:$B$865,12)</f>
        <v>489742.98999999987</v>
      </c>
      <c r="S14" s="2">
        <f t="shared" si="0"/>
        <v>-423639.09999999986</v>
      </c>
      <c r="T14" s="2">
        <f t="shared" si="1"/>
        <v>-0.86502330538717864</v>
      </c>
    </row>
    <row r="15" spans="1:25" ht="18.75" customHeight="1">
      <c r="A15" s="32" t="s">
        <v>4</v>
      </c>
      <c r="B15" s="33"/>
      <c r="C15" s="34"/>
      <c r="D15" s="35"/>
      <c r="E15" s="36"/>
      <c r="F15" s="24"/>
      <c r="G15" s="24"/>
      <c r="H15" s="35"/>
      <c r="I15" s="37"/>
      <c r="J15" s="23"/>
      <c r="K15" s="24"/>
      <c r="L15" s="24"/>
      <c r="M15" s="24"/>
      <c r="N15" s="24"/>
    </row>
    <row r="16" spans="1:25" ht="18.75" customHeight="1">
      <c r="A16" s="39"/>
      <c r="B16" s="40"/>
      <c r="C16" s="34"/>
      <c r="D16" s="35"/>
      <c r="E16" s="36"/>
      <c r="F16" s="24"/>
      <c r="G16" s="24"/>
      <c r="H16" s="24"/>
      <c r="I16" s="22"/>
      <c r="J16" s="23"/>
      <c r="K16" s="24"/>
      <c r="L16" s="24"/>
      <c r="M16" s="24"/>
      <c r="N16" s="24"/>
    </row>
    <row r="17" spans="1:24" ht="18.75" customHeight="1">
      <c r="A17" s="145" t="s">
        <v>4</v>
      </c>
      <c r="B17" s="146"/>
      <c r="C17" s="34"/>
      <c r="D17" s="35"/>
      <c r="E17" s="36"/>
      <c r="F17" s="24"/>
      <c r="G17" s="24"/>
      <c r="H17" s="24"/>
      <c r="I17" s="22"/>
      <c r="J17" s="23"/>
      <c r="K17" s="24"/>
      <c r="L17" s="24"/>
      <c r="M17" s="24"/>
      <c r="N17" s="24"/>
      <c r="V17" s="2" t="s">
        <v>22</v>
      </c>
      <c r="W17" s="2" t="s">
        <v>29</v>
      </c>
      <c r="X17" s="2" t="s">
        <v>129</v>
      </c>
    </row>
    <row r="18" spans="1:24" ht="18.75" customHeight="1">
      <c r="A18" s="137" t="s">
        <v>4</v>
      </c>
      <c r="B18" s="138"/>
      <c r="C18" s="34"/>
      <c r="D18" s="35"/>
      <c r="E18" s="36"/>
      <c r="F18" s="24"/>
      <c r="G18" s="41"/>
      <c r="H18" s="41"/>
      <c r="I18" s="42"/>
      <c r="J18" s="23"/>
      <c r="K18" s="41"/>
      <c r="L18" s="41"/>
      <c r="M18" s="24"/>
      <c r="N18" s="24"/>
      <c r="V18" s="2" t="s">
        <v>7</v>
      </c>
      <c r="W18" s="2">
        <f>SUMIFS('Raw Data'!$M$2:$M$1801,'Raw Data'!$P$2:$P$1801,1,'Raw Data'!$I$2:$I$1801,V18)</f>
        <v>528952.68000000098</v>
      </c>
      <c r="X18" s="2">
        <f t="shared" ref="X18:X20" si="3">IFERROR(W18/$E$2,0)</f>
        <v>0</v>
      </c>
    </row>
    <row r="19" spans="1:24" ht="18.75" customHeight="1">
      <c r="A19" s="43"/>
      <c r="B19" s="44"/>
      <c r="C19" s="34"/>
      <c r="D19" s="35"/>
      <c r="E19" s="36"/>
      <c r="F19" s="24"/>
      <c r="G19" s="24"/>
      <c r="H19" s="35"/>
      <c r="I19" s="38"/>
      <c r="J19" s="23"/>
      <c r="K19" s="24"/>
      <c r="L19" s="35"/>
      <c r="M19" s="24"/>
      <c r="N19" s="24"/>
      <c r="V19" s="2" t="s">
        <v>10</v>
      </c>
      <c r="W19" s="2">
        <f>SUMIFS('Raw Data'!$M$2:$M$1801,'Raw Data'!$P$2:$P$1801,1,'Raw Data'!$I$2:$I$1801,V19)</f>
        <v>228988.87999999995</v>
      </c>
      <c r="X19" s="2">
        <f t="shared" si="3"/>
        <v>0</v>
      </c>
    </row>
    <row r="20" spans="1:24" ht="18.75" customHeight="1">
      <c r="A20" s="45"/>
      <c r="B20" s="46"/>
      <c r="C20" s="34"/>
      <c r="D20" s="35"/>
      <c r="E20" s="36"/>
      <c r="F20" s="24"/>
      <c r="G20" s="24"/>
      <c r="H20" s="35"/>
      <c r="I20" s="38"/>
      <c r="J20" s="23"/>
      <c r="K20" s="24"/>
      <c r="L20" s="35"/>
      <c r="M20" s="24"/>
      <c r="N20" s="24"/>
      <c r="V20" s="2" t="s">
        <v>13</v>
      </c>
      <c r="W20" s="2">
        <f>SUMIFS('Raw Data'!$M$2:$M$1801,'Raw Data'!$P$2:$P$1801,1,'Raw Data'!$I$2:$I$1801,V20)</f>
        <v>143164.29999999999</v>
      </c>
      <c r="X20" s="2">
        <f t="shared" si="3"/>
        <v>0</v>
      </c>
    </row>
    <row r="21" spans="1:24" ht="18.75" customHeight="1">
      <c r="A21" s="147" t="s">
        <v>132</v>
      </c>
      <c r="B21" s="148"/>
      <c r="C21" s="34"/>
      <c r="D21" s="35"/>
      <c r="E21" s="36"/>
      <c r="F21" s="24"/>
      <c r="G21" s="24"/>
      <c r="H21" s="35"/>
      <c r="I21" s="38"/>
      <c r="J21" s="23"/>
      <c r="K21" s="24"/>
      <c r="L21" s="35"/>
      <c r="M21" s="24"/>
      <c r="N21" s="24"/>
    </row>
    <row r="22" spans="1:24" ht="18.75" customHeight="1">
      <c r="A22" s="149" t="s">
        <v>4</v>
      </c>
      <c r="B22" s="138"/>
      <c r="C22" s="34"/>
      <c r="D22" s="35"/>
      <c r="E22" s="36"/>
      <c r="F22" s="24"/>
      <c r="G22" s="24"/>
      <c r="H22" s="24"/>
      <c r="I22" s="22"/>
      <c r="J22" s="23"/>
      <c r="K22" s="24"/>
      <c r="L22" s="35"/>
      <c r="M22" s="24"/>
      <c r="N22" s="24"/>
    </row>
    <row r="23" spans="1:24" ht="18.75" customHeight="1">
      <c r="A23" s="47"/>
      <c r="B23" s="48"/>
      <c r="C23" s="34"/>
      <c r="D23" s="35"/>
      <c r="E23" s="36"/>
      <c r="F23" s="24"/>
      <c r="G23" s="24"/>
      <c r="H23" s="24"/>
      <c r="I23" s="22"/>
      <c r="J23" s="23"/>
      <c r="K23" s="24"/>
      <c r="L23" s="35"/>
      <c r="M23" s="24"/>
      <c r="N23" s="24"/>
    </row>
    <row r="24" spans="1:24" ht="22.5" customHeight="1">
      <c r="A24" s="47"/>
      <c r="B24" s="47"/>
      <c r="C24" s="23"/>
      <c r="D24" s="24"/>
      <c r="E24" s="24"/>
      <c r="F24" s="24"/>
      <c r="G24" s="24"/>
      <c r="H24" s="24"/>
      <c r="I24" s="22"/>
      <c r="J24" s="23"/>
      <c r="K24" s="24"/>
      <c r="L24" s="35"/>
      <c r="M24" s="24"/>
      <c r="N24" s="24"/>
      <c r="V24" s="2" t="s">
        <v>24</v>
      </c>
      <c r="W24" s="2" t="s">
        <v>29</v>
      </c>
    </row>
    <row r="25" spans="1:24" ht="1.5" customHeight="1">
      <c r="A25" s="47"/>
      <c r="B25" s="47"/>
      <c r="C25" s="49"/>
      <c r="D25" s="50"/>
      <c r="E25" s="50"/>
      <c r="F25" s="50"/>
      <c r="G25" s="50"/>
      <c r="H25" s="50"/>
      <c r="I25" s="51"/>
      <c r="J25" s="49"/>
      <c r="K25" s="50"/>
      <c r="L25" s="52"/>
      <c r="M25" s="50"/>
      <c r="N25" s="50"/>
      <c r="V25" s="2" t="s">
        <v>54</v>
      </c>
      <c r="W25" s="2">
        <f>SUMIFS('Raw Data'!$M$2:$M$1801,'Raw Data'!$P$2:$P$1801,1,'Raw Data'!$H$2:$H$1801,V25)</f>
        <v>61034.260000000009</v>
      </c>
    </row>
    <row r="26" spans="1:24" ht="1.5" customHeight="1">
      <c r="A26" s="132" t="s">
        <v>135</v>
      </c>
      <c r="B26" s="133"/>
      <c r="C26" s="53"/>
      <c r="D26" s="53"/>
      <c r="E26" s="53"/>
      <c r="F26" s="53"/>
      <c r="G26" s="53"/>
      <c r="H26" s="53"/>
      <c r="I26" s="53"/>
      <c r="J26" s="53"/>
      <c r="K26" s="53"/>
      <c r="L26" s="54"/>
      <c r="M26" s="53"/>
      <c r="N26" s="53"/>
      <c r="V26" s="2" t="s">
        <v>136</v>
      </c>
      <c r="W26" s="2">
        <f>SUMIFS('Raw Data'!$M$2:$M$1801,'Raw Data'!$P$2:$P$1801,1,'Raw Data'!$H$2:$H$1801,V26)</f>
        <v>64389.910000000011</v>
      </c>
    </row>
    <row r="27" spans="1:24" ht="18.75" customHeight="1">
      <c r="A27" s="98"/>
      <c r="B27" s="98"/>
      <c r="C27" s="128" t="s">
        <v>137</v>
      </c>
      <c r="D27" s="129"/>
      <c r="E27" s="129"/>
      <c r="F27" s="129"/>
      <c r="G27" s="130"/>
      <c r="H27" s="128" t="s">
        <v>138</v>
      </c>
      <c r="I27" s="129"/>
      <c r="J27" s="129"/>
      <c r="K27" s="130"/>
      <c r="L27" s="139" t="s">
        <v>139</v>
      </c>
      <c r="M27" s="129"/>
      <c r="N27" s="140"/>
      <c r="V27" s="2" t="s">
        <v>114</v>
      </c>
      <c r="W27" s="2">
        <f>SUMIFS('Raw Data'!$M$2:$M$1801,'Raw Data'!$P$2:$P$1801,1,'Raw Data'!$H$2:$H$1801,V27)</f>
        <v>64485.729999999996</v>
      </c>
    </row>
    <row r="28" spans="1:24" ht="18.75" customHeight="1">
      <c r="A28" s="98"/>
      <c r="B28" s="98"/>
      <c r="C28" s="131"/>
      <c r="D28" s="98"/>
      <c r="E28" s="98"/>
      <c r="F28" s="98"/>
      <c r="G28" s="126"/>
      <c r="H28" s="131"/>
      <c r="I28" s="98"/>
      <c r="J28" s="98"/>
      <c r="K28" s="126"/>
      <c r="L28" s="131"/>
      <c r="M28" s="98"/>
      <c r="N28" s="141"/>
      <c r="V28" s="2" t="s">
        <v>98</v>
      </c>
      <c r="W28" s="2">
        <f>SUMIFS('Raw Data'!$M$2:$M$1801,'Raw Data'!$P$2:$P$1801,1,'Raw Data'!$H$2:$H$1801,V28)</f>
        <v>62671.439999999995</v>
      </c>
    </row>
    <row r="29" spans="1:24" ht="18.75" customHeight="1" thickBot="1">
      <c r="A29" s="134"/>
      <c r="B29" s="134"/>
      <c r="C29" s="29"/>
      <c r="D29" s="30"/>
      <c r="E29" s="30"/>
      <c r="F29" s="30"/>
      <c r="H29" s="30"/>
      <c r="I29" s="30"/>
      <c r="J29" s="30"/>
      <c r="K29" s="70"/>
      <c r="L29" s="83"/>
      <c r="M29" s="26"/>
      <c r="N29" s="26"/>
      <c r="V29" s="2" t="s">
        <v>80</v>
      </c>
      <c r="W29" s="2">
        <f>SUMIFS('Raw Data'!$M$2:$M$1801,'Raw Data'!$P$2:$P$1801,1,'Raw Data'!$H$2:$H$1801,V29)</f>
        <v>67775.580000000016</v>
      </c>
    </row>
    <row r="30" spans="1:24" ht="18.75" customHeight="1">
      <c r="A30" s="43"/>
      <c r="B30" s="43"/>
      <c r="C30" s="23"/>
      <c r="D30" s="24"/>
      <c r="E30" s="24"/>
      <c r="F30" s="24"/>
      <c r="H30" s="24"/>
      <c r="I30" s="24"/>
      <c r="J30" s="24"/>
      <c r="K30" s="70"/>
      <c r="L30" s="142" t="s">
        <v>141</v>
      </c>
      <c r="M30" s="143"/>
      <c r="N30" s="144"/>
      <c r="V30" s="2" t="s">
        <v>142</v>
      </c>
      <c r="W30" s="2">
        <f>SUMIFS('Raw Data'!$M$2:$M$1801,'Raw Data'!$P$2:$P$1801,1,'Raw Data'!$H$2:$H$1801,V30)</f>
        <v>18346.300000000003</v>
      </c>
    </row>
    <row r="31" spans="1:24" ht="18.75" customHeight="1">
      <c r="A31" s="43"/>
      <c r="B31" s="43"/>
      <c r="C31" s="23"/>
      <c r="D31" s="24"/>
      <c r="E31" s="24"/>
      <c r="F31" s="24"/>
      <c r="G31" s="71"/>
      <c r="H31" s="23"/>
      <c r="I31" s="24"/>
      <c r="J31" s="24"/>
      <c r="K31" s="24"/>
      <c r="L31" s="144"/>
      <c r="M31" s="143"/>
      <c r="N31" s="144"/>
      <c r="V31" s="2" t="s">
        <v>64</v>
      </c>
      <c r="W31" s="2">
        <f>SUMIFS('Raw Data'!$M$2:$M$1801,'Raw Data'!$P$2:$P$1801,1,'Raw Data'!$H$2:$H$1801,V31)</f>
        <v>18511.64</v>
      </c>
    </row>
    <row r="32" spans="1:24" ht="18.75" customHeight="1">
      <c r="A32" s="43"/>
      <c r="B32" s="43"/>
      <c r="C32" s="23"/>
      <c r="D32" s="24"/>
      <c r="E32" s="24"/>
      <c r="F32" s="24"/>
      <c r="G32" s="22"/>
      <c r="H32" s="23"/>
      <c r="I32" s="24"/>
      <c r="J32" s="24"/>
      <c r="K32" s="24"/>
      <c r="L32" s="144"/>
      <c r="M32" s="143"/>
      <c r="N32" s="144"/>
      <c r="V32" s="2" t="s">
        <v>35</v>
      </c>
      <c r="W32" s="2">
        <f>SUMIFS('Raw Data'!$M$2:$M$1801,'Raw Data'!$P$2:$P$1801,1,'Raw Data'!$H$2:$H$1801,V32)</f>
        <v>19836.079999999994</v>
      </c>
    </row>
    <row r="33" spans="1:23" ht="18.75" customHeight="1">
      <c r="A33" s="43"/>
      <c r="B33" s="43"/>
      <c r="C33" s="23"/>
      <c r="D33" s="24"/>
      <c r="E33" s="24"/>
      <c r="F33" s="24"/>
      <c r="G33" s="22"/>
      <c r="H33" s="23"/>
      <c r="I33" s="24"/>
      <c r="J33" s="24"/>
      <c r="K33" s="24"/>
      <c r="L33" s="144"/>
      <c r="M33" s="143"/>
      <c r="N33" s="144"/>
      <c r="V33" s="2" t="s">
        <v>110</v>
      </c>
      <c r="W33" s="2">
        <f>SUMIFS('Raw Data'!$M$2:$M$1801,'Raw Data'!$P$2:$P$1801,1,'Raw Data'!$H$2:$H$1801,V33)</f>
        <v>17686.349999999999</v>
      </c>
    </row>
    <row r="34" spans="1:23" ht="18.75" customHeight="1">
      <c r="A34" s="43"/>
      <c r="B34" s="43"/>
      <c r="C34" s="23"/>
      <c r="D34" s="24"/>
      <c r="E34" s="24"/>
      <c r="F34" s="24"/>
      <c r="G34" s="22"/>
      <c r="H34" s="23"/>
      <c r="I34" s="24"/>
      <c r="J34" s="24"/>
      <c r="K34" s="22"/>
      <c r="L34" s="125">
        <f>E2-SUMIFS(Budget!$G$2:$G$865,Budget!$H$2:$H$865,1)</f>
        <v>-5158626.2500000009</v>
      </c>
      <c r="M34" s="98"/>
      <c r="N34" s="126"/>
      <c r="V34" s="2" t="s">
        <v>71</v>
      </c>
      <c r="W34" s="2">
        <f>SUMIFS('Raw Data'!$M$2:$M$1801,'Raw Data'!$P$2:$P$1801,1,'Raw Data'!$H$2:$H$1801,V34)</f>
        <v>20641.669999999998</v>
      </c>
    </row>
    <row r="35" spans="1:23" ht="18.75" customHeight="1">
      <c r="A35" s="43"/>
      <c r="B35" s="43"/>
      <c r="C35" s="23"/>
      <c r="D35" s="24"/>
      <c r="E35" s="24"/>
      <c r="F35" s="24"/>
      <c r="G35" s="22"/>
      <c r="H35" s="23"/>
      <c r="I35" s="24"/>
      <c r="J35" s="24"/>
      <c r="K35" s="22"/>
      <c r="L35" s="127"/>
      <c r="M35" s="98"/>
      <c r="N35" s="126"/>
      <c r="V35" s="2" t="s">
        <v>124</v>
      </c>
      <c r="W35" s="2">
        <f>SUMIFS('Raw Data'!$M$2:$M$1801,'Raw Data'!$P$2:$P$1801,1,'Raw Data'!$H$2:$H$1801,V35)</f>
        <v>110799.21999999994</v>
      </c>
    </row>
    <row r="36" spans="1:23" ht="18.75" customHeight="1">
      <c r="A36" s="43"/>
      <c r="B36" s="43"/>
      <c r="C36" s="23"/>
      <c r="D36" s="24"/>
      <c r="E36" s="24"/>
      <c r="F36" s="24"/>
      <c r="G36" s="22"/>
      <c r="H36" s="23"/>
      <c r="I36" s="24"/>
      <c r="J36" s="24"/>
      <c r="K36" s="22"/>
      <c r="L36" s="127"/>
      <c r="M36" s="98"/>
      <c r="N36" s="126"/>
      <c r="V36" s="2" t="s">
        <v>92</v>
      </c>
      <c r="W36" s="2">
        <f>SUMIFS('Raw Data'!$M$2:$M$1801,'Raw Data'!$P$2:$P$1801,1,'Raw Data'!$H$2:$H$1801,V36)</f>
        <v>106666.42999999998</v>
      </c>
    </row>
    <row r="37" spans="1:23" ht="18.75" customHeight="1">
      <c r="A37" s="43"/>
      <c r="B37" s="43"/>
      <c r="C37" s="23"/>
      <c r="D37" s="24"/>
      <c r="E37" s="24"/>
      <c r="F37" s="24"/>
      <c r="G37" s="22"/>
      <c r="H37" s="23"/>
      <c r="I37" s="24"/>
      <c r="J37" s="24"/>
      <c r="K37" s="22"/>
      <c r="L37" s="55"/>
      <c r="M37" s="56"/>
      <c r="N37" s="56"/>
      <c r="V37" s="2" t="s">
        <v>86</v>
      </c>
      <c r="W37" s="2">
        <f>SUMIFS('Raw Data'!$M$2:$M$1801,'Raw Data'!$P$2:$P$1801,1,'Raw Data'!$H$2:$H$1801,V37)</f>
        <v>93518.590000000026</v>
      </c>
    </row>
    <row r="38" spans="1:23" ht="18.75" customHeight="1">
      <c r="A38" s="43"/>
      <c r="B38" s="43"/>
      <c r="C38" s="23"/>
      <c r="D38" s="24"/>
      <c r="E38" s="24"/>
      <c r="F38" s="24"/>
      <c r="G38" s="22"/>
      <c r="H38" s="23"/>
      <c r="I38" s="24"/>
      <c r="J38" s="24"/>
      <c r="K38" s="22"/>
      <c r="L38" s="121" t="s">
        <v>148</v>
      </c>
      <c r="M38" s="122"/>
      <c r="N38" s="123"/>
      <c r="V38" s="2" t="s">
        <v>58</v>
      </c>
      <c r="W38" s="2">
        <f>SUMIFS('Raw Data'!$M$2:$M$1801,'Raw Data'!$P$2:$P$1801,1,'Raw Data'!$H$2:$H$1801,V38)</f>
        <v>90659.540000000023</v>
      </c>
    </row>
    <row r="39" spans="1:23" ht="18.75" customHeight="1">
      <c r="A39" s="43"/>
      <c r="B39" s="43"/>
      <c r="C39" s="23"/>
      <c r="D39" s="24"/>
      <c r="E39" s="24"/>
      <c r="F39" s="24"/>
      <c r="G39" s="22"/>
      <c r="H39" s="23"/>
      <c r="I39" s="24"/>
      <c r="J39" s="24"/>
      <c r="K39" s="22"/>
      <c r="L39" s="124"/>
      <c r="M39" s="122"/>
      <c r="N39" s="123"/>
      <c r="V39" s="2" t="s">
        <v>127</v>
      </c>
      <c r="W39" s="2">
        <f>SUMIFS('Raw Data'!$M$2:$M$1801,'Raw Data'!$P$2:$P$1801,1,'Raw Data'!$H$2:$H$1801,V39)</f>
        <v>84083.120000000024</v>
      </c>
    </row>
    <row r="40" spans="1:23" ht="18.75" customHeight="1">
      <c r="A40" s="43"/>
      <c r="B40" s="43"/>
      <c r="C40" s="23"/>
      <c r="D40" s="24"/>
      <c r="E40" s="24"/>
      <c r="F40" s="24"/>
      <c r="G40" s="22"/>
      <c r="H40" s="23"/>
      <c r="I40" s="24"/>
      <c r="J40" s="24"/>
      <c r="K40" s="22"/>
      <c r="L40" s="125">
        <f>IFERROR(D2/G2,0)</f>
        <v>500.61436666666725</v>
      </c>
      <c r="M40" s="98"/>
      <c r="N40" s="126"/>
    </row>
    <row r="41" spans="1:23" ht="18.75" customHeight="1">
      <c r="A41" s="43"/>
      <c r="B41" s="43"/>
      <c r="C41" s="23"/>
      <c r="D41" s="24"/>
      <c r="E41" s="24"/>
      <c r="F41" s="24"/>
      <c r="G41" s="22"/>
      <c r="H41" s="23"/>
      <c r="I41" s="24"/>
      <c r="J41" s="24"/>
      <c r="K41" s="22"/>
      <c r="L41" s="127"/>
      <c r="M41" s="98"/>
      <c r="N41" s="126"/>
    </row>
    <row r="42" spans="1:23" ht="18.75" customHeight="1">
      <c r="A42" s="43"/>
      <c r="B42" s="43"/>
      <c r="C42" s="23"/>
      <c r="D42" s="24"/>
      <c r="E42" s="24"/>
      <c r="F42" s="24"/>
      <c r="G42" s="22"/>
      <c r="H42" s="23"/>
      <c r="I42" s="24"/>
      <c r="J42" s="24"/>
      <c r="K42" s="22"/>
      <c r="L42" s="127"/>
      <c r="M42" s="98"/>
      <c r="N42" s="126"/>
    </row>
    <row r="43" spans="1:23" ht="1.5" customHeight="1">
      <c r="A43" s="43"/>
      <c r="B43" s="43"/>
      <c r="C43" s="49"/>
      <c r="D43" s="50"/>
      <c r="E43" s="50"/>
      <c r="F43" s="50"/>
      <c r="G43" s="51"/>
      <c r="H43" s="49"/>
      <c r="I43" s="50"/>
      <c r="J43" s="50"/>
      <c r="K43" s="51"/>
      <c r="L43" s="49"/>
      <c r="M43" s="50"/>
      <c r="N43" s="50"/>
    </row>
    <row r="44" spans="1:23" ht="1.5" customHeight="1">
      <c r="A44" s="43"/>
      <c r="B44" s="4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23" ht="18.75" customHeight="1">
      <c r="A45" s="43"/>
      <c r="B45" s="43"/>
      <c r="C45" s="128" t="s">
        <v>150</v>
      </c>
      <c r="D45" s="129"/>
      <c r="E45" s="129"/>
      <c r="F45" s="129"/>
      <c r="G45" s="129"/>
      <c r="H45" s="130"/>
      <c r="I45" s="128" t="s">
        <v>152</v>
      </c>
      <c r="J45" s="129"/>
      <c r="K45" s="129"/>
      <c r="L45" s="129"/>
      <c r="M45" s="129"/>
      <c r="N45" s="130"/>
      <c r="O45" s="96"/>
    </row>
    <row r="46" spans="1:23" ht="18.75" customHeight="1">
      <c r="A46" s="43"/>
      <c r="B46" s="43"/>
      <c r="C46" s="131"/>
      <c r="D46" s="98"/>
      <c r="E46" s="98"/>
      <c r="F46" s="98"/>
      <c r="G46" s="98"/>
      <c r="H46" s="126"/>
      <c r="I46" s="131"/>
      <c r="J46" s="98"/>
      <c r="K46" s="98"/>
      <c r="L46" s="98"/>
      <c r="M46" s="98"/>
      <c r="N46" s="126"/>
    </row>
    <row r="47" spans="1:23" ht="1.5" customHeight="1" thickBot="1">
      <c r="A47" s="43"/>
      <c r="B47" s="43"/>
      <c r="C47" s="29"/>
      <c r="D47" s="30"/>
      <c r="E47" s="30"/>
      <c r="F47" s="30"/>
      <c r="G47" s="30"/>
      <c r="H47" s="31"/>
      <c r="I47" s="29"/>
      <c r="J47" s="30"/>
      <c r="K47" s="57"/>
      <c r="L47" s="58"/>
      <c r="M47" s="58"/>
      <c r="N47" s="58"/>
    </row>
    <row r="48" spans="1:23" ht="18.75" customHeight="1">
      <c r="A48" s="43"/>
      <c r="B48" s="43"/>
      <c r="C48" s="59" t="s">
        <v>19</v>
      </c>
      <c r="D48" s="60" t="s">
        <v>154</v>
      </c>
      <c r="E48" s="60" t="s">
        <v>83</v>
      </c>
      <c r="F48" s="60" t="s">
        <v>84</v>
      </c>
      <c r="G48" s="61" t="s">
        <v>155</v>
      </c>
      <c r="H48" s="94" t="s">
        <v>156</v>
      </c>
      <c r="I48" s="95" t="s">
        <v>24</v>
      </c>
      <c r="J48" s="60" t="s">
        <v>29</v>
      </c>
      <c r="K48" s="62" t="s">
        <v>129</v>
      </c>
      <c r="L48" s="63"/>
      <c r="M48" s="63"/>
      <c r="N48" s="63"/>
    </row>
    <row r="49" spans="1:15" ht="18.75" customHeight="1">
      <c r="A49" s="43"/>
      <c r="B49" s="43"/>
      <c r="C49" s="23" t="str">
        <f t="shared" ref="C49:G49" si="4">P3</f>
        <v>Jan</v>
      </c>
      <c r="D49" s="35">
        <f t="shared" si="4"/>
        <v>96159.63999999997</v>
      </c>
      <c r="E49" s="35">
        <f t="shared" si="4"/>
        <v>408119.17999999988</v>
      </c>
      <c r="F49" s="35">
        <f t="shared" si="4"/>
        <v>-311959.53999999992</v>
      </c>
      <c r="G49" s="36">
        <f t="shared" si="4"/>
        <v>-0.76438343329024627</v>
      </c>
      <c r="H49" s="92" t="str">
        <f t="shared" ref="H49:H60" si="5">IF(F49&gt;0,"Above","Below")</f>
        <v>Below</v>
      </c>
      <c r="I49" s="24" t="str">
        <f t="shared" ref="I49:J49" si="6">V25</f>
        <v>Wireless Headphones</v>
      </c>
      <c r="J49" s="35">
        <f t="shared" si="6"/>
        <v>61034.260000000009</v>
      </c>
      <c r="K49" s="87">
        <f>IFERROR(J49/D2,0)</f>
        <v>6.7732619117580634E-2</v>
      </c>
      <c r="L49" s="84"/>
      <c r="M49" s="84"/>
      <c r="N49" s="84"/>
    </row>
    <row r="50" spans="1:15" ht="18.75" customHeight="1">
      <c r="A50" s="43"/>
      <c r="B50" s="43"/>
      <c r="C50" s="23" t="str">
        <f t="shared" ref="C50:G50" si="7">P4</f>
        <v>Feb</v>
      </c>
      <c r="D50" s="35">
        <f t="shared" si="7"/>
        <v>62855.090000000004</v>
      </c>
      <c r="E50" s="35">
        <f t="shared" si="7"/>
        <v>408119.17999999988</v>
      </c>
      <c r="F50" s="35">
        <f t="shared" si="7"/>
        <v>-345264.08999999985</v>
      </c>
      <c r="G50" s="36">
        <f t="shared" si="7"/>
        <v>-0.84598839486054034</v>
      </c>
      <c r="H50" s="92" t="str">
        <f t="shared" si="5"/>
        <v>Below</v>
      </c>
      <c r="I50" s="24" t="str">
        <f t="shared" ref="I50:J50" si="8">V26</f>
        <v>Smart Speaker</v>
      </c>
      <c r="J50" s="35">
        <f t="shared" si="8"/>
        <v>64389.910000000011</v>
      </c>
      <c r="K50" s="87">
        <f>IFERROR(J50/D2,0)</f>
        <v>7.1456543407674586E-2</v>
      </c>
      <c r="L50" s="84"/>
      <c r="M50" s="84"/>
      <c r="N50" s="84"/>
    </row>
    <row r="51" spans="1:15" ht="18.75" customHeight="1">
      <c r="A51" s="43"/>
      <c r="B51" s="43"/>
      <c r="C51" s="23" t="str">
        <f t="shared" ref="C51:G51" si="9">P5</f>
        <v>Mar</v>
      </c>
      <c r="D51" s="35">
        <f t="shared" si="9"/>
        <v>84593.369999999966</v>
      </c>
      <c r="E51" s="35">
        <f t="shared" si="9"/>
        <v>408119.17999999988</v>
      </c>
      <c r="F51" s="35">
        <f t="shared" si="9"/>
        <v>-323525.80999999994</v>
      </c>
      <c r="G51" s="36">
        <f t="shared" si="9"/>
        <v>-0.7927238558109424</v>
      </c>
      <c r="H51" s="92" t="str">
        <f>IF(F51&gt;0,"Above","Below")</f>
        <v>Below</v>
      </c>
      <c r="I51" s="24" t="str">
        <f t="shared" ref="I51:J51" si="10">V27</f>
        <v>Portable Charger</v>
      </c>
      <c r="J51" s="35">
        <f t="shared" si="10"/>
        <v>64485.729999999996</v>
      </c>
      <c r="K51" s="87">
        <f>IFERROR(J51/D2,0)</f>
        <v>7.1562879415743588E-2</v>
      </c>
      <c r="L51" s="85"/>
      <c r="M51" s="85"/>
      <c r="N51" s="85"/>
    </row>
    <row r="52" spans="1:15" ht="18.75" customHeight="1">
      <c r="A52" s="43"/>
      <c r="B52" s="43"/>
      <c r="C52" s="23" t="str">
        <f t="shared" ref="C52:G52" si="11">P6</f>
        <v>Apr</v>
      </c>
      <c r="D52" s="35">
        <f t="shared" si="11"/>
        <v>70267.709999999963</v>
      </c>
      <c r="E52" s="35">
        <f t="shared" si="11"/>
        <v>408119.17999999988</v>
      </c>
      <c r="F52" s="35">
        <f t="shared" si="11"/>
        <v>-337851.46999999991</v>
      </c>
      <c r="G52" s="36">
        <f t="shared" si="11"/>
        <v>-0.82782551410595306</v>
      </c>
      <c r="H52" s="92" t="str">
        <f t="shared" si="5"/>
        <v>Below</v>
      </c>
      <c r="I52" s="24" t="str">
        <f t="shared" ref="I52:J52" si="12">V28</f>
        <v>Webcam</v>
      </c>
      <c r="J52" s="35">
        <f t="shared" si="12"/>
        <v>62671.439999999995</v>
      </c>
      <c r="K52" s="87">
        <f>IFERROR(J52/D2,0)</f>
        <v>6.9549475574379155E-2</v>
      </c>
      <c r="L52" s="85"/>
      <c r="M52" s="85"/>
      <c r="N52" s="85"/>
    </row>
    <row r="53" spans="1:15" ht="18.75" customHeight="1">
      <c r="A53" s="43"/>
      <c r="B53" s="43"/>
      <c r="C53" s="23" t="str">
        <f t="shared" ref="C53:G53" si="13">P7</f>
        <v>May</v>
      </c>
      <c r="D53" s="35">
        <f t="shared" si="13"/>
        <v>82323.38</v>
      </c>
      <c r="E53" s="35">
        <f t="shared" si="13"/>
        <v>408119.17999999988</v>
      </c>
      <c r="F53" s="35">
        <f t="shared" si="13"/>
        <v>-325795.79999999987</v>
      </c>
      <c r="G53" s="36">
        <f t="shared" si="13"/>
        <v>-0.79828593206523635</v>
      </c>
      <c r="H53" s="92" t="str">
        <f t="shared" si="5"/>
        <v>Below</v>
      </c>
      <c r="I53" s="24" t="str">
        <f t="shared" ref="I53:J53" si="14">V29</f>
        <v>Mechanical Keyboard</v>
      </c>
      <c r="J53" s="35">
        <f t="shared" si="14"/>
        <v>67775.580000000016</v>
      </c>
      <c r="K53" s="87">
        <f>IFERROR(J53/D2,0)</f>
        <v>7.5213782318539063E-2</v>
      </c>
      <c r="L53" s="85"/>
      <c r="M53" s="85"/>
      <c r="N53" s="85"/>
    </row>
    <row r="54" spans="1:15" ht="18.75" customHeight="1">
      <c r="A54" s="43"/>
      <c r="B54" s="43"/>
      <c r="C54" s="23" t="str">
        <f t="shared" ref="C54:G54" si="15">P8</f>
        <v>Jun</v>
      </c>
      <c r="D54" s="35">
        <f t="shared" si="15"/>
        <v>78582.38</v>
      </c>
      <c r="E54" s="35">
        <f t="shared" si="15"/>
        <v>440768.66999999987</v>
      </c>
      <c r="F54" s="35">
        <f t="shared" si="15"/>
        <v>-362186.28999999986</v>
      </c>
      <c r="G54" s="36">
        <f t="shared" si="15"/>
        <v>-0.82171514141420254</v>
      </c>
      <c r="H54" s="92" t="str">
        <f t="shared" si="5"/>
        <v>Below</v>
      </c>
      <c r="I54" s="24" t="str">
        <f t="shared" ref="I54:J54" si="16">V30</f>
        <v>Desk Organiser</v>
      </c>
      <c r="J54" s="35">
        <f t="shared" si="16"/>
        <v>18346.300000000003</v>
      </c>
      <c r="K54" s="87">
        <f>IFERROR(J54/D2,0)</f>
        <v>2.0359761060703769E-2</v>
      </c>
      <c r="L54" s="86"/>
      <c r="M54" s="86"/>
      <c r="N54" s="86"/>
    </row>
    <row r="55" spans="1:15" ht="18.75" customHeight="1">
      <c r="A55" s="135" t="s">
        <v>161</v>
      </c>
      <c r="B55" s="98"/>
      <c r="C55" s="23" t="str">
        <f t="shared" ref="C55:G55" si="17">P9</f>
        <v>Jul</v>
      </c>
      <c r="D55" s="35">
        <f t="shared" si="17"/>
        <v>64319.03</v>
      </c>
      <c r="E55" s="35">
        <f t="shared" si="17"/>
        <v>440768.66999999987</v>
      </c>
      <c r="F55" s="35">
        <f t="shared" si="17"/>
        <v>-376449.6399999999</v>
      </c>
      <c r="G55" s="36">
        <f t="shared" si="17"/>
        <v>-0.85407531347452625</v>
      </c>
      <c r="H55" s="92" t="str">
        <f t="shared" si="5"/>
        <v>Below</v>
      </c>
      <c r="I55" s="24" t="str">
        <f t="shared" ref="I55:J55" si="18">V31</f>
        <v>Notebook Set</v>
      </c>
      <c r="J55" s="35">
        <f t="shared" si="18"/>
        <v>18511.64</v>
      </c>
      <c r="K55" s="87">
        <f>IFERROR(J55/D2,0)</f>
        <v>2.0543246716872951E-2</v>
      </c>
      <c r="L55" s="86"/>
      <c r="M55" s="86"/>
      <c r="N55" s="86"/>
    </row>
    <row r="56" spans="1:15" ht="18.75" customHeight="1">
      <c r="A56" s="98"/>
      <c r="B56" s="98"/>
      <c r="C56" s="23" t="str">
        <f t="shared" ref="C56:G56" si="19">P10</f>
        <v>Aug</v>
      </c>
      <c r="D56" s="35">
        <f t="shared" si="19"/>
        <v>80145.579999999929</v>
      </c>
      <c r="E56" s="35">
        <f t="shared" si="19"/>
        <v>440768.66999999987</v>
      </c>
      <c r="F56" s="35">
        <f t="shared" si="19"/>
        <v>-360623.08999999997</v>
      </c>
      <c r="G56" s="36">
        <f t="shared" si="19"/>
        <v>-0.81816860985151252</v>
      </c>
      <c r="H56" s="92" t="str">
        <f t="shared" si="5"/>
        <v>Below</v>
      </c>
      <c r="I56" s="24" t="str">
        <f t="shared" ref="I56:J56" si="20">V32</f>
        <v>Printer Paper</v>
      </c>
      <c r="J56" s="35">
        <f t="shared" si="20"/>
        <v>19836.079999999994</v>
      </c>
      <c r="K56" s="87">
        <f>IFERROR(J56/D2,0)</f>
        <v>2.2013040731973459E-2</v>
      </c>
      <c r="L56" s="86"/>
      <c r="M56" s="86"/>
      <c r="N56" s="86"/>
    </row>
    <row r="57" spans="1:15" ht="18.75" customHeight="1">
      <c r="A57" s="98"/>
      <c r="B57" s="98"/>
      <c r="C57" s="23" t="str">
        <f t="shared" ref="C57:G57" si="21">P11</f>
        <v>Sep</v>
      </c>
      <c r="D57" s="35">
        <f t="shared" si="21"/>
        <v>73125.679999999993</v>
      </c>
      <c r="E57" s="35">
        <f t="shared" si="21"/>
        <v>408119.17999999988</v>
      </c>
      <c r="F57" s="35">
        <f t="shared" si="21"/>
        <v>-334993.49999999988</v>
      </c>
      <c r="G57" s="36">
        <f t="shared" si="21"/>
        <v>-0.8208227312423787</v>
      </c>
      <c r="H57" s="92" t="str">
        <f t="shared" si="5"/>
        <v>Below</v>
      </c>
      <c r="I57" s="24" t="str">
        <f t="shared" ref="I57:J57" si="22">V33</f>
        <v>Executive Pens</v>
      </c>
      <c r="J57" s="35">
        <f t="shared" si="22"/>
        <v>17686.349999999999</v>
      </c>
      <c r="K57" s="87">
        <f>IFERROR(J57/D2,0)</f>
        <v>1.9627383180040554E-2</v>
      </c>
      <c r="L57" s="86"/>
      <c r="M57" s="86"/>
      <c r="N57" s="86"/>
    </row>
    <row r="58" spans="1:15" ht="18.75" customHeight="1">
      <c r="A58" s="98"/>
      <c r="B58" s="98"/>
      <c r="C58" s="23" t="str">
        <f t="shared" ref="C58:G58" si="23">P12</f>
        <v>Oct</v>
      </c>
      <c r="D58" s="35">
        <f t="shared" si="23"/>
        <v>81057.370000000024</v>
      </c>
      <c r="E58" s="35">
        <f t="shared" si="23"/>
        <v>408119.17999999988</v>
      </c>
      <c r="F58" s="35">
        <f t="shared" si="23"/>
        <v>-327061.80999999982</v>
      </c>
      <c r="G58" s="36">
        <f t="shared" si="23"/>
        <v>-0.80138799161558627</v>
      </c>
      <c r="H58" s="92" t="str">
        <f t="shared" si="5"/>
        <v>Below</v>
      </c>
      <c r="I58" s="24" t="str">
        <f t="shared" ref="I58:J58" si="24">V34</f>
        <v>Filing Box</v>
      </c>
      <c r="J58" s="35">
        <f t="shared" si="24"/>
        <v>20641.669999999998</v>
      </c>
      <c r="K58" s="87">
        <f>IFERROR(J58/D2,0)</f>
        <v>2.2907042242517404E-2</v>
      </c>
      <c r="L58" s="86"/>
      <c r="M58" s="86"/>
      <c r="N58" s="86"/>
    </row>
    <row r="59" spans="1:15" ht="18.75" customHeight="1">
      <c r="A59" s="98"/>
      <c r="B59" s="98"/>
      <c r="C59" s="64" t="str">
        <f t="shared" ref="C59:G59" si="25">P13</f>
        <v>Nov</v>
      </c>
      <c r="D59" s="65">
        <f t="shared" si="25"/>
        <v>61572.740000000005</v>
      </c>
      <c r="E59" s="65">
        <f t="shared" si="25"/>
        <v>489742.98999999987</v>
      </c>
      <c r="F59" s="65">
        <f t="shared" si="25"/>
        <v>-428170.24999999988</v>
      </c>
      <c r="G59" s="68">
        <f t="shared" si="25"/>
        <v>-0.8742754031047999</v>
      </c>
      <c r="H59" s="92" t="str">
        <f t="shared" si="5"/>
        <v>Below</v>
      </c>
      <c r="I59" s="24"/>
      <c r="J59" s="24"/>
      <c r="K59" s="24"/>
      <c r="L59" s="24"/>
      <c r="M59" s="24"/>
      <c r="N59" s="24"/>
    </row>
    <row r="60" spans="1:15" ht="18.75" customHeight="1">
      <c r="A60" s="98"/>
      <c r="B60" s="98"/>
      <c r="C60" s="66" t="str">
        <f t="shared" ref="C60:G60" si="26">P14</f>
        <v>Dec</v>
      </c>
      <c r="D60" s="67">
        <f t="shared" si="26"/>
        <v>66103.889999999985</v>
      </c>
      <c r="E60" s="67">
        <f t="shared" si="26"/>
        <v>489742.98999999987</v>
      </c>
      <c r="F60" s="67">
        <f t="shared" si="26"/>
        <v>-423639.09999999986</v>
      </c>
      <c r="G60" s="69">
        <f t="shared" si="26"/>
        <v>-0.86502330538717864</v>
      </c>
      <c r="H60" s="93" t="str">
        <f t="shared" si="5"/>
        <v>Below</v>
      </c>
      <c r="I60" s="24"/>
      <c r="J60" s="24"/>
      <c r="K60" s="24"/>
      <c r="L60" s="24"/>
      <c r="M60" s="24"/>
      <c r="N60" s="24"/>
    </row>
    <row r="61" spans="1:15" ht="18.75" customHeight="1">
      <c r="A61" s="43"/>
      <c r="B61" s="43"/>
      <c r="C61" s="49"/>
      <c r="D61" s="50"/>
      <c r="E61" s="50"/>
      <c r="F61" s="50"/>
      <c r="G61" s="50"/>
      <c r="H61" s="51"/>
      <c r="I61" s="49"/>
      <c r="J61" s="50"/>
      <c r="K61" s="50"/>
      <c r="L61" s="50"/>
      <c r="M61" s="50"/>
      <c r="N61" s="50"/>
    </row>
    <row r="62" spans="1:15" s="70" customFormat="1" ht="18.75" customHeight="1">
      <c r="A62" s="88"/>
      <c r="B62" s="88"/>
      <c r="C62" s="88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91"/>
    </row>
    <row r="63" spans="1:15" s="70" customFormat="1" ht="15.75" customHeight="1">
      <c r="O63" s="91"/>
    </row>
    <row r="64" spans="1:15" s="70" customFormat="1" ht="15.75" customHeight="1">
      <c r="O64" s="91"/>
    </row>
    <row r="65" spans="15:15" s="70" customFormat="1" ht="15.75" customHeight="1">
      <c r="O65" s="91"/>
    </row>
    <row r="66" spans="15:15" s="70" customFormat="1" ht="15.75" customHeight="1">
      <c r="O66" s="91"/>
    </row>
    <row r="67" spans="15:15" s="70" customFormat="1" ht="15.75" customHeight="1">
      <c r="O67" s="91"/>
    </row>
    <row r="68" spans="15:15" s="70" customFormat="1" ht="15.75" customHeight="1">
      <c r="O68" s="91"/>
    </row>
    <row r="69" spans="15:15" s="70" customFormat="1" ht="15.75" customHeight="1">
      <c r="O69" s="91"/>
    </row>
    <row r="70" spans="15:15" s="70" customFormat="1" ht="15.75" customHeight="1">
      <c r="O70" s="91"/>
    </row>
    <row r="71" spans="15:15" s="70" customFormat="1" ht="15.75" customHeight="1">
      <c r="O71" s="91"/>
    </row>
    <row r="72" spans="15:15" s="70" customFormat="1" ht="15.75" customHeight="1">
      <c r="O72" s="91"/>
    </row>
    <row r="73" spans="15:15" s="70" customFormat="1" ht="15.75" customHeight="1">
      <c r="O73" s="91"/>
    </row>
    <row r="74" spans="15:15" s="70" customFormat="1" ht="15.75" customHeight="1">
      <c r="O74" s="91"/>
    </row>
    <row r="75" spans="15:15" s="70" customFormat="1" ht="15.75" customHeight="1">
      <c r="O75" s="91"/>
    </row>
    <row r="76" spans="15:15" s="70" customFormat="1" ht="15.75" customHeight="1">
      <c r="O76" s="91"/>
    </row>
    <row r="77" spans="15:15" s="70" customFormat="1" ht="15.75" customHeight="1">
      <c r="O77" s="91"/>
    </row>
    <row r="78" spans="15:15" s="70" customFormat="1" ht="15.75" customHeight="1">
      <c r="O78" s="91"/>
    </row>
    <row r="79" spans="15:15" s="70" customFormat="1" ht="15.75" customHeight="1">
      <c r="O79" s="91"/>
    </row>
    <row r="80" spans="15:15" s="70" customFormat="1" ht="15.75" customHeight="1">
      <c r="O80" s="91"/>
    </row>
    <row r="81" spans="15:15" s="70" customFormat="1" ht="15.75" customHeight="1">
      <c r="O81" s="91"/>
    </row>
    <row r="82" spans="15:15" s="70" customFormat="1" ht="15.75" customHeight="1">
      <c r="O82" s="91"/>
    </row>
    <row r="83" spans="15:15" s="70" customFormat="1" ht="15.75" customHeight="1">
      <c r="O83" s="91"/>
    </row>
    <row r="84" spans="15:15" s="70" customFormat="1" ht="15.75" customHeight="1">
      <c r="O84" s="91"/>
    </row>
    <row r="85" spans="15:15" s="70" customFormat="1" ht="15.75" customHeight="1">
      <c r="O85" s="91"/>
    </row>
    <row r="86" spans="15:15" s="70" customFormat="1" ht="15.75" customHeight="1">
      <c r="O86" s="91"/>
    </row>
    <row r="87" spans="15:15" s="70" customFormat="1" ht="15.75" customHeight="1">
      <c r="O87" s="91"/>
    </row>
    <row r="88" spans="15:15" s="70" customFormat="1" ht="15.75" customHeight="1">
      <c r="O88" s="91"/>
    </row>
    <row r="89" spans="15:15" s="70" customFormat="1" ht="15.75" customHeight="1">
      <c r="O89" s="91"/>
    </row>
    <row r="90" spans="15:15" s="70" customFormat="1" ht="15.75" customHeight="1">
      <c r="O90" s="91"/>
    </row>
    <row r="91" spans="15:15" s="70" customFormat="1" ht="15.75" customHeight="1">
      <c r="O91" s="91"/>
    </row>
    <row r="92" spans="15:15" s="70" customFormat="1" ht="15.75" customHeight="1">
      <c r="O92" s="91"/>
    </row>
    <row r="93" spans="15:15" s="70" customFormat="1" ht="15.75" customHeight="1">
      <c r="O93" s="91"/>
    </row>
    <row r="94" spans="15:15" s="70" customFormat="1" ht="15.75" customHeight="1">
      <c r="O94" s="91"/>
    </row>
    <row r="95" spans="15:15" s="70" customFormat="1" ht="15.75" customHeight="1">
      <c r="O95" s="91"/>
    </row>
    <row r="96" spans="15:15" s="70" customFormat="1" ht="15.75" customHeight="1">
      <c r="O96" s="91"/>
    </row>
    <row r="97" spans="15:15" s="70" customFormat="1" ht="15.75" customHeight="1">
      <c r="O97" s="91"/>
    </row>
    <row r="98" spans="15:15" s="70" customFormat="1" ht="15.75" customHeight="1">
      <c r="O98" s="91"/>
    </row>
    <row r="99" spans="15:15" s="70" customFormat="1" ht="15.75" customHeight="1">
      <c r="O99" s="91"/>
    </row>
    <row r="100" spans="15:15" s="70" customFormat="1" ht="15.75" customHeight="1">
      <c r="O100" s="91"/>
    </row>
    <row r="101" spans="15:15" s="70" customFormat="1" ht="15.75" customHeight="1">
      <c r="O101" s="91"/>
    </row>
    <row r="102" spans="15:15" s="70" customFormat="1" ht="15.75" customHeight="1">
      <c r="O102" s="91"/>
    </row>
    <row r="103" spans="15:15" s="70" customFormat="1" ht="15.75" customHeight="1">
      <c r="O103" s="91"/>
    </row>
    <row r="104" spans="15:15" s="70" customFormat="1" ht="15.75" customHeight="1">
      <c r="O104" s="91"/>
    </row>
    <row r="105" spans="15:15" s="70" customFormat="1" ht="15.75" customHeight="1">
      <c r="O105" s="91"/>
    </row>
    <row r="106" spans="15:15" s="70" customFormat="1" ht="15.75" customHeight="1">
      <c r="O106" s="91"/>
    </row>
    <row r="107" spans="15:15" s="70" customFormat="1" ht="15.75" customHeight="1">
      <c r="O107" s="91"/>
    </row>
    <row r="108" spans="15:15" s="70" customFormat="1" ht="15.75" customHeight="1">
      <c r="O108" s="91"/>
    </row>
    <row r="109" spans="15:15" s="70" customFormat="1" ht="15.75" customHeight="1">
      <c r="O109" s="91"/>
    </row>
    <row r="110" spans="15:15" s="70" customFormat="1" ht="15.75" customHeight="1">
      <c r="O110" s="91"/>
    </row>
    <row r="111" spans="15:15" s="70" customFormat="1" ht="15.75" customHeight="1">
      <c r="O111" s="91"/>
    </row>
    <row r="112" spans="15:15" s="70" customFormat="1" ht="15.75" customHeight="1">
      <c r="O112" s="91"/>
    </row>
    <row r="113" spans="15:15" s="70" customFormat="1" ht="15.75" customHeight="1">
      <c r="O113" s="91"/>
    </row>
    <row r="114" spans="15:15" s="70" customFormat="1" ht="15.75" customHeight="1">
      <c r="O114" s="91"/>
    </row>
    <row r="115" spans="15:15" s="70" customFormat="1" ht="15.75" customHeight="1">
      <c r="O115" s="91"/>
    </row>
    <row r="116" spans="15:15" s="70" customFormat="1" ht="15.75" customHeight="1">
      <c r="O116" s="91"/>
    </row>
    <row r="117" spans="15:15" s="70" customFormat="1" ht="15.75" customHeight="1">
      <c r="O117" s="91"/>
    </row>
    <row r="118" spans="15:15" s="70" customFormat="1" ht="15.75" customHeight="1">
      <c r="O118" s="91"/>
    </row>
    <row r="119" spans="15:15" s="70" customFormat="1" ht="15.75" customHeight="1">
      <c r="O119" s="91"/>
    </row>
    <row r="120" spans="15:15" s="70" customFormat="1" ht="15.75" customHeight="1">
      <c r="O120" s="91"/>
    </row>
    <row r="121" spans="15:15" s="70" customFormat="1" ht="15.75" customHeight="1">
      <c r="O121" s="91"/>
    </row>
    <row r="122" spans="15:15" s="70" customFormat="1" ht="15.75" customHeight="1">
      <c r="O122" s="91"/>
    </row>
    <row r="123" spans="15:15" s="70" customFormat="1" ht="15.75" customHeight="1">
      <c r="O123" s="91"/>
    </row>
    <row r="124" spans="15:15" s="70" customFormat="1" ht="15.75" customHeight="1">
      <c r="O124" s="91"/>
    </row>
    <row r="125" spans="15:15" s="70" customFormat="1" ht="15.75" customHeight="1">
      <c r="O125" s="91"/>
    </row>
    <row r="126" spans="15:15" s="70" customFormat="1" ht="15.75" customHeight="1">
      <c r="O126" s="91"/>
    </row>
    <row r="127" spans="15:15" s="70" customFormat="1" ht="15.75" customHeight="1">
      <c r="O127" s="91"/>
    </row>
    <row r="128" spans="15:15" s="70" customFormat="1" ht="15.75" customHeight="1">
      <c r="O128" s="91"/>
    </row>
    <row r="129" spans="15:15" s="70" customFormat="1" ht="15.75" customHeight="1">
      <c r="O129" s="91"/>
    </row>
    <row r="130" spans="15:15" s="70" customFormat="1" ht="15.75" customHeight="1">
      <c r="O130" s="91"/>
    </row>
    <row r="131" spans="15:15" s="70" customFormat="1" ht="15.75" customHeight="1">
      <c r="O131" s="91"/>
    </row>
    <row r="132" spans="15:15" s="70" customFormat="1" ht="15.75" customHeight="1">
      <c r="O132" s="91"/>
    </row>
    <row r="133" spans="15:15" s="70" customFormat="1" ht="15.75" customHeight="1">
      <c r="O133" s="91"/>
    </row>
    <row r="134" spans="15:15" s="70" customFormat="1" ht="15.75" customHeight="1">
      <c r="O134" s="91"/>
    </row>
    <row r="135" spans="15:15" s="70" customFormat="1" ht="15.75" customHeight="1">
      <c r="O135" s="91"/>
    </row>
    <row r="136" spans="15:15" s="70" customFormat="1" ht="15.75" customHeight="1">
      <c r="O136" s="91"/>
    </row>
    <row r="137" spans="15:15" s="70" customFormat="1" ht="15.75" customHeight="1">
      <c r="O137" s="91"/>
    </row>
    <row r="138" spans="15:15" s="70" customFormat="1" ht="15.75" customHeight="1">
      <c r="O138" s="91"/>
    </row>
    <row r="139" spans="15:15" s="70" customFormat="1" ht="15.75" customHeight="1">
      <c r="O139" s="91"/>
    </row>
    <row r="140" spans="15:15" s="70" customFormat="1" ht="15.75" customHeight="1">
      <c r="O140" s="91"/>
    </row>
    <row r="141" spans="15:15" s="70" customFormat="1" ht="15.75" customHeight="1">
      <c r="O141" s="91"/>
    </row>
    <row r="142" spans="15:15" s="70" customFormat="1" ht="15.75" customHeight="1">
      <c r="O142" s="91"/>
    </row>
    <row r="143" spans="15:15" s="70" customFormat="1" ht="15.75" customHeight="1">
      <c r="O143" s="91"/>
    </row>
    <row r="144" spans="15:15" s="70" customFormat="1" ht="15.75" customHeight="1">
      <c r="O144" s="91"/>
    </row>
    <row r="145" spans="15:15" s="70" customFormat="1" ht="15.75" customHeight="1">
      <c r="O145" s="91"/>
    </row>
    <row r="146" spans="15:15" s="70" customFormat="1" ht="15.75" customHeight="1">
      <c r="O146" s="91"/>
    </row>
    <row r="147" spans="15:15" s="70" customFormat="1" ht="15.75" customHeight="1">
      <c r="O147" s="91"/>
    </row>
    <row r="148" spans="15:15" s="70" customFormat="1" ht="15.75" customHeight="1">
      <c r="O148" s="91"/>
    </row>
    <row r="149" spans="15:15" s="70" customFormat="1" ht="15.75" customHeight="1">
      <c r="O149" s="91"/>
    </row>
    <row r="150" spans="15:15" s="70" customFormat="1" ht="15.75" customHeight="1">
      <c r="O150" s="91"/>
    </row>
    <row r="151" spans="15:15" s="70" customFormat="1" ht="15.75" customHeight="1">
      <c r="O151" s="91"/>
    </row>
    <row r="152" spans="15:15" s="70" customFormat="1" ht="15.75" customHeight="1">
      <c r="O152" s="91"/>
    </row>
    <row r="153" spans="15:15" s="70" customFormat="1" ht="15.75" customHeight="1">
      <c r="O153" s="91"/>
    </row>
    <row r="154" spans="15:15" s="70" customFormat="1" ht="15.75" customHeight="1">
      <c r="O154" s="91"/>
    </row>
    <row r="155" spans="15:15" ht="15.75" customHeight="1"/>
    <row r="156" spans="15:15" ht="15.75" customHeight="1"/>
    <row r="157" spans="15:15" ht="15.75" customHeight="1"/>
    <row r="158" spans="15:15" ht="15.75" customHeight="1"/>
    <row r="159" spans="15:15" ht="15.75" customHeight="1"/>
    <row r="160" spans="15:15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5">
    <mergeCell ref="A6:B7"/>
    <mergeCell ref="C6:I7"/>
    <mergeCell ref="J6:N7"/>
    <mergeCell ref="A9:B9"/>
    <mergeCell ref="A10:B10"/>
    <mergeCell ref="A13:B13"/>
    <mergeCell ref="A14:B14"/>
    <mergeCell ref="L27:N28"/>
    <mergeCell ref="L30:N33"/>
    <mergeCell ref="L34:N36"/>
    <mergeCell ref="A17:B17"/>
    <mergeCell ref="A18:B18"/>
    <mergeCell ref="A21:B21"/>
    <mergeCell ref="A22:B22"/>
    <mergeCell ref="L38:N39"/>
    <mergeCell ref="L40:N42"/>
    <mergeCell ref="I45:N46"/>
    <mergeCell ref="A26:B29"/>
    <mergeCell ref="A55:B60"/>
    <mergeCell ref="C27:G28"/>
    <mergeCell ref="H27:K28"/>
    <mergeCell ref="C45:H46"/>
    <mergeCell ref="M2:N3"/>
    <mergeCell ref="M4:N4"/>
    <mergeCell ref="J4:L4"/>
    <mergeCell ref="G4:I4"/>
    <mergeCell ref="G1:I1"/>
    <mergeCell ref="J1:L1"/>
    <mergeCell ref="M1:N1"/>
    <mergeCell ref="J2:L3"/>
    <mergeCell ref="D4:F4"/>
    <mergeCell ref="A1:B3"/>
    <mergeCell ref="D1:F1"/>
    <mergeCell ref="D2:F3"/>
    <mergeCell ref="G2:I3"/>
  </mergeCells>
  <conditionalFormatting sqref="D12:E23">
    <cfRule type="colorScale" priority="1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F48:G59">
    <cfRule type="colorScale" priority="2">
      <colorScale>
        <cfvo type="min"/>
        <cfvo type="percentile" val="50"/>
        <cfvo type="max"/>
        <color rgb="FFFDE2E2"/>
        <color rgb="FFFFF3CD"/>
        <color rgb="FFDFF2E1"/>
      </colorScale>
    </cfRule>
  </conditionalFormatting>
  <conditionalFormatting sqref="F49:G60">
    <cfRule type="colorScale" priority="3">
      <colorScale>
        <cfvo type="min"/>
        <cfvo type="percentile" val="50"/>
        <cfvo type="max"/>
        <color rgb="FFF4D6D6"/>
        <color rgb="FFFFF0B8"/>
        <color rgb="FFE4D6ED"/>
      </colorScale>
    </cfRule>
    <cfRule type="colorScale" priority="4">
      <colorScale>
        <cfvo type="min"/>
        <cfvo type="percentile" val="50"/>
        <cfvo type="max"/>
        <color rgb="FFF6C4B6"/>
        <color rgb="FFFFF1A8"/>
        <color rgb="FFDCEFD5"/>
      </colorScale>
    </cfRule>
  </conditionalFormatting>
  <pageMargins left="0.7" right="0.7" top="0.75" bottom="0.75" header="0" footer="0"/>
  <pageSetup orientation="landscape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000-000000000000}">
          <x14:formula1>
            <xm:f>Lookup!$B$2:$B$6</xm:f>
          </x14:formula1>
          <xm:sqref>A11:B11 A12 A14</xm:sqref>
        </x14:dataValidation>
        <x14:dataValidation type="list" allowBlank="1" xr:uid="{00000000-0002-0000-0000-000001000000}">
          <x14:formula1>
            <xm:f>Lookup!$C$2:$C$5</xm:f>
          </x14:formula1>
          <xm:sqref>A15 A18</xm:sqref>
        </x14:dataValidation>
        <x14:dataValidation type="list" allowBlank="1" xr:uid="{00000000-0002-0000-0000-000002000000}">
          <x14:formula1>
            <xm:f>Lookup!$D$2:$D$5</xm:f>
          </x14:formula1>
          <xm:sqref>A17 A22</xm:sqref>
        </x14:dataValidation>
        <x14:dataValidation type="list" allowBlank="1" xr:uid="{00000000-0002-0000-0000-000003000000}">
          <x14:formula1>
            <xm:f>Lookup!$A$2:$A$4</xm:f>
          </x14:formula1>
          <xm:sqref>A8:B8 A9:A10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801"/>
  <sheetViews>
    <sheetView workbookViewId="0">
      <pane ySplit="1" topLeftCell="A2" activePane="bottomLeft" state="frozen"/>
      <selection pane="bottomLeft" activeCell="B3" sqref="B3"/>
    </sheetView>
  </sheetViews>
  <sheetFormatPr defaultColWidth="12.59765625" defaultRowHeight="15" customHeight="1"/>
  <cols>
    <col min="1" max="7" width="14" customWidth="1"/>
    <col min="8" max="8" width="23" customWidth="1"/>
    <col min="9" max="9" width="14" customWidth="1"/>
    <col min="10" max="10" width="18" customWidth="1"/>
    <col min="11" max="16" width="14" customWidth="1"/>
  </cols>
  <sheetData>
    <row r="1" spans="1:16" ht="13.8">
      <c r="A1" s="3" t="s">
        <v>15</v>
      </c>
      <c r="B1" s="3" t="s">
        <v>17</v>
      </c>
      <c r="C1" s="3" t="s">
        <v>16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24</v>
      </c>
      <c r="I1" s="3" t="s">
        <v>22</v>
      </c>
      <c r="J1" s="3" t="s">
        <v>26</v>
      </c>
      <c r="K1" s="3" t="s">
        <v>27</v>
      </c>
      <c r="L1" s="3" t="s">
        <v>28</v>
      </c>
      <c r="M1" s="3" t="s">
        <v>29</v>
      </c>
      <c r="N1" s="3" t="s">
        <v>31</v>
      </c>
      <c r="O1" s="3" t="s">
        <v>32</v>
      </c>
      <c r="P1" s="3" t="s">
        <v>25</v>
      </c>
    </row>
    <row r="2" spans="1:16" ht="13.8">
      <c r="A2" s="4" t="s">
        <v>33</v>
      </c>
      <c r="B2" s="6">
        <v>45460</v>
      </c>
      <c r="C2" s="4">
        <v>2024</v>
      </c>
      <c r="D2" s="4">
        <v>6</v>
      </c>
      <c r="E2" s="4" t="s">
        <v>34</v>
      </c>
      <c r="F2" s="4" t="s">
        <v>5</v>
      </c>
      <c r="G2" s="4" t="s">
        <v>9</v>
      </c>
      <c r="H2" s="4" t="s">
        <v>35</v>
      </c>
      <c r="I2" s="4" t="s">
        <v>7</v>
      </c>
      <c r="J2" s="4" t="s">
        <v>37</v>
      </c>
      <c r="K2" s="4">
        <v>1</v>
      </c>
      <c r="L2" s="5">
        <v>58.85</v>
      </c>
      <c r="M2" s="5">
        <v>58.85</v>
      </c>
      <c r="N2" s="5">
        <v>29.46</v>
      </c>
      <c r="O2" s="5">
        <v>29.39</v>
      </c>
      <c r="P2" s="4">
        <f>--AND(OR(Dashboard!$A$10="All",C2=Dashboard!$A$10),OR(Dashboard!$A$14="All",F2=Dashboard!$A$14),OR(Dashboard!$A$18="All",G2=Dashboard!$A$18),OR(Dashboard!$A$22="All",I2=Dashboard!$A$22))</f>
        <v>1</v>
      </c>
    </row>
    <row r="3" spans="1:16" ht="13.8">
      <c r="A3" s="4" t="s">
        <v>53</v>
      </c>
      <c r="B3" s="6">
        <v>45832</v>
      </c>
      <c r="C3" s="4">
        <v>2025</v>
      </c>
      <c r="D3" s="4">
        <v>6</v>
      </c>
      <c r="E3" s="4" t="s">
        <v>34</v>
      </c>
      <c r="F3" s="4" t="s">
        <v>5</v>
      </c>
      <c r="G3" s="4" t="s">
        <v>6</v>
      </c>
      <c r="H3" s="4" t="s">
        <v>54</v>
      </c>
      <c r="I3" s="4" t="s">
        <v>7</v>
      </c>
      <c r="J3" s="4" t="s">
        <v>55</v>
      </c>
      <c r="K3" s="4">
        <v>4</v>
      </c>
      <c r="L3" s="5">
        <v>194.06</v>
      </c>
      <c r="M3" s="5">
        <v>776.24</v>
      </c>
      <c r="N3" s="5">
        <v>498.6</v>
      </c>
      <c r="O3" s="5">
        <v>277.64</v>
      </c>
      <c r="P3" s="4">
        <f>--AND(OR(Dashboard!$A$10="All",C3=Dashboard!$A$10),OR(Dashboard!$A$14="All",F3=Dashboard!$A$14),OR(Dashboard!$A$18="All",G3=Dashboard!$A$18),OR(Dashboard!$A$22="All",I3=Dashboard!$A$22))</f>
        <v>1</v>
      </c>
    </row>
    <row r="4" spans="1:16" ht="13.8">
      <c r="A4" s="4" t="s">
        <v>56</v>
      </c>
      <c r="B4" s="6">
        <v>46002</v>
      </c>
      <c r="C4" s="4">
        <v>2025</v>
      </c>
      <c r="D4" s="4">
        <v>12</v>
      </c>
      <c r="E4" s="4" t="s">
        <v>57</v>
      </c>
      <c r="F4" s="4" t="s">
        <v>5</v>
      </c>
      <c r="G4" s="4" t="s">
        <v>12</v>
      </c>
      <c r="H4" s="4" t="s">
        <v>58</v>
      </c>
      <c r="I4" s="4" t="s">
        <v>10</v>
      </c>
      <c r="J4" s="4" t="s">
        <v>59</v>
      </c>
      <c r="K4" s="4">
        <v>1</v>
      </c>
      <c r="L4" s="5">
        <v>219.46</v>
      </c>
      <c r="M4" s="5">
        <v>219.46</v>
      </c>
      <c r="N4" s="5">
        <v>126.62</v>
      </c>
      <c r="O4" s="5">
        <v>92.84</v>
      </c>
      <c r="P4" s="4">
        <f>--AND(OR(Dashboard!$A$10="All",C4=Dashboard!$A$10),OR(Dashboard!$A$14="All",F4=Dashboard!$A$14),OR(Dashboard!$A$18="All",G4=Dashboard!$A$18),OR(Dashboard!$A$22="All",I4=Dashboard!$A$22))</f>
        <v>1</v>
      </c>
    </row>
    <row r="5" spans="1:16" ht="13.8">
      <c r="A5" s="4" t="s">
        <v>60</v>
      </c>
      <c r="B5" s="6">
        <v>45315</v>
      </c>
      <c r="C5" s="4">
        <v>2024</v>
      </c>
      <c r="D5" s="4">
        <v>1</v>
      </c>
      <c r="E5" s="4" t="s">
        <v>30</v>
      </c>
      <c r="F5" s="4" t="s">
        <v>5</v>
      </c>
      <c r="G5" s="4" t="s">
        <v>6</v>
      </c>
      <c r="H5" s="4" t="s">
        <v>54</v>
      </c>
      <c r="I5" s="4" t="s">
        <v>10</v>
      </c>
      <c r="J5" s="4" t="s">
        <v>61</v>
      </c>
      <c r="K5" s="4">
        <v>1</v>
      </c>
      <c r="L5" s="5">
        <v>184.27</v>
      </c>
      <c r="M5" s="5">
        <v>184.27</v>
      </c>
      <c r="N5" s="5">
        <v>120.42</v>
      </c>
      <c r="O5" s="5">
        <v>63.85</v>
      </c>
      <c r="P5" s="4">
        <f>--AND(OR(Dashboard!$A$10="All",C5=Dashboard!$A$10),OR(Dashboard!$A$14="All",F5=Dashboard!$A$14),OR(Dashboard!$A$18="All",G5=Dashboard!$A$18),OR(Dashboard!$A$22="All",I5=Dashboard!$A$22))</f>
        <v>1</v>
      </c>
    </row>
    <row r="6" spans="1:16" ht="13.8">
      <c r="A6" s="4" t="s">
        <v>62</v>
      </c>
      <c r="B6" s="6">
        <v>45483</v>
      </c>
      <c r="C6" s="4">
        <v>2024</v>
      </c>
      <c r="D6" s="4">
        <v>7</v>
      </c>
      <c r="E6" s="4" t="s">
        <v>63</v>
      </c>
      <c r="F6" s="4" t="s">
        <v>8</v>
      </c>
      <c r="G6" s="4" t="s">
        <v>9</v>
      </c>
      <c r="H6" s="4" t="s">
        <v>64</v>
      </c>
      <c r="I6" s="4" t="s">
        <v>7</v>
      </c>
      <c r="J6" s="4" t="s">
        <v>65</v>
      </c>
      <c r="K6" s="4">
        <v>1</v>
      </c>
      <c r="L6" s="5">
        <v>58.63</v>
      </c>
      <c r="M6" s="5">
        <v>58.63</v>
      </c>
      <c r="N6" s="5">
        <v>29.78</v>
      </c>
      <c r="O6" s="5">
        <v>28.85</v>
      </c>
      <c r="P6" s="4">
        <f>--AND(OR(Dashboard!$A$10="All",C6=Dashboard!$A$10),OR(Dashboard!$A$14="All",F6=Dashboard!$A$14),OR(Dashboard!$A$18="All",G6=Dashboard!$A$18),OR(Dashboard!$A$22="All",I6=Dashboard!$A$22))</f>
        <v>1</v>
      </c>
    </row>
    <row r="7" spans="1:16" ht="13.8">
      <c r="A7" s="4" t="s">
        <v>66</v>
      </c>
      <c r="B7" s="6">
        <v>45886</v>
      </c>
      <c r="C7" s="4">
        <v>2025</v>
      </c>
      <c r="D7" s="4">
        <v>8</v>
      </c>
      <c r="E7" s="4" t="s">
        <v>67</v>
      </c>
      <c r="F7" s="4" t="s">
        <v>14</v>
      </c>
      <c r="G7" s="4" t="s">
        <v>6</v>
      </c>
      <c r="H7" s="4" t="s">
        <v>54</v>
      </c>
      <c r="I7" s="4" t="s">
        <v>7</v>
      </c>
      <c r="J7" s="4" t="s">
        <v>68</v>
      </c>
      <c r="K7" s="4">
        <v>4</v>
      </c>
      <c r="L7" s="5">
        <v>126.18</v>
      </c>
      <c r="M7" s="5">
        <v>504.72</v>
      </c>
      <c r="N7" s="5">
        <v>321.33</v>
      </c>
      <c r="O7" s="5">
        <v>183.39</v>
      </c>
      <c r="P7" s="4">
        <f>--AND(OR(Dashboard!$A$10="All",C7=Dashboard!$A$10),OR(Dashboard!$A$14="All",F7=Dashboard!$A$14),OR(Dashboard!$A$18="All",G7=Dashboard!$A$18),OR(Dashboard!$A$22="All",I7=Dashboard!$A$22))</f>
        <v>1</v>
      </c>
    </row>
    <row r="8" spans="1:16" ht="13.8">
      <c r="A8" s="4" t="s">
        <v>69</v>
      </c>
      <c r="B8" s="6">
        <v>45711</v>
      </c>
      <c r="C8" s="4">
        <v>2025</v>
      </c>
      <c r="D8" s="4">
        <v>2</v>
      </c>
      <c r="E8" s="4" t="s">
        <v>70</v>
      </c>
      <c r="F8" s="4" t="s">
        <v>5</v>
      </c>
      <c r="G8" s="4" t="s">
        <v>9</v>
      </c>
      <c r="H8" s="4" t="s">
        <v>71</v>
      </c>
      <c r="I8" s="4" t="s">
        <v>7</v>
      </c>
      <c r="J8" s="4" t="s">
        <v>72</v>
      </c>
      <c r="K8" s="4">
        <v>6</v>
      </c>
      <c r="L8" s="5">
        <v>44.82</v>
      </c>
      <c r="M8" s="5">
        <v>268.92</v>
      </c>
      <c r="N8" s="5">
        <v>134.35</v>
      </c>
      <c r="O8" s="5">
        <v>134.57</v>
      </c>
      <c r="P8" s="4">
        <f>--AND(OR(Dashboard!$A$10="All",C8=Dashboard!$A$10),OR(Dashboard!$A$14="All",F8=Dashboard!$A$14),OR(Dashboard!$A$18="All",G8=Dashboard!$A$18),OR(Dashboard!$A$22="All",I8=Dashboard!$A$22))</f>
        <v>1</v>
      </c>
    </row>
    <row r="9" spans="1:16" ht="13.8">
      <c r="A9" s="4" t="s">
        <v>78</v>
      </c>
      <c r="B9" s="6">
        <v>45905</v>
      </c>
      <c r="C9" s="4">
        <v>2025</v>
      </c>
      <c r="D9" s="4">
        <v>9</v>
      </c>
      <c r="E9" s="4" t="s">
        <v>79</v>
      </c>
      <c r="F9" s="4" t="s">
        <v>11</v>
      </c>
      <c r="G9" s="4" t="s">
        <v>6</v>
      </c>
      <c r="H9" s="4" t="s">
        <v>80</v>
      </c>
      <c r="I9" s="4" t="s">
        <v>10</v>
      </c>
      <c r="J9" s="4" t="s">
        <v>81</v>
      </c>
      <c r="K9" s="4">
        <v>4</v>
      </c>
      <c r="L9" s="5">
        <v>102.1</v>
      </c>
      <c r="M9" s="5">
        <v>408.4</v>
      </c>
      <c r="N9" s="5">
        <v>260.64999999999998</v>
      </c>
      <c r="O9" s="5">
        <v>147.75</v>
      </c>
      <c r="P9" s="4">
        <f>--AND(OR(Dashboard!$A$10="All",C9=Dashboard!$A$10),OR(Dashboard!$A$14="All",F9=Dashboard!$A$14),OR(Dashboard!$A$18="All",G9=Dashboard!$A$18),OR(Dashboard!$A$22="All",I9=Dashboard!$A$22))</f>
        <v>1</v>
      </c>
    </row>
    <row r="10" spans="1:16" ht="13.8">
      <c r="A10" s="4" t="s">
        <v>82</v>
      </c>
      <c r="B10" s="6">
        <v>45632</v>
      </c>
      <c r="C10" s="4">
        <v>2024</v>
      </c>
      <c r="D10" s="4">
        <v>12</v>
      </c>
      <c r="E10" s="4" t="s">
        <v>57</v>
      </c>
      <c r="F10" s="4" t="s">
        <v>5</v>
      </c>
      <c r="G10" s="4" t="s">
        <v>12</v>
      </c>
      <c r="H10" s="4" t="s">
        <v>86</v>
      </c>
      <c r="I10" s="4" t="s">
        <v>7</v>
      </c>
      <c r="J10" s="4" t="s">
        <v>87</v>
      </c>
      <c r="K10" s="4">
        <v>1</v>
      </c>
      <c r="L10" s="5">
        <v>148.28</v>
      </c>
      <c r="M10" s="5">
        <v>148.28</v>
      </c>
      <c r="N10" s="5">
        <v>88.33</v>
      </c>
      <c r="O10" s="5">
        <v>59.95</v>
      </c>
      <c r="P10" s="4">
        <f>--AND(OR(Dashboard!$A$10="All",C10=Dashboard!$A$10),OR(Dashboard!$A$14="All",F10=Dashboard!$A$14),OR(Dashboard!$A$18="All",G10=Dashboard!$A$18),OR(Dashboard!$A$22="All",I10=Dashboard!$A$22))</f>
        <v>1</v>
      </c>
    </row>
    <row r="11" spans="1:16" ht="13.8">
      <c r="A11" s="4" t="s">
        <v>88</v>
      </c>
      <c r="B11" s="6">
        <v>45991</v>
      </c>
      <c r="C11" s="4">
        <v>2025</v>
      </c>
      <c r="D11" s="4">
        <v>11</v>
      </c>
      <c r="E11" s="4" t="s">
        <v>89</v>
      </c>
      <c r="F11" s="4" t="s">
        <v>5</v>
      </c>
      <c r="G11" s="4" t="s">
        <v>12</v>
      </c>
      <c r="H11" s="4" t="s">
        <v>92</v>
      </c>
      <c r="I11" s="4" t="s">
        <v>7</v>
      </c>
      <c r="J11" s="4" t="s">
        <v>94</v>
      </c>
      <c r="K11" s="4">
        <v>4</v>
      </c>
      <c r="L11" s="5">
        <v>218</v>
      </c>
      <c r="M11" s="5">
        <v>872</v>
      </c>
      <c r="N11" s="5">
        <v>516.69000000000005</v>
      </c>
      <c r="O11" s="5">
        <v>355.31</v>
      </c>
      <c r="P11" s="4">
        <f>--AND(OR(Dashboard!$A$10="All",C11=Dashboard!$A$10),OR(Dashboard!$A$14="All",F11=Dashboard!$A$14),OR(Dashboard!$A$18="All",G11=Dashboard!$A$18),OR(Dashboard!$A$22="All",I11=Dashboard!$A$22))</f>
        <v>1</v>
      </c>
    </row>
    <row r="12" spans="1:16" ht="13.8">
      <c r="A12" s="4" t="s">
        <v>97</v>
      </c>
      <c r="B12" s="6">
        <v>45543</v>
      </c>
      <c r="C12" s="4">
        <v>2024</v>
      </c>
      <c r="D12" s="4">
        <v>9</v>
      </c>
      <c r="E12" s="4" t="s">
        <v>79</v>
      </c>
      <c r="F12" s="4" t="s">
        <v>5</v>
      </c>
      <c r="G12" s="4" t="s">
        <v>6</v>
      </c>
      <c r="H12" s="4" t="s">
        <v>98</v>
      </c>
      <c r="I12" s="4" t="s">
        <v>10</v>
      </c>
      <c r="J12" s="4" t="s">
        <v>99</v>
      </c>
      <c r="K12" s="4">
        <v>8</v>
      </c>
      <c r="L12" s="5">
        <v>200.55</v>
      </c>
      <c r="M12" s="5">
        <v>1604.4</v>
      </c>
      <c r="N12" s="5">
        <v>1011.48</v>
      </c>
      <c r="O12" s="5">
        <v>592.91999999999996</v>
      </c>
      <c r="P12" s="4">
        <f>--AND(OR(Dashboard!$A$10="All",C12=Dashboard!$A$10),OR(Dashboard!$A$14="All",F12=Dashboard!$A$14),OR(Dashboard!$A$18="All",G12=Dashboard!$A$18),OR(Dashboard!$A$22="All",I12=Dashboard!$A$22))</f>
        <v>1</v>
      </c>
    </row>
    <row r="13" spans="1:16" ht="13.8">
      <c r="A13" s="4" t="s">
        <v>101</v>
      </c>
      <c r="B13" s="6">
        <v>45966</v>
      </c>
      <c r="C13" s="4">
        <v>2025</v>
      </c>
      <c r="D13" s="4">
        <v>11</v>
      </c>
      <c r="E13" s="4" t="s">
        <v>89</v>
      </c>
      <c r="F13" s="4" t="s">
        <v>5</v>
      </c>
      <c r="G13" s="4" t="s">
        <v>9</v>
      </c>
      <c r="H13" s="4" t="s">
        <v>64</v>
      </c>
      <c r="I13" s="4" t="s">
        <v>7</v>
      </c>
      <c r="J13" s="4" t="s">
        <v>104</v>
      </c>
      <c r="K13" s="4">
        <v>1</v>
      </c>
      <c r="L13" s="5">
        <v>62.96</v>
      </c>
      <c r="M13" s="5">
        <v>62.96</v>
      </c>
      <c r="N13" s="5">
        <v>33</v>
      </c>
      <c r="O13" s="5">
        <v>29.96</v>
      </c>
      <c r="P13" s="4">
        <f>--AND(OR(Dashboard!$A$10="All",C13=Dashboard!$A$10),OR(Dashboard!$A$14="All",F13=Dashboard!$A$14),OR(Dashboard!$A$18="All",G13=Dashboard!$A$18),OR(Dashboard!$A$22="All",I13=Dashboard!$A$22))</f>
        <v>1</v>
      </c>
    </row>
    <row r="14" spans="1:16" ht="13.8">
      <c r="A14" s="4" t="s">
        <v>107</v>
      </c>
      <c r="B14" s="6">
        <v>45782</v>
      </c>
      <c r="C14" s="4">
        <v>2025</v>
      </c>
      <c r="D14" s="4">
        <v>5</v>
      </c>
      <c r="E14" s="4" t="s">
        <v>108</v>
      </c>
      <c r="F14" s="4" t="s">
        <v>5</v>
      </c>
      <c r="G14" s="4" t="s">
        <v>6</v>
      </c>
      <c r="H14" s="4" t="s">
        <v>80</v>
      </c>
      <c r="I14" s="4" t="s">
        <v>13</v>
      </c>
      <c r="J14" s="4" t="s">
        <v>61</v>
      </c>
      <c r="K14" s="4">
        <v>3</v>
      </c>
      <c r="L14" s="5">
        <v>209.92</v>
      </c>
      <c r="M14" s="5">
        <v>629.76</v>
      </c>
      <c r="N14" s="5">
        <v>410.06</v>
      </c>
      <c r="O14" s="5">
        <v>219.7</v>
      </c>
      <c r="P14" s="4">
        <f>--AND(OR(Dashboard!$A$10="All",C14=Dashboard!$A$10),OR(Dashboard!$A$14="All",F14=Dashboard!$A$14),OR(Dashboard!$A$18="All",G14=Dashboard!$A$18),OR(Dashboard!$A$22="All",I14=Dashboard!$A$22))</f>
        <v>1</v>
      </c>
    </row>
    <row r="15" spans="1:16" ht="13.8">
      <c r="A15" s="4" t="s">
        <v>109</v>
      </c>
      <c r="B15" s="6">
        <v>45669</v>
      </c>
      <c r="C15" s="4">
        <v>2025</v>
      </c>
      <c r="D15" s="4">
        <v>1</v>
      </c>
      <c r="E15" s="4" t="s">
        <v>30</v>
      </c>
      <c r="F15" s="4" t="s">
        <v>8</v>
      </c>
      <c r="G15" s="4" t="s">
        <v>9</v>
      </c>
      <c r="H15" s="4" t="s">
        <v>110</v>
      </c>
      <c r="I15" s="4" t="s">
        <v>10</v>
      </c>
      <c r="J15" s="4" t="s">
        <v>111</v>
      </c>
      <c r="K15" s="4">
        <v>4</v>
      </c>
      <c r="L15" s="5">
        <v>57.07</v>
      </c>
      <c r="M15" s="5">
        <v>228.28</v>
      </c>
      <c r="N15" s="5">
        <v>108.55</v>
      </c>
      <c r="O15" s="5">
        <v>119.73</v>
      </c>
      <c r="P15" s="4">
        <f>--AND(OR(Dashboard!$A$10="All",C15=Dashboard!$A$10),OR(Dashboard!$A$14="All",F15=Dashboard!$A$14),OR(Dashboard!$A$18="All",G15=Dashboard!$A$18),OR(Dashboard!$A$22="All",I15=Dashboard!$A$22))</f>
        <v>1</v>
      </c>
    </row>
    <row r="16" spans="1:16" ht="13.8">
      <c r="A16" s="4" t="s">
        <v>113</v>
      </c>
      <c r="B16" s="6">
        <v>45420</v>
      </c>
      <c r="C16" s="4">
        <v>2024</v>
      </c>
      <c r="D16" s="4">
        <v>5</v>
      </c>
      <c r="E16" s="4" t="s">
        <v>108</v>
      </c>
      <c r="F16" s="4" t="s">
        <v>14</v>
      </c>
      <c r="G16" s="4" t="s">
        <v>6</v>
      </c>
      <c r="H16" s="4" t="s">
        <v>114</v>
      </c>
      <c r="I16" s="4" t="s">
        <v>10</v>
      </c>
      <c r="J16" s="4" t="s">
        <v>115</v>
      </c>
      <c r="K16" s="4">
        <v>5</v>
      </c>
      <c r="L16" s="5">
        <v>162.65</v>
      </c>
      <c r="M16" s="5">
        <v>813.25</v>
      </c>
      <c r="N16" s="5">
        <v>523.71</v>
      </c>
      <c r="O16" s="5">
        <v>289.54000000000002</v>
      </c>
      <c r="P16" s="4">
        <f>--AND(OR(Dashboard!$A$10="All",C16=Dashboard!$A$10),OR(Dashboard!$A$14="All",F16=Dashboard!$A$14),OR(Dashboard!$A$18="All",G16=Dashboard!$A$18),OR(Dashboard!$A$22="All",I16=Dashboard!$A$22))</f>
        <v>1</v>
      </c>
    </row>
    <row r="17" spans="1:16" ht="13.8">
      <c r="A17" s="4" t="s">
        <v>117</v>
      </c>
      <c r="B17" s="6">
        <v>45433</v>
      </c>
      <c r="C17" s="4">
        <v>2024</v>
      </c>
      <c r="D17" s="4">
        <v>5</v>
      </c>
      <c r="E17" s="4" t="s">
        <v>108</v>
      </c>
      <c r="F17" s="4" t="s">
        <v>5</v>
      </c>
      <c r="G17" s="4" t="s">
        <v>6</v>
      </c>
      <c r="H17" s="4" t="s">
        <v>98</v>
      </c>
      <c r="I17" s="4" t="s">
        <v>7</v>
      </c>
      <c r="J17" s="4" t="s">
        <v>118</v>
      </c>
      <c r="K17" s="4">
        <v>1</v>
      </c>
      <c r="L17" s="5">
        <v>96.12</v>
      </c>
      <c r="M17" s="5">
        <v>96.12</v>
      </c>
      <c r="N17" s="5">
        <v>65.77</v>
      </c>
      <c r="O17" s="5">
        <v>30.35</v>
      </c>
      <c r="P17" s="4">
        <f>--AND(OR(Dashboard!$A$10="All",C17=Dashboard!$A$10),OR(Dashboard!$A$14="All",F17=Dashboard!$A$14),OR(Dashboard!$A$18="All",G17=Dashboard!$A$18),OR(Dashboard!$A$22="All",I17=Dashboard!$A$22))</f>
        <v>1</v>
      </c>
    </row>
    <row r="18" spans="1:16" ht="13.8">
      <c r="A18" s="4" t="s">
        <v>119</v>
      </c>
      <c r="B18" s="6">
        <v>45580</v>
      </c>
      <c r="C18" s="4">
        <v>2024</v>
      </c>
      <c r="D18" s="4">
        <v>10</v>
      </c>
      <c r="E18" s="4" t="s">
        <v>120</v>
      </c>
      <c r="F18" s="4" t="s">
        <v>5</v>
      </c>
      <c r="G18" s="4" t="s">
        <v>12</v>
      </c>
      <c r="H18" s="4" t="s">
        <v>86</v>
      </c>
      <c r="I18" s="4" t="s">
        <v>7</v>
      </c>
      <c r="J18" s="4" t="s">
        <v>121</v>
      </c>
      <c r="K18" s="4">
        <v>1</v>
      </c>
      <c r="L18" s="5">
        <v>154.36000000000001</v>
      </c>
      <c r="M18" s="5">
        <v>154.36000000000001</v>
      </c>
      <c r="N18" s="5">
        <v>94.88</v>
      </c>
      <c r="O18" s="5">
        <v>59.48</v>
      </c>
      <c r="P18" s="4">
        <f>--AND(OR(Dashboard!$A$10="All",C18=Dashboard!$A$10),OR(Dashboard!$A$14="All",F18=Dashboard!$A$14),OR(Dashboard!$A$18="All",G18=Dashboard!$A$18),OR(Dashboard!$A$22="All",I18=Dashboard!$A$22))</f>
        <v>1</v>
      </c>
    </row>
    <row r="19" spans="1:16" ht="13.8">
      <c r="A19" s="4" t="s">
        <v>122</v>
      </c>
      <c r="B19" s="6">
        <v>45339</v>
      </c>
      <c r="C19" s="4">
        <v>2024</v>
      </c>
      <c r="D19" s="4">
        <v>2</v>
      </c>
      <c r="E19" s="4" t="s">
        <v>70</v>
      </c>
      <c r="F19" s="4" t="s">
        <v>8</v>
      </c>
      <c r="G19" s="4" t="s">
        <v>12</v>
      </c>
      <c r="H19" s="4" t="s">
        <v>124</v>
      </c>
      <c r="I19" s="4" t="s">
        <v>10</v>
      </c>
      <c r="J19" s="4" t="s">
        <v>125</v>
      </c>
      <c r="K19" s="4">
        <v>1</v>
      </c>
      <c r="L19" s="5">
        <v>123.97</v>
      </c>
      <c r="M19" s="5">
        <v>123.97</v>
      </c>
      <c r="N19" s="5">
        <v>76.349999999999994</v>
      </c>
      <c r="O19" s="5">
        <v>47.62</v>
      </c>
      <c r="P19" s="4">
        <f>--AND(OR(Dashboard!$A$10="All",C19=Dashboard!$A$10),OR(Dashboard!$A$14="All",F19=Dashboard!$A$14),OR(Dashboard!$A$18="All",G19=Dashboard!$A$18),OR(Dashboard!$A$22="All",I19=Dashboard!$A$22))</f>
        <v>1</v>
      </c>
    </row>
    <row r="20" spans="1:16" ht="13.8">
      <c r="A20" s="4" t="s">
        <v>126</v>
      </c>
      <c r="B20" s="6">
        <v>46020</v>
      </c>
      <c r="C20" s="4">
        <v>2025</v>
      </c>
      <c r="D20" s="4">
        <v>12</v>
      </c>
      <c r="E20" s="4" t="s">
        <v>57</v>
      </c>
      <c r="F20" s="4" t="s">
        <v>5</v>
      </c>
      <c r="G20" s="4" t="s">
        <v>12</v>
      </c>
      <c r="H20" s="4" t="s">
        <v>127</v>
      </c>
      <c r="I20" s="4" t="s">
        <v>7</v>
      </c>
      <c r="J20" s="4" t="s">
        <v>128</v>
      </c>
      <c r="K20" s="4">
        <v>1</v>
      </c>
      <c r="L20" s="5">
        <v>178.07</v>
      </c>
      <c r="M20" s="5">
        <v>178.07</v>
      </c>
      <c r="N20" s="5">
        <v>111.12</v>
      </c>
      <c r="O20" s="5">
        <v>66.95</v>
      </c>
      <c r="P20" s="4">
        <f>--AND(OR(Dashboard!$A$10="All",C20=Dashboard!$A$10),OR(Dashboard!$A$14="All",F20=Dashboard!$A$14),OR(Dashboard!$A$18="All",G20=Dashboard!$A$18),OR(Dashboard!$A$22="All",I20=Dashboard!$A$22))</f>
        <v>1</v>
      </c>
    </row>
    <row r="21" spans="1:16" ht="15.75" customHeight="1">
      <c r="A21" s="4" t="s">
        <v>130</v>
      </c>
      <c r="B21" s="6">
        <v>45807</v>
      </c>
      <c r="C21" s="4">
        <v>2025</v>
      </c>
      <c r="D21" s="4">
        <v>5</v>
      </c>
      <c r="E21" s="4" t="s">
        <v>108</v>
      </c>
      <c r="F21" s="4" t="s">
        <v>11</v>
      </c>
      <c r="G21" s="4" t="s">
        <v>9</v>
      </c>
      <c r="H21" s="4" t="s">
        <v>71</v>
      </c>
      <c r="I21" s="4" t="s">
        <v>7</v>
      </c>
      <c r="J21" s="4" t="s">
        <v>131</v>
      </c>
      <c r="K21" s="4">
        <v>5</v>
      </c>
      <c r="L21" s="5">
        <v>55.56</v>
      </c>
      <c r="M21" s="5">
        <v>277.8</v>
      </c>
      <c r="N21" s="5">
        <v>145.38999999999999</v>
      </c>
      <c r="O21" s="5">
        <v>132.41</v>
      </c>
      <c r="P21" s="4">
        <f>--AND(OR(Dashboard!$A$10="All",C21=Dashboard!$A$10),OR(Dashboard!$A$14="All",F21=Dashboard!$A$14),OR(Dashboard!$A$18="All",G21=Dashboard!$A$18),OR(Dashboard!$A$22="All",I21=Dashboard!$A$22))</f>
        <v>1</v>
      </c>
    </row>
    <row r="22" spans="1:16" ht="15.75" customHeight="1">
      <c r="A22" s="4" t="s">
        <v>133</v>
      </c>
      <c r="B22" s="6">
        <v>45590</v>
      </c>
      <c r="C22" s="4">
        <v>2024</v>
      </c>
      <c r="D22" s="4">
        <v>10</v>
      </c>
      <c r="E22" s="4" t="s">
        <v>120</v>
      </c>
      <c r="F22" s="4" t="s">
        <v>8</v>
      </c>
      <c r="G22" s="4" t="s">
        <v>12</v>
      </c>
      <c r="H22" s="4" t="s">
        <v>127</v>
      </c>
      <c r="I22" s="4" t="s">
        <v>7</v>
      </c>
      <c r="J22" s="4" t="s">
        <v>134</v>
      </c>
      <c r="K22" s="4">
        <v>5</v>
      </c>
      <c r="L22" s="5">
        <v>154.29</v>
      </c>
      <c r="M22" s="5">
        <v>771.45</v>
      </c>
      <c r="N22" s="5">
        <v>442.75</v>
      </c>
      <c r="O22" s="5">
        <v>328.7</v>
      </c>
      <c r="P22" s="4">
        <f>--AND(OR(Dashboard!$A$10="All",C22=Dashboard!$A$10),OR(Dashboard!$A$14="All",F22=Dashboard!$A$14),OR(Dashboard!$A$18="All",G22=Dashboard!$A$18),OR(Dashboard!$A$22="All",I22=Dashboard!$A$22))</f>
        <v>1</v>
      </c>
    </row>
    <row r="23" spans="1:16" ht="15.75" customHeight="1">
      <c r="A23" s="4" t="s">
        <v>140</v>
      </c>
      <c r="B23" s="6">
        <v>45722</v>
      </c>
      <c r="C23" s="4">
        <v>2025</v>
      </c>
      <c r="D23" s="4">
        <v>3</v>
      </c>
      <c r="E23" s="4" t="s">
        <v>100</v>
      </c>
      <c r="F23" s="4" t="s">
        <v>5</v>
      </c>
      <c r="G23" s="4" t="s">
        <v>6</v>
      </c>
      <c r="H23" s="4" t="s">
        <v>54</v>
      </c>
      <c r="I23" s="4" t="s">
        <v>10</v>
      </c>
      <c r="J23" s="4" t="s">
        <v>111</v>
      </c>
      <c r="K23" s="4">
        <v>9</v>
      </c>
      <c r="L23" s="5">
        <v>150.76</v>
      </c>
      <c r="M23" s="5">
        <v>1356.84</v>
      </c>
      <c r="N23" s="5">
        <v>935.55</v>
      </c>
      <c r="O23" s="5">
        <v>421.29</v>
      </c>
      <c r="P23" s="4">
        <f>--AND(OR(Dashboard!$A$10="All",C23=Dashboard!$A$10),OR(Dashboard!$A$14="All",F23=Dashboard!$A$14),OR(Dashboard!$A$18="All",G23=Dashboard!$A$18),OR(Dashboard!$A$22="All",I23=Dashboard!$A$22))</f>
        <v>1</v>
      </c>
    </row>
    <row r="24" spans="1:16" ht="15.75" customHeight="1">
      <c r="A24" s="4" t="s">
        <v>143</v>
      </c>
      <c r="B24" s="6">
        <v>45952</v>
      </c>
      <c r="C24" s="4">
        <v>2025</v>
      </c>
      <c r="D24" s="4">
        <v>10</v>
      </c>
      <c r="E24" s="4" t="s">
        <v>120</v>
      </c>
      <c r="F24" s="4" t="s">
        <v>8</v>
      </c>
      <c r="G24" s="4" t="s">
        <v>9</v>
      </c>
      <c r="H24" s="4" t="s">
        <v>71</v>
      </c>
      <c r="I24" s="4" t="s">
        <v>7</v>
      </c>
      <c r="J24" s="4" t="s">
        <v>144</v>
      </c>
      <c r="K24" s="4">
        <v>1</v>
      </c>
      <c r="L24" s="5">
        <v>24.39</v>
      </c>
      <c r="M24" s="5">
        <v>24.39</v>
      </c>
      <c r="N24" s="5">
        <v>11.92</v>
      </c>
      <c r="O24" s="5">
        <v>12.47</v>
      </c>
      <c r="P24" s="4">
        <f>--AND(OR(Dashboard!$A$10="All",C24=Dashboard!$A$10),OR(Dashboard!$A$14="All",F24=Dashboard!$A$14),OR(Dashboard!$A$18="All",G24=Dashboard!$A$18),OR(Dashboard!$A$22="All",I24=Dashboard!$A$22))</f>
        <v>1</v>
      </c>
    </row>
    <row r="25" spans="1:16" ht="15.75" customHeight="1">
      <c r="A25" s="4" t="s">
        <v>145</v>
      </c>
      <c r="B25" s="6">
        <v>45706</v>
      </c>
      <c r="C25" s="4">
        <v>2025</v>
      </c>
      <c r="D25" s="4">
        <v>2</v>
      </c>
      <c r="E25" s="4" t="s">
        <v>70</v>
      </c>
      <c r="F25" s="4" t="s">
        <v>8</v>
      </c>
      <c r="G25" s="4" t="s">
        <v>9</v>
      </c>
      <c r="H25" s="4" t="s">
        <v>64</v>
      </c>
      <c r="I25" s="4" t="s">
        <v>7</v>
      </c>
      <c r="J25" s="4" t="s">
        <v>146</v>
      </c>
      <c r="K25" s="4">
        <v>2</v>
      </c>
      <c r="L25" s="5">
        <v>63.66</v>
      </c>
      <c r="M25" s="5">
        <v>127.32</v>
      </c>
      <c r="N25" s="5">
        <v>64.64</v>
      </c>
      <c r="O25" s="5">
        <v>62.68</v>
      </c>
      <c r="P25" s="4">
        <f>--AND(OR(Dashboard!$A$10="All",C25=Dashboard!$A$10),OR(Dashboard!$A$14="All",F25=Dashboard!$A$14),OR(Dashboard!$A$18="All",G25=Dashboard!$A$18),OR(Dashboard!$A$22="All",I25=Dashboard!$A$22))</f>
        <v>1</v>
      </c>
    </row>
    <row r="26" spans="1:16" ht="15.75" customHeight="1">
      <c r="A26" s="4" t="s">
        <v>147</v>
      </c>
      <c r="B26" s="6">
        <v>45783</v>
      </c>
      <c r="C26" s="4">
        <v>2025</v>
      </c>
      <c r="D26" s="4">
        <v>5</v>
      </c>
      <c r="E26" s="4" t="s">
        <v>108</v>
      </c>
      <c r="F26" s="4" t="s">
        <v>5</v>
      </c>
      <c r="G26" s="4" t="s">
        <v>9</v>
      </c>
      <c r="H26" s="4" t="s">
        <v>71</v>
      </c>
      <c r="I26" s="4" t="s">
        <v>13</v>
      </c>
      <c r="J26" s="4" t="s">
        <v>149</v>
      </c>
      <c r="K26" s="4">
        <v>8</v>
      </c>
      <c r="L26" s="5">
        <v>56.63</v>
      </c>
      <c r="M26" s="5">
        <v>453.04</v>
      </c>
      <c r="N26" s="5">
        <v>230.33</v>
      </c>
      <c r="O26" s="5">
        <v>222.71</v>
      </c>
      <c r="P26" s="4">
        <f>--AND(OR(Dashboard!$A$10="All",C26=Dashboard!$A$10),OR(Dashboard!$A$14="All",F26=Dashboard!$A$14),OR(Dashboard!$A$18="All",G26=Dashboard!$A$18),OR(Dashboard!$A$22="All",I26=Dashboard!$A$22))</f>
        <v>1</v>
      </c>
    </row>
    <row r="27" spans="1:16" ht="15.75" customHeight="1">
      <c r="A27" s="4" t="s">
        <v>151</v>
      </c>
      <c r="B27" s="6">
        <v>46007</v>
      </c>
      <c r="C27" s="4">
        <v>2025</v>
      </c>
      <c r="D27" s="4">
        <v>12</v>
      </c>
      <c r="E27" s="4" t="s">
        <v>57</v>
      </c>
      <c r="F27" s="4" t="s">
        <v>11</v>
      </c>
      <c r="G27" s="4" t="s">
        <v>9</v>
      </c>
      <c r="H27" s="4" t="s">
        <v>64</v>
      </c>
      <c r="I27" s="4" t="s">
        <v>7</v>
      </c>
      <c r="J27" s="4" t="s">
        <v>153</v>
      </c>
      <c r="K27" s="4">
        <v>3</v>
      </c>
      <c r="L27" s="5">
        <v>39.68</v>
      </c>
      <c r="M27" s="5">
        <v>119.04</v>
      </c>
      <c r="N27" s="5">
        <v>59.66</v>
      </c>
      <c r="O27" s="5">
        <v>59.38</v>
      </c>
      <c r="P27" s="4">
        <f>--AND(OR(Dashboard!$A$10="All",C27=Dashboard!$A$10),OR(Dashboard!$A$14="All",F27=Dashboard!$A$14),OR(Dashboard!$A$18="All",G27=Dashboard!$A$18),OR(Dashboard!$A$22="All",I27=Dashboard!$A$22))</f>
        <v>1</v>
      </c>
    </row>
    <row r="28" spans="1:16" ht="15.75" customHeight="1">
      <c r="A28" s="4" t="s">
        <v>157</v>
      </c>
      <c r="B28" s="6">
        <v>45298</v>
      </c>
      <c r="C28" s="4">
        <v>2024</v>
      </c>
      <c r="D28" s="4">
        <v>1</v>
      </c>
      <c r="E28" s="4" t="s">
        <v>30</v>
      </c>
      <c r="F28" s="4" t="s">
        <v>5</v>
      </c>
      <c r="G28" s="4" t="s">
        <v>6</v>
      </c>
      <c r="H28" s="4" t="s">
        <v>114</v>
      </c>
      <c r="I28" s="4" t="s">
        <v>13</v>
      </c>
      <c r="J28" s="4" t="s">
        <v>104</v>
      </c>
      <c r="K28" s="4">
        <v>1</v>
      </c>
      <c r="L28" s="5">
        <v>168</v>
      </c>
      <c r="M28" s="5">
        <v>168</v>
      </c>
      <c r="N28" s="5">
        <v>109.5</v>
      </c>
      <c r="O28" s="5">
        <v>58.5</v>
      </c>
      <c r="P28" s="4">
        <f>--AND(OR(Dashboard!$A$10="All",C28=Dashboard!$A$10),OR(Dashboard!$A$14="All",F28=Dashboard!$A$14),OR(Dashboard!$A$18="All",G28=Dashboard!$A$18),OR(Dashboard!$A$22="All",I28=Dashboard!$A$22))</f>
        <v>1</v>
      </c>
    </row>
    <row r="29" spans="1:16" ht="15.75" customHeight="1">
      <c r="A29" s="4" t="s">
        <v>158</v>
      </c>
      <c r="B29" s="6">
        <v>45765</v>
      </c>
      <c r="C29" s="4">
        <v>2025</v>
      </c>
      <c r="D29" s="4">
        <v>4</v>
      </c>
      <c r="E29" s="4" t="s">
        <v>106</v>
      </c>
      <c r="F29" s="4" t="s">
        <v>14</v>
      </c>
      <c r="G29" s="4" t="s">
        <v>6</v>
      </c>
      <c r="H29" s="4" t="s">
        <v>98</v>
      </c>
      <c r="I29" s="4" t="s">
        <v>7</v>
      </c>
      <c r="J29" s="4" t="s">
        <v>159</v>
      </c>
      <c r="K29" s="4">
        <v>2</v>
      </c>
      <c r="L29" s="5">
        <v>177.24</v>
      </c>
      <c r="M29" s="5">
        <v>354.48</v>
      </c>
      <c r="N29" s="5">
        <v>228.36</v>
      </c>
      <c r="O29" s="5">
        <v>126.12</v>
      </c>
      <c r="P29" s="4">
        <f>--AND(OR(Dashboard!$A$10="All",C29=Dashboard!$A$10),OR(Dashboard!$A$14="All",F29=Dashboard!$A$14),OR(Dashboard!$A$18="All",G29=Dashboard!$A$18),OR(Dashboard!$A$22="All",I29=Dashboard!$A$22))</f>
        <v>1</v>
      </c>
    </row>
    <row r="30" spans="1:16" ht="15.75" customHeight="1">
      <c r="A30" s="4" t="s">
        <v>160</v>
      </c>
      <c r="B30" s="6">
        <v>45621</v>
      </c>
      <c r="C30" s="4">
        <v>2024</v>
      </c>
      <c r="D30" s="4">
        <v>11</v>
      </c>
      <c r="E30" s="4" t="s">
        <v>89</v>
      </c>
      <c r="F30" s="4" t="s">
        <v>8</v>
      </c>
      <c r="G30" s="4" t="s">
        <v>6</v>
      </c>
      <c r="H30" s="4" t="s">
        <v>80</v>
      </c>
      <c r="I30" s="4" t="s">
        <v>7</v>
      </c>
      <c r="J30" s="4" t="s">
        <v>162</v>
      </c>
      <c r="K30" s="4">
        <v>5</v>
      </c>
      <c r="L30" s="5">
        <v>131.85</v>
      </c>
      <c r="M30" s="5">
        <v>659.25</v>
      </c>
      <c r="N30" s="5">
        <v>454.28</v>
      </c>
      <c r="O30" s="5">
        <v>204.97</v>
      </c>
      <c r="P30" s="4">
        <f>--AND(OR(Dashboard!$A$10="All",C30=Dashboard!$A$10),OR(Dashboard!$A$14="All",F30=Dashboard!$A$14),OR(Dashboard!$A$18="All",G30=Dashboard!$A$18),OR(Dashboard!$A$22="All",I30=Dashboard!$A$22))</f>
        <v>1</v>
      </c>
    </row>
    <row r="31" spans="1:16" ht="15.75" customHeight="1">
      <c r="A31" s="4" t="s">
        <v>163</v>
      </c>
      <c r="B31" s="6">
        <v>45703</v>
      </c>
      <c r="C31" s="4">
        <v>2025</v>
      </c>
      <c r="D31" s="4">
        <v>2</v>
      </c>
      <c r="E31" s="4" t="s">
        <v>70</v>
      </c>
      <c r="F31" s="4" t="s">
        <v>5</v>
      </c>
      <c r="G31" s="4" t="s">
        <v>12</v>
      </c>
      <c r="H31" s="4" t="s">
        <v>86</v>
      </c>
      <c r="I31" s="4" t="s">
        <v>10</v>
      </c>
      <c r="J31" s="4" t="s">
        <v>164</v>
      </c>
      <c r="K31" s="4">
        <v>5</v>
      </c>
      <c r="L31" s="5">
        <v>131.77000000000001</v>
      </c>
      <c r="M31" s="5">
        <v>658.85</v>
      </c>
      <c r="N31" s="5">
        <v>414.09</v>
      </c>
      <c r="O31" s="5">
        <v>244.76</v>
      </c>
      <c r="P31" s="4">
        <f>--AND(OR(Dashboard!$A$10="All",C31=Dashboard!$A$10),OR(Dashboard!$A$14="All",F31=Dashboard!$A$14),OR(Dashboard!$A$18="All",G31=Dashboard!$A$18),OR(Dashboard!$A$22="All",I31=Dashboard!$A$22))</f>
        <v>1</v>
      </c>
    </row>
    <row r="32" spans="1:16" ht="15.75" customHeight="1">
      <c r="A32" s="4" t="s">
        <v>165</v>
      </c>
      <c r="B32" s="6">
        <v>45327</v>
      </c>
      <c r="C32" s="4">
        <v>2024</v>
      </c>
      <c r="D32" s="4">
        <v>2</v>
      </c>
      <c r="E32" s="4" t="s">
        <v>70</v>
      </c>
      <c r="F32" s="4" t="s">
        <v>5</v>
      </c>
      <c r="G32" s="4" t="s">
        <v>12</v>
      </c>
      <c r="H32" s="4" t="s">
        <v>86</v>
      </c>
      <c r="I32" s="4" t="s">
        <v>7</v>
      </c>
      <c r="J32" s="4" t="s">
        <v>166</v>
      </c>
      <c r="K32" s="4">
        <v>4</v>
      </c>
      <c r="L32" s="5">
        <v>243.73</v>
      </c>
      <c r="M32" s="5">
        <v>974.92</v>
      </c>
      <c r="N32" s="5">
        <v>596.66999999999996</v>
      </c>
      <c r="O32" s="5">
        <v>378.25</v>
      </c>
      <c r="P32" s="4">
        <f>--AND(OR(Dashboard!$A$10="All",C32=Dashboard!$A$10),OR(Dashboard!$A$14="All",F32=Dashboard!$A$14),OR(Dashboard!$A$18="All",G32=Dashboard!$A$18),OR(Dashboard!$A$22="All",I32=Dashboard!$A$22))</f>
        <v>1</v>
      </c>
    </row>
    <row r="33" spans="1:16" ht="15.75" customHeight="1">
      <c r="A33" s="4" t="s">
        <v>167</v>
      </c>
      <c r="B33" s="6">
        <v>45299</v>
      </c>
      <c r="C33" s="4">
        <v>2024</v>
      </c>
      <c r="D33" s="4">
        <v>1</v>
      </c>
      <c r="E33" s="4" t="s">
        <v>30</v>
      </c>
      <c r="F33" s="4" t="s">
        <v>14</v>
      </c>
      <c r="G33" s="4" t="s">
        <v>6</v>
      </c>
      <c r="H33" s="4" t="s">
        <v>54</v>
      </c>
      <c r="I33" s="4" t="s">
        <v>13</v>
      </c>
      <c r="J33" s="4" t="s">
        <v>168</v>
      </c>
      <c r="K33" s="4">
        <v>1</v>
      </c>
      <c r="L33" s="5">
        <v>75.45</v>
      </c>
      <c r="M33" s="5">
        <v>75.45</v>
      </c>
      <c r="N33" s="5">
        <v>48.13</v>
      </c>
      <c r="O33" s="5">
        <v>27.32</v>
      </c>
      <c r="P33" s="4">
        <f>--AND(OR(Dashboard!$A$10="All",C33=Dashboard!$A$10),OR(Dashboard!$A$14="All",F33=Dashboard!$A$14),OR(Dashboard!$A$18="All",G33=Dashboard!$A$18),OR(Dashboard!$A$22="All",I33=Dashboard!$A$22))</f>
        <v>1</v>
      </c>
    </row>
    <row r="34" spans="1:16" ht="15.75" customHeight="1">
      <c r="A34" s="4" t="s">
        <v>169</v>
      </c>
      <c r="B34" s="6">
        <v>45734</v>
      </c>
      <c r="C34" s="4">
        <v>2025</v>
      </c>
      <c r="D34" s="4">
        <v>3</v>
      </c>
      <c r="E34" s="4" t="s">
        <v>100</v>
      </c>
      <c r="F34" s="4" t="s">
        <v>8</v>
      </c>
      <c r="G34" s="4" t="s">
        <v>6</v>
      </c>
      <c r="H34" s="4" t="s">
        <v>114</v>
      </c>
      <c r="I34" s="4" t="s">
        <v>7</v>
      </c>
      <c r="J34" s="4" t="s">
        <v>170</v>
      </c>
      <c r="K34" s="4">
        <v>3</v>
      </c>
      <c r="L34" s="5">
        <v>108.77</v>
      </c>
      <c r="M34" s="5">
        <v>326.31</v>
      </c>
      <c r="N34" s="5">
        <v>221.88</v>
      </c>
      <c r="O34" s="5">
        <v>104.43</v>
      </c>
      <c r="P34" s="4">
        <f>--AND(OR(Dashboard!$A$10="All",C34=Dashboard!$A$10),OR(Dashboard!$A$14="All",F34=Dashboard!$A$14),OR(Dashboard!$A$18="All",G34=Dashboard!$A$18),OR(Dashboard!$A$22="All",I34=Dashboard!$A$22))</f>
        <v>1</v>
      </c>
    </row>
    <row r="35" spans="1:16" ht="15.75" customHeight="1">
      <c r="A35" s="4" t="s">
        <v>171</v>
      </c>
      <c r="B35" s="6">
        <v>45770</v>
      </c>
      <c r="C35" s="4">
        <v>2025</v>
      </c>
      <c r="D35" s="4">
        <v>4</v>
      </c>
      <c r="E35" s="4" t="s">
        <v>106</v>
      </c>
      <c r="F35" s="4" t="s">
        <v>11</v>
      </c>
      <c r="G35" s="4" t="s">
        <v>6</v>
      </c>
      <c r="H35" s="4" t="s">
        <v>80</v>
      </c>
      <c r="I35" s="4" t="s">
        <v>7</v>
      </c>
      <c r="J35" s="4" t="s">
        <v>61</v>
      </c>
      <c r="K35" s="4">
        <v>3</v>
      </c>
      <c r="L35" s="5">
        <v>223.37</v>
      </c>
      <c r="M35" s="5">
        <v>670.11</v>
      </c>
      <c r="N35" s="5">
        <v>449.26</v>
      </c>
      <c r="O35" s="5">
        <v>220.85</v>
      </c>
      <c r="P35" s="4">
        <f>--AND(OR(Dashboard!$A$10="All",C35=Dashboard!$A$10),OR(Dashboard!$A$14="All",F35=Dashboard!$A$14),OR(Dashboard!$A$18="All",G35=Dashboard!$A$18),OR(Dashboard!$A$22="All",I35=Dashboard!$A$22))</f>
        <v>1</v>
      </c>
    </row>
    <row r="36" spans="1:16" ht="15.75" customHeight="1">
      <c r="A36" s="4" t="s">
        <v>172</v>
      </c>
      <c r="B36" s="6">
        <v>45353</v>
      </c>
      <c r="C36" s="4">
        <v>2024</v>
      </c>
      <c r="D36" s="4">
        <v>3</v>
      </c>
      <c r="E36" s="4" t="s">
        <v>100</v>
      </c>
      <c r="F36" s="4" t="s">
        <v>5</v>
      </c>
      <c r="G36" s="4" t="s">
        <v>12</v>
      </c>
      <c r="H36" s="4" t="s">
        <v>127</v>
      </c>
      <c r="I36" s="4" t="s">
        <v>7</v>
      </c>
      <c r="J36" s="4" t="s">
        <v>61</v>
      </c>
      <c r="K36" s="4">
        <v>3</v>
      </c>
      <c r="L36" s="5">
        <v>258.75</v>
      </c>
      <c r="M36" s="5">
        <v>776.25</v>
      </c>
      <c r="N36" s="5">
        <v>449.57</v>
      </c>
      <c r="O36" s="5">
        <v>326.68</v>
      </c>
      <c r="P36" s="4">
        <f>--AND(OR(Dashboard!$A$10="All",C36=Dashboard!$A$10),OR(Dashboard!$A$14="All",F36=Dashboard!$A$14),OR(Dashboard!$A$18="All",G36=Dashboard!$A$18),OR(Dashboard!$A$22="All",I36=Dashboard!$A$22))</f>
        <v>1</v>
      </c>
    </row>
    <row r="37" spans="1:16" ht="15.75" customHeight="1">
      <c r="A37" s="4" t="s">
        <v>173</v>
      </c>
      <c r="B37" s="6">
        <v>45653</v>
      </c>
      <c r="C37" s="4">
        <v>2024</v>
      </c>
      <c r="D37" s="4">
        <v>12</v>
      </c>
      <c r="E37" s="4" t="s">
        <v>57</v>
      </c>
      <c r="F37" s="4" t="s">
        <v>5</v>
      </c>
      <c r="G37" s="4" t="s">
        <v>12</v>
      </c>
      <c r="H37" s="4" t="s">
        <v>124</v>
      </c>
      <c r="I37" s="4" t="s">
        <v>13</v>
      </c>
      <c r="J37" s="4" t="s">
        <v>174</v>
      </c>
      <c r="K37" s="4">
        <v>4</v>
      </c>
      <c r="L37" s="5">
        <v>151.75</v>
      </c>
      <c r="M37" s="5">
        <v>607</v>
      </c>
      <c r="N37" s="5">
        <v>355.82</v>
      </c>
      <c r="O37" s="5">
        <v>251.18</v>
      </c>
      <c r="P37" s="4">
        <f>--AND(OR(Dashboard!$A$10="All",C37=Dashboard!$A$10),OR(Dashboard!$A$14="All",F37=Dashboard!$A$14),OR(Dashboard!$A$18="All",G37=Dashboard!$A$18),OR(Dashboard!$A$22="All",I37=Dashboard!$A$22))</f>
        <v>1</v>
      </c>
    </row>
    <row r="38" spans="1:16" ht="15.75" customHeight="1">
      <c r="A38" s="4" t="s">
        <v>175</v>
      </c>
      <c r="B38" s="6">
        <v>45457</v>
      </c>
      <c r="C38" s="4">
        <v>2024</v>
      </c>
      <c r="D38" s="4">
        <v>6</v>
      </c>
      <c r="E38" s="4" t="s">
        <v>34</v>
      </c>
      <c r="F38" s="4" t="s">
        <v>5</v>
      </c>
      <c r="G38" s="4" t="s">
        <v>9</v>
      </c>
      <c r="H38" s="4" t="s">
        <v>35</v>
      </c>
      <c r="I38" s="4" t="s">
        <v>10</v>
      </c>
      <c r="J38" s="4" t="s">
        <v>68</v>
      </c>
      <c r="K38" s="4">
        <v>5</v>
      </c>
      <c r="L38" s="5">
        <v>27.18</v>
      </c>
      <c r="M38" s="5">
        <v>135.9</v>
      </c>
      <c r="N38" s="5">
        <v>70.88</v>
      </c>
      <c r="O38" s="5">
        <v>65.02</v>
      </c>
      <c r="P38" s="4">
        <f>--AND(OR(Dashboard!$A$10="All",C38=Dashboard!$A$10),OR(Dashboard!$A$14="All",F38=Dashboard!$A$14),OR(Dashboard!$A$18="All",G38=Dashboard!$A$18),OR(Dashboard!$A$22="All",I38=Dashboard!$A$22))</f>
        <v>1</v>
      </c>
    </row>
    <row r="39" spans="1:16" ht="15.75" customHeight="1">
      <c r="A39" s="4" t="s">
        <v>176</v>
      </c>
      <c r="B39" s="6">
        <v>45548</v>
      </c>
      <c r="C39" s="4">
        <v>2024</v>
      </c>
      <c r="D39" s="4">
        <v>9</v>
      </c>
      <c r="E39" s="4" t="s">
        <v>79</v>
      </c>
      <c r="F39" s="4" t="s">
        <v>5</v>
      </c>
      <c r="G39" s="4" t="s">
        <v>12</v>
      </c>
      <c r="H39" s="4" t="s">
        <v>92</v>
      </c>
      <c r="I39" s="4" t="s">
        <v>10</v>
      </c>
      <c r="J39" s="4" t="s">
        <v>177</v>
      </c>
      <c r="K39" s="4">
        <v>4</v>
      </c>
      <c r="L39" s="5">
        <v>292</v>
      </c>
      <c r="M39" s="5">
        <v>1168</v>
      </c>
      <c r="N39" s="5">
        <v>680.74</v>
      </c>
      <c r="O39" s="5">
        <v>487.26</v>
      </c>
      <c r="P39" s="4">
        <f>--AND(OR(Dashboard!$A$10="All",C39=Dashboard!$A$10),OR(Dashboard!$A$14="All",F39=Dashboard!$A$14),OR(Dashboard!$A$18="All",G39=Dashboard!$A$18),OR(Dashboard!$A$22="All",I39=Dashboard!$A$22))</f>
        <v>1</v>
      </c>
    </row>
    <row r="40" spans="1:16" ht="15.75" customHeight="1">
      <c r="A40" s="4" t="s">
        <v>178</v>
      </c>
      <c r="B40" s="6">
        <v>45652</v>
      </c>
      <c r="C40" s="4">
        <v>2024</v>
      </c>
      <c r="D40" s="4">
        <v>12</v>
      </c>
      <c r="E40" s="4" t="s">
        <v>57</v>
      </c>
      <c r="F40" s="4" t="s">
        <v>8</v>
      </c>
      <c r="G40" s="4" t="s">
        <v>12</v>
      </c>
      <c r="H40" s="4" t="s">
        <v>92</v>
      </c>
      <c r="I40" s="4" t="s">
        <v>7</v>
      </c>
      <c r="J40" s="4" t="s">
        <v>179</v>
      </c>
      <c r="K40" s="4">
        <v>2</v>
      </c>
      <c r="L40" s="5">
        <v>300.12</v>
      </c>
      <c r="M40" s="5">
        <v>600.24</v>
      </c>
      <c r="N40" s="5">
        <v>358.04</v>
      </c>
      <c r="O40" s="5">
        <v>242.2</v>
      </c>
      <c r="P40" s="4">
        <f>--AND(OR(Dashboard!$A$10="All",C40=Dashboard!$A$10),OR(Dashboard!$A$14="All",F40=Dashboard!$A$14),OR(Dashboard!$A$18="All",G40=Dashboard!$A$18),OR(Dashboard!$A$22="All",I40=Dashboard!$A$22))</f>
        <v>1</v>
      </c>
    </row>
    <row r="41" spans="1:16" ht="15.75" customHeight="1">
      <c r="A41" s="4" t="s">
        <v>180</v>
      </c>
      <c r="B41" s="6">
        <v>45578</v>
      </c>
      <c r="C41" s="4">
        <v>2024</v>
      </c>
      <c r="D41" s="4">
        <v>10</v>
      </c>
      <c r="E41" s="4" t="s">
        <v>120</v>
      </c>
      <c r="F41" s="4" t="s">
        <v>8</v>
      </c>
      <c r="G41" s="4" t="s">
        <v>6</v>
      </c>
      <c r="H41" s="4" t="s">
        <v>80</v>
      </c>
      <c r="I41" s="4" t="s">
        <v>7</v>
      </c>
      <c r="J41" s="4" t="s">
        <v>181</v>
      </c>
      <c r="K41" s="4">
        <v>15</v>
      </c>
      <c r="L41" s="5">
        <v>133.52000000000001</v>
      </c>
      <c r="M41" s="5">
        <v>2002.8</v>
      </c>
      <c r="N41" s="5">
        <v>1380.25</v>
      </c>
      <c r="O41" s="5">
        <v>622.54999999999995</v>
      </c>
      <c r="P41" s="4">
        <f>--AND(OR(Dashboard!$A$10="All",C41=Dashboard!$A$10),OR(Dashboard!$A$14="All",F41=Dashboard!$A$14),OR(Dashboard!$A$18="All",G41=Dashboard!$A$18),OR(Dashboard!$A$22="All",I41=Dashboard!$A$22))</f>
        <v>1</v>
      </c>
    </row>
    <row r="42" spans="1:16" ht="15.75" customHeight="1">
      <c r="A42" s="4" t="s">
        <v>182</v>
      </c>
      <c r="B42" s="6">
        <v>45667</v>
      </c>
      <c r="C42" s="4">
        <v>2025</v>
      </c>
      <c r="D42" s="4">
        <v>1</v>
      </c>
      <c r="E42" s="4" t="s">
        <v>30</v>
      </c>
      <c r="F42" s="4" t="s">
        <v>5</v>
      </c>
      <c r="G42" s="4" t="s">
        <v>9</v>
      </c>
      <c r="H42" s="4" t="s">
        <v>64</v>
      </c>
      <c r="I42" s="4" t="s">
        <v>10</v>
      </c>
      <c r="J42" s="4" t="s">
        <v>68</v>
      </c>
      <c r="K42" s="4">
        <v>5</v>
      </c>
      <c r="L42" s="5">
        <v>51.61</v>
      </c>
      <c r="M42" s="5">
        <v>258.05</v>
      </c>
      <c r="N42" s="5">
        <v>124.66</v>
      </c>
      <c r="O42" s="5">
        <v>133.38999999999999</v>
      </c>
      <c r="P42" s="4">
        <f>--AND(OR(Dashboard!$A$10="All",C42=Dashboard!$A$10),OR(Dashboard!$A$14="All",F42=Dashboard!$A$14),OR(Dashboard!$A$18="All",G42=Dashboard!$A$18),OR(Dashboard!$A$22="All",I42=Dashboard!$A$22))</f>
        <v>1</v>
      </c>
    </row>
    <row r="43" spans="1:16" ht="15.75" customHeight="1">
      <c r="A43" s="4" t="s">
        <v>183</v>
      </c>
      <c r="B43" s="6">
        <v>45804</v>
      </c>
      <c r="C43" s="4">
        <v>2025</v>
      </c>
      <c r="D43" s="4">
        <v>5</v>
      </c>
      <c r="E43" s="4" t="s">
        <v>108</v>
      </c>
      <c r="F43" s="4" t="s">
        <v>11</v>
      </c>
      <c r="G43" s="4" t="s">
        <v>6</v>
      </c>
      <c r="H43" s="4" t="s">
        <v>136</v>
      </c>
      <c r="I43" s="4" t="s">
        <v>13</v>
      </c>
      <c r="J43" s="4" t="s">
        <v>184</v>
      </c>
      <c r="K43" s="4">
        <v>4</v>
      </c>
      <c r="L43" s="5">
        <v>185.99</v>
      </c>
      <c r="M43" s="5">
        <v>743.96</v>
      </c>
      <c r="N43" s="5">
        <v>509.81</v>
      </c>
      <c r="O43" s="5">
        <v>234.15</v>
      </c>
      <c r="P43" s="4">
        <f>--AND(OR(Dashboard!$A$10="All",C43=Dashboard!$A$10),OR(Dashboard!$A$14="All",F43=Dashboard!$A$14),OR(Dashboard!$A$18="All",G43=Dashboard!$A$18),OR(Dashboard!$A$22="All",I43=Dashboard!$A$22))</f>
        <v>1</v>
      </c>
    </row>
    <row r="44" spans="1:16" ht="15.75" customHeight="1">
      <c r="A44" s="4" t="s">
        <v>185</v>
      </c>
      <c r="B44" s="6">
        <v>45376</v>
      </c>
      <c r="C44" s="4">
        <v>2024</v>
      </c>
      <c r="D44" s="4">
        <v>3</v>
      </c>
      <c r="E44" s="4" t="s">
        <v>100</v>
      </c>
      <c r="F44" s="4" t="s">
        <v>5</v>
      </c>
      <c r="G44" s="4" t="s">
        <v>12</v>
      </c>
      <c r="H44" s="4" t="s">
        <v>92</v>
      </c>
      <c r="I44" s="4" t="s">
        <v>7</v>
      </c>
      <c r="J44" s="4" t="s">
        <v>186</v>
      </c>
      <c r="K44" s="4">
        <v>6</v>
      </c>
      <c r="L44" s="5">
        <v>236.04</v>
      </c>
      <c r="M44" s="5">
        <v>1416.24</v>
      </c>
      <c r="N44" s="5">
        <v>891.73</v>
      </c>
      <c r="O44" s="5">
        <v>524.51</v>
      </c>
      <c r="P44" s="4">
        <f>--AND(OR(Dashboard!$A$10="All",C44=Dashboard!$A$10),OR(Dashboard!$A$14="All",F44=Dashboard!$A$14),OR(Dashboard!$A$18="All",G44=Dashboard!$A$18),OR(Dashboard!$A$22="All",I44=Dashboard!$A$22))</f>
        <v>1</v>
      </c>
    </row>
    <row r="45" spans="1:16" ht="15.75" customHeight="1">
      <c r="A45" s="4" t="s">
        <v>187</v>
      </c>
      <c r="B45" s="6">
        <v>45886</v>
      </c>
      <c r="C45" s="4">
        <v>2025</v>
      </c>
      <c r="D45" s="4">
        <v>8</v>
      </c>
      <c r="E45" s="4" t="s">
        <v>67</v>
      </c>
      <c r="F45" s="4" t="s">
        <v>11</v>
      </c>
      <c r="G45" s="4" t="s">
        <v>12</v>
      </c>
      <c r="H45" s="4" t="s">
        <v>92</v>
      </c>
      <c r="I45" s="4" t="s">
        <v>10</v>
      </c>
      <c r="J45" s="4" t="s">
        <v>128</v>
      </c>
      <c r="K45" s="4">
        <v>1</v>
      </c>
      <c r="L45" s="5">
        <v>191.48</v>
      </c>
      <c r="M45" s="5">
        <v>191.48</v>
      </c>
      <c r="N45" s="5">
        <v>120.53</v>
      </c>
      <c r="O45" s="5">
        <v>70.95</v>
      </c>
      <c r="P45" s="4">
        <f>--AND(OR(Dashboard!$A$10="All",C45=Dashboard!$A$10),OR(Dashboard!$A$14="All",F45=Dashboard!$A$14),OR(Dashboard!$A$18="All",G45=Dashboard!$A$18),OR(Dashboard!$A$22="All",I45=Dashboard!$A$22))</f>
        <v>1</v>
      </c>
    </row>
    <row r="46" spans="1:16" ht="15.75" customHeight="1">
      <c r="A46" s="4" t="s">
        <v>188</v>
      </c>
      <c r="B46" s="6">
        <v>45417</v>
      </c>
      <c r="C46" s="4">
        <v>2024</v>
      </c>
      <c r="D46" s="4">
        <v>5</v>
      </c>
      <c r="E46" s="4" t="s">
        <v>108</v>
      </c>
      <c r="F46" s="4" t="s">
        <v>5</v>
      </c>
      <c r="G46" s="4" t="s">
        <v>12</v>
      </c>
      <c r="H46" s="4" t="s">
        <v>58</v>
      </c>
      <c r="I46" s="4" t="s">
        <v>10</v>
      </c>
      <c r="J46" s="4" t="s">
        <v>189</v>
      </c>
      <c r="K46" s="4">
        <v>3</v>
      </c>
      <c r="L46" s="5">
        <v>151.97</v>
      </c>
      <c r="M46" s="5">
        <v>455.91</v>
      </c>
      <c r="N46" s="5">
        <v>265.67</v>
      </c>
      <c r="O46" s="5">
        <v>190.24</v>
      </c>
      <c r="P46" s="4">
        <f>--AND(OR(Dashboard!$A$10="All",C46=Dashboard!$A$10),OR(Dashboard!$A$14="All",F46=Dashboard!$A$14),OR(Dashboard!$A$18="All",G46=Dashboard!$A$18),OR(Dashboard!$A$22="All",I46=Dashboard!$A$22))</f>
        <v>1</v>
      </c>
    </row>
    <row r="47" spans="1:16" ht="15.75" customHeight="1">
      <c r="A47" s="4" t="s">
        <v>190</v>
      </c>
      <c r="B47" s="6">
        <v>45732</v>
      </c>
      <c r="C47" s="4">
        <v>2025</v>
      </c>
      <c r="D47" s="4">
        <v>3</v>
      </c>
      <c r="E47" s="4" t="s">
        <v>100</v>
      </c>
      <c r="F47" s="4" t="s">
        <v>11</v>
      </c>
      <c r="G47" s="4" t="s">
        <v>6</v>
      </c>
      <c r="H47" s="4" t="s">
        <v>98</v>
      </c>
      <c r="I47" s="4" t="s">
        <v>7</v>
      </c>
      <c r="J47" s="4" t="s">
        <v>191</v>
      </c>
      <c r="K47" s="4">
        <v>1</v>
      </c>
      <c r="L47" s="5">
        <v>105.87</v>
      </c>
      <c r="M47" s="5">
        <v>105.87</v>
      </c>
      <c r="N47" s="5">
        <v>71.89</v>
      </c>
      <c r="O47" s="5">
        <v>33.979999999999997</v>
      </c>
      <c r="P47" s="4">
        <f>--AND(OR(Dashboard!$A$10="All",C47=Dashboard!$A$10),OR(Dashboard!$A$14="All",F47=Dashboard!$A$14),OR(Dashboard!$A$18="All",G47=Dashboard!$A$18),OR(Dashboard!$A$22="All",I47=Dashboard!$A$22))</f>
        <v>1</v>
      </c>
    </row>
    <row r="48" spans="1:16" ht="15.75" customHeight="1">
      <c r="A48" s="4" t="s">
        <v>192</v>
      </c>
      <c r="B48" s="6">
        <v>45892</v>
      </c>
      <c r="C48" s="4">
        <v>2025</v>
      </c>
      <c r="D48" s="4">
        <v>8</v>
      </c>
      <c r="E48" s="4" t="s">
        <v>67</v>
      </c>
      <c r="F48" s="4" t="s">
        <v>5</v>
      </c>
      <c r="G48" s="4" t="s">
        <v>9</v>
      </c>
      <c r="H48" s="4" t="s">
        <v>64</v>
      </c>
      <c r="I48" s="4" t="s">
        <v>10</v>
      </c>
      <c r="J48" s="4" t="s">
        <v>193</v>
      </c>
      <c r="K48" s="4">
        <v>5</v>
      </c>
      <c r="L48" s="5">
        <v>48.44</v>
      </c>
      <c r="M48" s="5">
        <v>242.2</v>
      </c>
      <c r="N48" s="5">
        <v>127.13</v>
      </c>
      <c r="O48" s="5">
        <v>115.07</v>
      </c>
      <c r="P48" s="4">
        <f>--AND(OR(Dashboard!$A$10="All",C48=Dashboard!$A$10),OR(Dashboard!$A$14="All",F48=Dashboard!$A$14),OR(Dashboard!$A$18="All",G48=Dashboard!$A$18),OR(Dashboard!$A$22="All",I48=Dashboard!$A$22))</f>
        <v>1</v>
      </c>
    </row>
    <row r="49" spans="1:16" ht="15.75" customHeight="1">
      <c r="A49" s="4" t="s">
        <v>194</v>
      </c>
      <c r="B49" s="6">
        <v>45789</v>
      </c>
      <c r="C49" s="4">
        <v>2025</v>
      </c>
      <c r="D49" s="4">
        <v>5</v>
      </c>
      <c r="E49" s="4" t="s">
        <v>108</v>
      </c>
      <c r="F49" s="4" t="s">
        <v>5</v>
      </c>
      <c r="G49" s="4" t="s">
        <v>12</v>
      </c>
      <c r="H49" s="4" t="s">
        <v>127</v>
      </c>
      <c r="I49" s="4" t="s">
        <v>10</v>
      </c>
      <c r="J49" s="4" t="s">
        <v>195</v>
      </c>
      <c r="K49" s="4">
        <v>3</v>
      </c>
      <c r="L49" s="5">
        <v>191.49</v>
      </c>
      <c r="M49" s="5">
        <v>574.47</v>
      </c>
      <c r="N49" s="5">
        <v>355.93</v>
      </c>
      <c r="O49" s="5">
        <v>218.54</v>
      </c>
      <c r="P49" s="4">
        <f>--AND(OR(Dashboard!$A$10="All",C49=Dashboard!$A$10),OR(Dashboard!$A$14="All",F49=Dashboard!$A$14),OR(Dashboard!$A$18="All",G49=Dashboard!$A$18),OR(Dashboard!$A$22="All",I49=Dashboard!$A$22))</f>
        <v>1</v>
      </c>
    </row>
    <row r="50" spans="1:16" ht="15.75" customHeight="1">
      <c r="A50" s="4" t="s">
        <v>196</v>
      </c>
      <c r="B50" s="6">
        <v>45633</v>
      </c>
      <c r="C50" s="4">
        <v>2024</v>
      </c>
      <c r="D50" s="4">
        <v>12</v>
      </c>
      <c r="E50" s="4" t="s">
        <v>57</v>
      </c>
      <c r="F50" s="4" t="s">
        <v>5</v>
      </c>
      <c r="G50" s="4" t="s">
        <v>9</v>
      </c>
      <c r="H50" s="4" t="s">
        <v>71</v>
      </c>
      <c r="I50" s="4" t="s">
        <v>10</v>
      </c>
      <c r="J50" s="4" t="s">
        <v>59</v>
      </c>
      <c r="K50" s="4">
        <v>5</v>
      </c>
      <c r="L50" s="5">
        <v>61.44</v>
      </c>
      <c r="M50" s="5">
        <v>307.2</v>
      </c>
      <c r="N50" s="5">
        <v>157.46</v>
      </c>
      <c r="O50" s="5">
        <v>149.74</v>
      </c>
      <c r="P50" s="4">
        <f>--AND(OR(Dashboard!$A$10="All",C50=Dashboard!$A$10),OR(Dashboard!$A$14="All",F50=Dashboard!$A$14),OR(Dashboard!$A$18="All",G50=Dashboard!$A$18),OR(Dashboard!$A$22="All",I50=Dashboard!$A$22))</f>
        <v>1</v>
      </c>
    </row>
    <row r="51" spans="1:16" ht="15.75" customHeight="1">
      <c r="A51" s="4" t="s">
        <v>197</v>
      </c>
      <c r="B51" s="6">
        <v>45963</v>
      </c>
      <c r="C51" s="4">
        <v>2025</v>
      </c>
      <c r="D51" s="4">
        <v>11</v>
      </c>
      <c r="E51" s="4" t="s">
        <v>89</v>
      </c>
      <c r="F51" s="4" t="s">
        <v>5</v>
      </c>
      <c r="G51" s="4" t="s">
        <v>9</v>
      </c>
      <c r="H51" s="4" t="s">
        <v>142</v>
      </c>
      <c r="I51" s="4" t="s">
        <v>13</v>
      </c>
      <c r="J51" s="4" t="s">
        <v>131</v>
      </c>
      <c r="K51" s="4">
        <v>1</v>
      </c>
      <c r="L51" s="5">
        <v>62.58</v>
      </c>
      <c r="M51" s="5">
        <v>62.58</v>
      </c>
      <c r="N51" s="5">
        <v>29.97</v>
      </c>
      <c r="O51" s="5">
        <v>32.61</v>
      </c>
      <c r="P51" s="4">
        <f>--AND(OR(Dashboard!$A$10="All",C51=Dashboard!$A$10),OR(Dashboard!$A$14="All",F51=Dashboard!$A$14),OR(Dashboard!$A$18="All",G51=Dashboard!$A$18),OR(Dashboard!$A$22="All",I51=Dashboard!$A$22))</f>
        <v>1</v>
      </c>
    </row>
    <row r="52" spans="1:16" ht="15.75" customHeight="1">
      <c r="A52" s="4" t="s">
        <v>198</v>
      </c>
      <c r="B52" s="6">
        <v>45546</v>
      </c>
      <c r="C52" s="4">
        <v>2024</v>
      </c>
      <c r="D52" s="4">
        <v>9</v>
      </c>
      <c r="E52" s="4" t="s">
        <v>79</v>
      </c>
      <c r="F52" s="4" t="s">
        <v>8</v>
      </c>
      <c r="G52" s="4" t="s">
        <v>6</v>
      </c>
      <c r="H52" s="4" t="s">
        <v>114</v>
      </c>
      <c r="I52" s="4" t="s">
        <v>7</v>
      </c>
      <c r="J52" s="4" t="s">
        <v>199</v>
      </c>
      <c r="K52" s="4">
        <v>5</v>
      </c>
      <c r="L52" s="5">
        <v>152.09</v>
      </c>
      <c r="M52" s="5">
        <v>760.45</v>
      </c>
      <c r="N52" s="5">
        <v>483.52</v>
      </c>
      <c r="O52" s="5">
        <v>276.93</v>
      </c>
      <c r="P52" s="4">
        <f>--AND(OR(Dashboard!$A$10="All",C52=Dashboard!$A$10),OR(Dashboard!$A$14="All",F52=Dashboard!$A$14),OR(Dashboard!$A$18="All",G52=Dashboard!$A$18),OR(Dashboard!$A$22="All",I52=Dashboard!$A$22))</f>
        <v>1</v>
      </c>
    </row>
    <row r="53" spans="1:16" ht="15.75" customHeight="1">
      <c r="A53" s="4" t="s">
        <v>200</v>
      </c>
      <c r="B53" s="6">
        <v>46022</v>
      </c>
      <c r="C53" s="4">
        <v>2025</v>
      </c>
      <c r="D53" s="4">
        <v>12</v>
      </c>
      <c r="E53" s="4" t="s">
        <v>57</v>
      </c>
      <c r="F53" s="4" t="s">
        <v>5</v>
      </c>
      <c r="G53" s="4" t="s">
        <v>6</v>
      </c>
      <c r="H53" s="4" t="s">
        <v>114</v>
      </c>
      <c r="I53" s="4" t="s">
        <v>13</v>
      </c>
      <c r="J53" s="4" t="s">
        <v>99</v>
      </c>
      <c r="K53" s="4">
        <v>4</v>
      </c>
      <c r="L53" s="5">
        <v>201.42</v>
      </c>
      <c r="M53" s="5">
        <v>805.68</v>
      </c>
      <c r="N53" s="5">
        <v>520.25</v>
      </c>
      <c r="O53" s="5">
        <v>285.43</v>
      </c>
      <c r="P53" s="4">
        <f>--AND(OR(Dashboard!$A$10="All",C53=Dashboard!$A$10),OR(Dashboard!$A$14="All",F53=Dashboard!$A$14),OR(Dashboard!$A$18="All",G53=Dashboard!$A$18),OR(Dashboard!$A$22="All",I53=Dashboard!$A$22))</f>
        <v>1</v>
      </c>
    </row>
    <row r="54" spans="1:16" ht="15.75" customHeight="1">
      <c r="A54" s="4" t="s">
        <v>201</v>
      </c>
      <c r="B54" s="6">
        <v>46005</v>
      </c>
      <c r="C54" s="4">
        <v>2025</v>
      </c>
      <c r="D54" s="4">
        <v>12</v>
      </c>
      <c r="E54" s="4" t="s">
        <v>57</v>
      </c>
      <c r="F54" s="4" t="s">
        <v>11</v>
      </c>
      <c r="G54" s="4" t="s">
        <v>6</v>
      </c>
      <c r="H54" s="4" t="s">
        <v>54</v>
      </c>
      <c r="I54" s="4" t="s">
        <v>10</v>
      </c>
      <c r="J54" s="4" t="s">
        <v>202</v>
      </c>
      <c r="K54" s="4">
        <v>5</v>
      </c>
      <c r="L54" s="5">
        <v>224.46</v>
      </c>
      <c r="M54" s="5">
        <v>1122.3</v>
      </c>
      <c r="N54" s="5">
        <v>720.9</v>
      </c>
      <c r="O54" s="5">
        <v>401.4</v>
      </c>
      <c r="P54" s="4">
        <f>--AND(OR(Dashboard!$A$10="All",C54=Dashboard!$A$10),OR(Dashboard!$A$14="All",F54=Dashboard!$A$14),OR(Dashboard!$A$18="All",G54=Dashboard!$A$18),OR(Dashboard!$A$22="All",I54=Dashboard!$A$22))</f>
        <v>1</v>
      </c>
    </row>
    <row r="55" spans="1:16" ht="15.75" customHeight="1">
      <c r="A55" s="4" t="s">
        <v>203</v>
      </c>
      <c r="B55" s="6">
        <v>45746</v>
      </c>
      <c r="C55" s="4">
        <v>2025</v>
      </c>
      <c r="D55" s="4">
        <v>3</v>
      </c>
      <c r="E55" s="4" t="s">
        <v>100</v>
      </c>
      <c r="F55" s="4" t="s">
        <v>5</v>
      </c>
      <c r="G55" s="4" t="s">
        <v>12</v>
      </c>
      <c r="H55" s="4" t="s">
        <v>127</v>
      </c>
      <c r="I55" s="4" t="s">
        <v>7</v>
      </c>
      <c r="J55" s="4" t="s">
        <v>121</v>
      </c>
      <c r="K55" s="4">
        <v>5</v>
      </c>
      <c r="L55" s="5">
        <v>190.46</v>
      </c>
      <c r="M55" s="5">
        <v>952.3</v>
      </c>
      <c r="N55" s="5">
        <v>562.6</v>
      </c>
      <c r="O55" s="5">
        <v>389.7</v>
      </c>
      <c r="P55" s="4">
        <f>--AND(OR(Dashboard!$A$10="All",C55=Dashboard!$A$10),OR(Dashboard!$A$14="All",F55=Dashboard!$A$14),OR(Dashboard!$A$18="All",G55=Dashboard!$A$18),OR(Dashboard!$A$22="All",I55=Dashboard!$A$22))</f>
        <v>1</v>
      </c>
    </row>
    <row r="56" spans="1:16" ht="15.75" customHeight="1">
      <c r="A56" s="4" t="s">
        <v>204</v>
      </c>
      <c r="B56" s="6">
        <v>45746</v>
      </c>
      <c r="C56" s="4">
        <v>2025</v>
      </c>
      <c r="D56" s="4">
        <v>3</v>
      </c>
      <c r="E56" s="4" t="s">
        <v>100</v>
      </c>
      <c r="F56" s="4" t="s">
        <v>8</v>
      </c>
      <c r="G56" s="4" t="s">
        <v>9</v>
      </c>
      <c r="H56" s="4" t="s">
        <v>71</v>
      </c>
      <c r="I56" s="4" t="s">
        <v>10</v>
      </c>
      <c r="J56" s="4" t="s">
        <v>205</v>
      </c>
      <c r="K56" s="4">
        <v>3</v>
      </c>
      <c r="L56" s="5">
        <v>60.85</v>
      </c>
      <c r="M56" s="5">
        <v>182.55</v>
      </c>
      <c r="N56" s="5">
        <v>94.9</v>
      </c>
      <c r="O56" s="5">
        <v>87.65</v>
      </c>
      <c r="P56" s="4">
        <f>--AND(OR(Dashboard!$A$10="All",C56=Dashboard!$A$10),OR(Dashboard!$A$14="All",F56=Dashboard!$A$14),OR(Dashboard!$A$18="All",G56=Dashboard!$A$18),OR(Dashboard!$A$22="All",I56=Dashboard!$A$22))</f>
        <v>1</v>
      </c>
    </row>
    <row r="57" spans="1:16" ht="15.75" customHeight="1">
      <c r="A57" s="4" t="s">
        <v>206</v>
      </c>
      <c r="B57" s="6">
        <v>45892</v>
      </c>
      <c r="C57" s="4">
        <v>2025</v>
      </c>
      <c r="D57" s="4">
        <v>8</v>
      </c>
      <c r="E57" s="4" t="s">
        <v>67</v>
      </c>
      <c r="F57" s="4" t="s">
        <v>14</v>
      </c>
      <c r="G57" s="4" t="s">
        <v>12</v>
      </c>
      <c r="H57" s="4" t="s">
        <v>124</v>
      </c>
      <c r="I57" s="4" t="s">
        <v>7</v>
      </c>
      <c r="J57" s="4" t="s">
        <v>207</v>
      </c>
      <c r="K57" s="4">
        <v>2</v>
      </c>
      <c r="L57" s="5">
        <v>175.84</v>
      </c>
      <c r="M57" s="5">
        <v>351.68</v>
      </c>
      <c r="N57" s="5">
        <v>220.81</v>
      </c>
      <c r="O57" s="5">
        <v>130.87</v>
      </c>
      <c r="P57" s="4">
        <f>--AND(OR(Dashboard!$A$10="All",C57=Dashboard!$A$10),OR(Dashboard!$A$14="All",F57=Dashboard!$A$14),OR(Dashboard!$A$18="All",G57=Dashboard!$A$18),OR(Dashboard!$A$22="All",I57=Dashboard!$A$22))</f>
        <v>1</v>
      </c>
    </row>
    <row r="58" spans="1:16" ht="15.75" customHeight="1">
      <c r="A58" s="4" t="s">
        <v>208</v>
      </c>
      <c r="B58" s="6">
        <v>45483</v>
      </c>
      <c r="C58" s="4">
        <v>2024</v>
      </c>
      <c r="D58" s="4">
        <v>7</v>
      </c>
      <c r="E58" s="4" t="s">
        <v>63</v>
      </c>
      <c r="F58" s="4" t="s">
        <v>5</v>
      </c>
      <c r="G58" s="4" t="s">
        <v>6</v>
      </c>
      <c r="H58" s="4" t="s">
        <v>80</v>
      </c>
      <c r="I58" s="4" t="s">
        <v>7</v>
      </c>
      <c r="J58" s="4" t="s">
        <v>209</v>
      </c>
      <c r="K58" s="4">
        <v>1</v>
      </c>
      <c r="L58" s="5">
        <v>100.01</v>
      </c>
      <c r="M58" s="5">
        <v>100.01</v>
      </c>
      <c r="N58" s="5">
        <v>66.95</v>
      </c>
      <c r="O58" s="5">
        <v>33.06</v>
      </c>
      <c r="P58" s="4">
        <f>--AND(OR(Dashboard!$A$10="All",C58=Dashboard!$A$10),OR(Dashboard!$A$14="All",F58=Dashboard!$A$14),OR(Dashboard!$A$18="All",G58=Dashboard!$A$18),OR(Dashboard!$A$22="All",I58=Dashboard!$A$22))</f>
        <v>1</v>
      </c>
    </row>
    <row r="59" spans="1:16" ht="15.75" customHeight="1">
      <c r="A59" s="4" t="s">
        <v>210</v>
      </c>
      <c r="B59" s="6">
        <v>45706</v>
      </c>
      <c r="C59" s="4">
        <v>2025</v>
      </c>
      <c r="D59" s="4">
        <v>2</v>
      </c>
      <c r="E59" s="4" t="s">
        <v>70</v>
      </c>
      <c r="F59" s="4" t="s">
        <v>5</v>
      </c>
      <c r="G59" s="4" t="s">
        <v>6</v>
      </c>
      <c r="H59" s="4" t="s">
        <v>136</v>
      </c>
      <c r="I59" s="4" t="s">
        <v>10</v>
      </c>
      <c r="J59" s="4" t="s">
        <v>211</v>
      </c>
      <c r="K59" s="4">
        <v>4</v>
      </c>
      <c r="L59" s="5">
        <v>139.78</v>
      </c>
      <c r="M59" s="5">
        <v>559.12</v>
      </c>
      <c r="N59" s="5">
        <v>379.67</v>
      </c>
      <c r="O59" s="5">
        <v>179.45</v>
      </c>
      <c r="P59" s="4">
        <f>--AND(OR(Dashboard!$A$10="All",C59=Dashboard!$A$10),OR(Dashboard!$A$14="All",F59=Dashboard!$A$14),OR(Dashboard!$A$18="All",G59=Dashboard!$A$18),OR(Dashboard!$A$22="All",I59=Dashboard!$A$22))</f>
        <v>1</v>
      </c>
    </row>
    <row r="60" spans="1:16" ht="15.75" customHeight="1">
      <c r="A60" s="4" t="s">
        <v>212</v>
      </c>
      <c r="B60" s="6">
        <v>46007</v>
      </c>
      <c r="C60" s="4">
        <v>2025</v>
      </c>
      <c r="D60" s="4">
        <v>12</v>
      </c>
      <c r="E60" s="4" t="s">
        <v>57</v>
      </c>
      <c r="F60" s="4" t="s">
        <v>8</v>
      </c>
      <c r="G60" s="4" t="s">
        <v>6</v>
      </c>
      <c r="H60" s="4" t="s">
        <v>98</v>
      </c>
      <c r="I60" s="4" t="s">
        <v>7</v>
      </c>
      <c r="J60" s="4" t="s">
        <v>146</v>
      </c>
      <c r="K60" s="4">
        <v>2</v>
      </c>
      <c r="L60" s="5">
        <v>128.63</v>
      </c>
      <c r="M60" s="5">
        <v>257.26</v>
      </c>
      <c r="N60" s="5">
        <v>174.63</v>
      </c>
      <c r="O60" s="5">
        <v>82.63</v>
      </c>
      <c r="P60" s="4">
        <f>--AND(OR(Dashboard!$A$10="All",C60=Dashboard!$A$10),OR(Dashboard!$A$14="All",F60=Dashboard!$A$14),OR(Dashboard!$A$18="All",G60=Dashboard!$A$18),OR(Dashboard!$A$22="All",I60=Dashboard!$A$22))</f>
        <v>1</v>
      </c>
    </row>
    <row r="61" spans="1:16" ht="15.75" customHeight="1">
      <c r="A61" s="4" t="s">
        <v>213</v>
      </c>
      <c r="B61" s="6">
        <v>45882</v>
      </c>
      <c r="C61" s="4">
        <v>2025</v>
      </c>
      <c r="D61" s="4">
        <v>8</v>
      </c>
      <c r="E61" s="4" t="s">
        <v>67</v>
      </c>
      <c r="F61" s="4" t="s">
        <v>5</v>
      </c>
      <c r="G61" s="4" t="s">
        <v>9</v>
      </c>
      <c r="H61" s="4" t="s">
        <v>71</v>
      </c>
      <c r="I61" s="4" t="s">
        <v>7</v>
      </c>
      <c r="J61" s="4" t="s">
        <v>214</v>
      </c>
      <c r="K61" s="4">
        <v>1</v>
      </c>
      <c r="L61" s="5">
        <v>57.56</v>
      </c>
      <c r="M61" s="5">
        <v>57.56</v>
      </c>
      <c r="N61" s="5">
        <v>28.08</v>
      </c>
      <c r="O61" s="5">
        <v>29.48</v>
      </c>
      <c r="P61" s="4">
        <f>--AND(OR(Dashboard!$A$10="All",C61=Dashboard!$A$10),OR(Dashboard!$A$14="All",F61=Dashboard!$A$14),OR(Dashboard!$A$18="All",G61=Dashboard!$A$18),OR(Dashboard!$A$22="All",I61=Dashboard!$A$22))</f>
        <v>1</v>
      </c>
    </row>
    <row r="62" spans="1:16" ht="15.75" customHeight="1">
      <c r="A62" s="4" t="s">
        <v>215</v>
      </c>
      <c r="B62" s="6">
        <v>45560</v>
      </c>
      <c r="C62" s="4">
        <v>2024</v>
      </c>
      <c r="D62" s="4">
        <v>9</v>
      </c>
      <c r="E62" s="4" t="s">
        <v>79</v>
      </c>
      <c r="F62" s="4" t="s">
        <v>8</v>
      </c>
      <c r="G62" s="4" t="s">
        <v>6</v>
      </c>
      <c r="H62" s="4" t="s">
        <v>114</v>
      </c>
      <c r="I62" s="4" t="s">
        <v>7</v>
      </c>
      <c r="J62" s="4" t="s">
        <v>216</v>
      </c>
      <c r="K62" s="4">
        <v>5</v>
      </c>
      <c r="L62" s="5">
        <v>133.4</v>
      </c>
      <c r="M62" s="5">
        <v>667</v>
      </c>
      <c r="N62" s="5">
        <v>453.48</v>
      </c>
      <c r="O62" s="5">
        <v>213.52</v>
      </c>
      <c r="P62" s="4">
        <f>--AND(OR(Dashboard!$A$10="All",C62=Dashboard!$A$10),OR(Dashboard!$A$14="All",F62=Dashboard!$A$14),OR(Dashboard!$A$18="All",G62=Dashboard!$A$18),OR(Dashboard!$A$22="All",I62=Dashboard!$A$22))</f>
        <v>1</v>
      </c>
    </row>
    <row r="63" spans="1:16" ht="15.75" customHeight="1">
      <c r="A63" s="4" t="s">
        <v>217</v>
      </c>
      <c r="B63" s="6">
        <v>45410</v>
      </c>
      <c r="C63" s="4">
        <v>2024</v>
      </c>
      <c r="D63" s="4">
        <v>4</v>
      </c>
      <c r="E63" s="4" t="s">
        <v>106</v>
      </c>
      <c r="F63" s="4" t="s">
        <v>5</v>
      </c>
      <c r="G63" s="4" t="s">
        <v>6</v>
      </c>
      <c r="H63" s="4" t="s">
        <v>98</v>
      </c>
      <c r="I63" s="4" t="s">
        <v>7</v>
      </c>
      <c r="J63" s="4" t="s">
        <v>218</v>
      </c>
      <c r="K63" s="4">
        <v>8</v>
      </c>
      <c r="L63" s="5">
        <v>97.41</v>
      </c>
      <c r="M63" s="5">
        <v>779.28</v>
      </c>
      <c r="N63" s="5">
        <v>504.47</v>
      </c>
      <c r="O63" s="5">
        <v>274.81</v>
      </c>
      <c r="P63" s="4">
        <f>--AND(OR(Dashboard!$A$10="All",C63=Dashboard!$A$10),OR(Dashboard!$A$14="All",F63=Dashboard!$A$14),OR(Dashboard!$A$18="All",G63=Dashboard!$A$18),OR(Dashboard!$A$22="All",I63=Dashboard!$A$22))</f>
        <v>1</v>
      </c>
    </row>
    <row r="64" spans="1:16" ht="15.75" customHeight="1">
      <c r="A64" s="4" t="s">
        <v>219</v>
      </c>
      <c r="B64" s="6">
        <v>45568</v>
      </c>
      <c r="C64" s="4">
        <v>2024</v>
      </c>
      <c r="D64" s="4">
        <v>10</v>
      </c>
      <c r="E64" s="4" t="s">
        <v>120</v>
      </c>
      <c r="F64" s="4" t="s">
        <v>8</v>
      </c>
      <c r="G64" s="4" t="s">
        <v>9</v>
      </c>
      <c r="H64" s="4" t="s">
        <v>64</v>
      </c>
      <c r="I64" s="4" t="s">
        <v>7</v>
      </c>
      <c r="J64" s="4" t="s">
        <v>214</v>
      </c>
      <c r="K64" s="4">
        <v>7</v>
      </c>
      <c r="L64" s="5">
        <v>45.57</v>
      </c>
      <c r="M64" s="5">
        <v>318.99</v>
      </c>
      <c r="N64" s="5">
        <v>153.22</v>
      </c>
      <c r="O64" s="5">
        <v>165.77</v>
      </c>
      <c r="P64" s="4">
        <f>--AND(OR(Dashboard!$A$10="All",C64=Dashboard!$A$10),OR(Dashboard!$A$14="All",F64=Dashboard!$A$14),OR(Dashboard!$A$18="All",G64=Dashboard!$A$18),OR(Dashboard!$A$22="All",I64=Dashboard!$A$22))</f>
        <v>1</v>
      </c>
    </row>
    <row r="65" spans="1:16" ht="15.75" customHeight="1">
      <c r="A65" s="4" t="s">
        <v>220</v>
      </c>
      <c r="B65" s="6">
        <v>45515</v>
      </c>
      <c r="C65" s="4">
        <v>2024</v>
      </c>
      <c r="D65" s="4">
        <v>8</v>
      </c>
      <c r="E65" s="4" t="s">
        <v>67</v>
      </c>
      <c r="F65" s="4" t="s">
        <v>8</v>
      </c>
      <c r="G65" s="4" t="s">
        <v>9</v>
      </c>
      <c r="H65" s="4" t="s">
        <v>64</v>
      </c>
      <c r="I65" s="4" t="s">
        <v>7</v>
      </c>
      <c r="J65" s="4" t="s">
        <v>179</v>
      </c>
      <c r="K65" s="4">
        <v>5</v>
      </c>
      <c r="L65" s="5">
        <v>42.07</v>
      </c>
      <c r="M65" s="5">
        <v>210.35</v>
      </c>
      <c r="N65" s="5">
        <v>108.02</v>
      </c>
      <c r="O65" s="5">
        <v>102.33</v>
      </c>
      <c r="P65" s="4">
        <f>--AND(OR(Dashboard!$A$10="All",C65=Dashboard!$A$10),OR(Dashboard!$A$14="All",F65=Dashboard!$A$14),OR(Dashboard!$A$18="All",G65=Dashboard!$A$18),OR(Dashboard!$A$22="All",I65=Dashboard!$A$22))</f>
        <v>1</v>
      </c>
    </row>
    <row r="66" spans="1:16" ht="15.75" customHeight="1">
      <c r="A66" s="4" t="s">
        <v>221</v>
      </c>
      <c r="B66" s="6">
        <v>45727</v>
      </c>
      <c r="C66" s="4">
        <v>2025</v>
      </c>
      <c r="D66" s="4">
        <v>3</v>
      </c>
      <c r="E66" s="4" t="s">
        <v>100</v>
      </c>
      <c r="F66" s="4" t="s">
        <v>8</v>
      </c>
      <c r="G66" s="4" t="s">
        <v>6</v>
      </c>
      <c r="H66" s="4" t="s">
        <v>54</v>
      </c>
      <c r="I66" s="4" t="s">
        <v>7</v>
      </c>
      <c r="J66" s="4" t="s">
        <v>118</v>
      </c>
      <c r="K66" s="4">
        <v>1</v>
      </c>
      <c r="L66" s="5">
        <v>76.97</v>
      </c>
      <c r="M66" s="5">
        <v>76.97</v>
      </c>
      <c r="N66" s="5">
        <v>52.19</v>
      </c>
      <c r="O66" s="5">
        <v>24.78</v>
      </c>
      <c r="P66" s="4">
        <f>--AND(OR(Dashboard!$A$10="All",C66=Dashboard!$A$10),OR(Dashboard!$A$14="All",F66=Dashboard!$A$14),OR(Dashboard!$A$18="All",G66=Dashboard!$A$18),OR(Dashboard!$A$22="All",I66=Dashboard!$A$22))</f>
        <v>1</v>
      </c>
    </row>
    <row r="67" spans="1:16" ht="15.75" customHeight="1">
      <c r="A67" s="4" t="s">
        <v>222</v>
      </c>
      <c r="B67" s="6">
        <v>45753</v>
      </c>
      <c r="C67" s="4">
        <v>2025</v>
      </c>
      <c r="D67" s="4">
        <v>4</v>
      </c>
      <c r="E67" s="4" t="s">
        <v>106</v>
      </c>
      <c r="F67" s="4" t="s">
        <v>5</v>
      </c>
      <c r="G67" s="4" t="s">
        <v>9</v>
      </c>
      <c r="H67" s="4" t="s">
        <v>71</v>
      </c>
      <c r="I67" s="4" t="s">
        <v>10</v>
      </c>
      <c r="J67" s="4" t="s">
        <v>59</v>
      </c>
      <c r="K67" s="4">
        <v>1</v>
      </c>
      <c r="L67" s="5">
        <v>62.95</v>
      </c>
      <c r="M67" s="5">
        <v>62.95</v>
      </c>
      <c r="N67" s="5">
        <v>30.47</v>
      </c>
      <c r="O67" s="5">
        <v>32.479999999999997</v>
      </c>
      <c r="P67" s="4">
        <f>--AND(OR(Dashboard!$A$10="All",C67=Dashboard!$A$10),OR(Dashboard!$A$14="All",F67=Dashboard!$A$14),OR(Dashboard!$A$18="All",G67=Dashboard!$A$18),OR(Dashboard!$A$22="All",I67=Dashboard!$A$22))</f>
        <v>1</v>
      </c>
    </row>
    <row r="68" spans="1:16" ht="15.75" customHeight="1">
      <c r="A68" s="4" t="s">
        <v>223</v>
      </c>
      <c r="B68" s="6">
        <v>45783</v>
      </c>
      <c r="C68" s="4">
        <v>2025</v>
      </c>
      <c r="D68" s="4">
        <v>5</v>
      </c>
      <c r="E68" s="4" t="s">
        <v>108</v>
      </c>
      <c r="F68" s="4" t="s">
        <v>5</v>
      </c>
      <c r="G68" s="4" t="s">
        <v>9</v>
      </c>
      <c r="H68" s="4" t="s">
        <v>64</v>
      </c>
      <c r="I68" s="4" t="s">
        <v>7</v>
      </c>
      <c r="J68" s="4" t="s">
        <v>174</v>
      </c>
      <c r="K68" s="4">
        <v>7</v>
      </c>
      <c r="L68" s="5">
        <v>55.58</v>
      </c>
      <c r="M68" s="5">
        <v>389.06</v>
      </c>
      <c r="N68" s="5">
        <v>186.33</v>
      </c>
      <c r="O68" s="5">
        <v>202.73</v>
      </c>
      <c r="P68" s="4">
        <f>--AND(OR(Dashboard!$A$10="All",C68=Dashboard!$A$10),OR(Dashboard!$A$14="All",F68=Dashboard!$A$14),OR(Dashboard!$A$18="All",G68=Dashboard!$A$18),OR(Dashboard!$A$22="All",I68=Dashboard!$A$22))</f>
        <v>1</v>
      </c>
    </row>
    <row r="69" spans="1:16" ht="15.75" customHeight="1">
      <c r="A69" s="4" t="s">
        <v>224</v>
      </c>
      <c r="B69" s="6">
        <v>45543</v>
      </c>
      <c r="C69" s="4">
        <v>2024</v>
      </c>
      <c r="D69" s="4">
        <v>9</v>
      </c>
      <c r="E69" s="4" t="s">
        <v>79</v>
      </c>
      <c r="F69" s="4" t="s">
        <v>8</v>
      </c>
      <c r="G69" s="4" t="s">
        <v>9</v>
      </c>
      <c r="H69" s="4" t="s">
        <v>35</v>
      </c>
      <c r="I69" s="4" t="s">
        <v>7</v>
      </c>
      <c r="J69" s="4" t="s">
        <v>168</v>
      </c>
      <c r="K69" s="4">
        <v>9</v>
      </c>
      <c r="L69" s="5">
        <v>54.97</v>
      </c>
      <c r="M69" s="5">
        <v>494.73</v>
      </c>
      <c r="N69" s="5">
        <v>235.68</v>
      </c>
      <c r="O69" s="5">
        <v>259.05</v>
      </c>
      <c r="P69" s="4">
        <f>--AND(OR(Dashboard!$A$10="All",C69=Dashboard!$A$10),OR(Dashboard!$A$14="All",F69=Dashboard!$A$14),OR(Dashboard!$A$18="All",G69=Dashboard!$A$18),OR(Dashboard!$A$22="All",I69=Dashboard!$A$22))</f>
        <v>1</v>
      </c>
    </row>
    <row r="70" spans="1:16" ht="15.75" customHeight="1">
      <c r="A70" s="4" t="s">
        <v>225</v>
      </c>
      <c r="B70" s="6">
        <v>45571</v>
      </c>
      <c r="C70" s="4">
        <v>2024</v>
      </c>
      <c r="D70" s="4">
        <v>10</v>
      </c>
      <c r="E70" s="4" t="s">
        <v>120</v>
      </c>
      <c r="F70" s="4" t="s">
        <v>14</v>
      </c>
      <c r="G70" s="4" t="s">
        <v>6</v>
      </c>
      <c r="H70" s="4" t="s">
        <v>80</v>
      </c>
      <c r="I70" s="4" t="s">
        <v>10</v>
      </c>
      <c r="J70" s="4" t="s">
        <v>226</v>
      </c>
      <c r="K70" s="4">
        <v>1</v>
      </c>
      <c r="L70" s="5">
        <v>78.66</v>
      </c>
      <c r="M70" s="5">
        <v>78.66</v>
      </c>
      <c r="N70" s="5">
        <v>50.41</v>
      </c>
      <c r="O70" s="5">
        <v>28.25</v>
      </c>
      <c r="P70" s="4">
        <f>--AND(OR(Dashboard!$A$10="All",C70=Dashboard!$A$10),OR(Dashboard!$A$14="All",F70=Dashboard!$A$14),OR(Dashboard!$A$18="All",G70=Dashboard!$A$18),OR(Dashboard!$A$22="All",I70=Dashboard!$A$22))</f>
        <v>1</v>
      </c>
    </row>
    <row r="71" spans="1:16" ht="15.75" customHeight="1">
      <c r="A71" s="4" t="s">
        <v>227</v>
      </c>
      <c r="B71" s="6">
        <v>45486</v>
      </c>
      <c r="C71" s="4">
        <v>2024</v>
      </c>
      <c r="D71" s="4">
        <v>7</v>
      </c>
      <c r="E71" s="4" t="s">
        <v>63</v>
      </c>
      <c r="F71" s="4" t="s">
        <v>5</v>
      </c>
      <c r="G71" s="4" t="s">
        <v>12</v>
      </c>
      <c r="H71" s="4" t="s">
        <v>127</v>
      </c>
      <c r="I71" s="4" t="s">
        <v>7</v>
      </c>
      <c r="J71" s="4" t="s">
        <v>199</v>
      </c>
      <c r="K71" s="4">
        <v>1</v>
      </c>
      <c r="L71" s="5">
        <v>193.77</v>
      </c>
      <c r="M71" s="5">
        <v>193.77</v>
      </c>
      <c r="N71" s="5">
        <v>121.24</v>
      </c>
      <c r="O71" s="5">
        <v>72.53</v>
      </c>
      <c r="P71" s="4">
        <f>--AND(OR(Dashboard!$A$10="All",C71=Dashboard!$A$10),OR(Dashboard!$A$14="All",F71=Dashboard!$A$14),OR(Dashboard!$A$18="All",G71=Dashboard!$A$18),OR(Dashboard!$A$22="All",I71=Dashboard!$A$22))</f>
        <v>1</v>
      </c>
    </row>
    <row r="72" spans="1:16" ht="15.75" customHeight="1">
      <c r="A72" s="4" t="s">
        <v>228</v>
      </c>
      <c r="B72" s="6">
        <v>45424</v>
      </c>
      <c r="C72" s="4">
        <v>2024</v>
      </c>
      <c r="D72" s="4">
        <v>5</v>
      </c>
      <c r="E72" s="4" t="s">
        <v>108</v>
      </c>
      <c r="F72" s="4" t="s">
        <v>8</v>
      </c>
      <c r="G72" s="4" t="s">
        <v>6</v>
      </c>
      <c r="H72" s="4" t="s">
        <v>136</v>
      </c>
      <c r="I72" s="4" t="s">
        <v>10</v>
      </c>
      <c r="J72" s="4" t="s">
        <v>125</v>
      </c>
      <c r="K72" s="4">
        <v>1</v>
      </c>
      <c r="L72" s="5">
        <v>86.17</v>
      </c>
      <c r="M72" s="5">
        <v>86.17</v>
      </c>
      <c r="N72" s="5">
        <v>55.89</v>
      </c>
      <c r="O72" s="5">
        <v>30.28</v>
      </c>
      <c r="P72" s="4">
        <f>--AND(OR(Dashboard!$A$10="All",C72=Dashboard!$A$10),OR(Dashboard!$A$14="All",F72=Dashboard!$A$14),OR(Dashboard!$A$18="All",G72=Dashboard!$A$18),OR(Dashboard!$A$22="All",I72=Dashboard!$A$22))</f>
        <v>1</v>
      </c>
    </row>
    <row r="73" spans="1:16" ht="15.75" customHeight="1">
      <c r="A73" s="4" t="s">
        <v>229</v>
      </c>
      <c r="B73" s="6">
        <v>45814</v>
      </c>
      <c r="C73" s="4">
        <v>2025</v>
      </c>
      <c r="D73" s="4">
        <v>6</v>
      </c>
      <c r="E73" s="4" t="s">
        <v>34</v>
      </c>
      <c r="F73" s="4" t="s">
        <v>8</v>
      </c>
      <c r="G73" s="4" t="s">
        <v>12</v>
      </c>
      <c r="H73" s="4" t="s">
        <v>58</v>
      </c>
      <c r="I73" s="4" t="s">
        <v>13</v>
      </c>
      <c r="J73" s="4" t="s">
        <v>230</v>
      </c>
      <c r="K73" s="4">
        <v>2</v>
      </c>
      <c r="L73" s="5">
        <v>319.20999999999998</v>
      </c>
      <c r="M73" s="5">
        <v>638.41999999999996</v>
      </c>
      <c r="N73" s="5">
        <v>385.12</v>
      </c>
      <c r="O73" s="5">
        <v>253.3</v>
      </c>
      <c r="P73" s="4">
        <f>--AND(OR(Dashboard!$A$10="All",C73=Dashboard!$A$10),OR(Dashboard!$A$14="All",F73=Dashboard!$A$14),OR(Dashboard!$A$18="All",G73=Dashboard!$A$18),OR(Dashboard!$A$22="All",I73=Dashboard!$A$22))</f>
        <v>1</v>
      </c>
    </row>
    <row r="74" spans="1:16" ht="15.75" customHeight="1">
      <c r="A74" s="4" t="s">
        <v>231</v>
      </c>
      <c r="B74" s="6">
        <v>45649</v>
      </c>
      <c r="C74" s="4">
        <v>2024</v>
      </c>
      <c r="D74" s="4">
        <v>12</v>
      </c>
      <c r="E74" s="4" t="s">
        <v>57</v>
      </c>
      <c r="F74" s="4" t="s">
        <v>5</v>
      </c>
      <c r="G74" s="4" t="s">
        <v>9</v>
      </c>
      <c r="H74" s="4" t="s">
        <v>35</v>
      </c>
      <c r="I74" s="4" t="s">
        <v>7</v>
      </c>
      <c r="J74" s="4" t="s">
        <v>232</v>
      </c>
      <c r="K74" s="4">
        <v>14</v>
      </c>
      <c r="L74" s="5">
        <v>34.43</v>
      </c>
      <c r="M74" s="5">
        <v>482.02</v>
      </c>
      <c r="N74" s="5">
        <v>237.38</v>
      </c>
      <c r="O74" s="5">
        <v>244.64</v>
      </c>
      <c r="P74" s="4">
        <f>--AND(OR(Dashboard!$A$10="All",C74=Dashboard!$A$10),OR(Dashboard!$A$14="All",F74=Dashboard!$A$14),OR(Dashboard!$A$18="All",G74=Dashboard!$A$18),OR(Dashboard!$A$22="All",I74=Dashboard!$A$22))</f>
        <v>1</v>
      </c>
    </row>
    <row r="75" spans="1:16" ht="15.75" customHeight="1">
      <c r="A75" s="4" t="s">
        <v>233</v>
      </c>
      <c r="B75" s="6">
        <v>45645</v>
      </c>
      <c r="C75" s="4">
        <v>2024</v>
      </c>
      <c r="D75" s="4">
        <v>12</v>
      </c>
      <c r="E75" s="4" t="s">
        <v>57</v>
      </c>
      <c r="F75" s="4" t="s">
        <v>8</v>
      </c>
      <c r="G75" s="4" t="s">
        <v>12</v>
      </c>
      <c r="H75" s="4" t="s">
        <v>86</v>
      </c>
      <c r="I75" s="4" t="s">
        <v>7</v>
      </c>
      <c r="J75" s="4" t="s">
        <v>191</v>
      </c>
      <c r="K75" s="4">
        <v>1</v>
      </c>
      <c r="L75" s="5">
        <v>284.77</v>
      </c>
      <c r="M75" s="5">
        <v>284.77</v>
      </c>
      <c r="N75" s="5">
        <v>165.08</v>
      </c>
      <c r="O75" s="5">
        <v>119.69</v>
      </c>
      <c r="P75" s="4">
        <f>--AND(OR(Dashboard!$A$10="All",C75=Dashboard!$A$10),OR(Dashboard!$A$14="All",F75=Dashboard!$A$14),OR(Dashboard!$A$18="All",G75=Dashboard!$A$18),OR(Dashboard!$A$22="All",I75=Dashboard!$A$22))</f>
        <v>1</v>
      </c>
    </row>
    <row r="76" spans="1:16" ht="15.75" customHeight="1">
      <c r="A76" s="4" t="s">
        <v>234</v>
      </c>
      <c r="B76" s="6">
        <v>45336</v>
      </c>
      <c r="C76" s="4">
        <v>2024</v>
      </c>
      <c r="D76" s="4">
        <v>2</v>
      </c>
      <c r="E76" s="4" t="s">
        <v>70</v>
      </c>
      <c r="F76" s="4" t="s">
        <v>5</v>
      </c>
      <c r="G76" s="4" t="s">
        <v>9</v>
      </c>
      <c r="H76" s="4" t="s">
        <v>64</v>
      </c>
      <c r="I76" s="4" t="s">
        <v>7</v>
      </c>
      <c r="J76" s="4" t="s">
        <v>235</v>
      </c>
      <c r="K76" s="4">
        <v>2</v>
      </c>
      <c r="L76" s="5">
        <v>32.94</v>
      </c>
      <c r="M76" s="5">
        <v>65.88</v>
      </c>
      <c r="N76" s="5">
        <v>31.72</v>
      </c>
      <c r="O76" s="5">
        <v>34.159999999999997</v>
      </c>
      <c r="P76" s="4">
        <f>--AND(OR(Dashboard!$A$10="All",C76=Dashboard!$A$10),OR(Dashboard!$A$14="All",F76=Dashboard!$A$14),OR(Dashboard!$A$18="All",G76=Dashboard!$A$18),OR(Dashboard!$A$22="All",I76=Dashboard!$A$22))</f>
        <v>1</v>
      </c>
    </row>
    <row r="77" spans="1:16" ht="15.75" customHeight="1">
      <c r="A77" s="4" t="s">
        <v>236</v>
      </c>
      <c r="B77" s="6">
        <v>45928</v>
      </c>
      <c r="C77" s="4">
        <v>2025</v>
      </c>
      <c r="D77" s="4">
        <v>9</v>
      </c>
      <c r="E77" s="4" t="s">
        <v>79</v>
      </c>
      <c r="F77" s="4" t="s">
        <v>8</v>
      </c>
      <c r="G77" s="4" t="s">
        <v>12</v>
      </c>
      <c r="H77" s="4" t="s">
        <v>92</v>
      </c>
      <c r="I77" s="4" t="s">
        <v>7</v>
      </c>
      <c r="J77" s="4" t="s">
        <v>128</v>
      </c>
      <c r="K77" s="4">
        <v>2</v>
      </c>
      <c r="L77" s="5">
        <v>197.15</v>
      </c>
      <c r="M77" s="5">
        <v>394.3</v>
      </c>
      <c r="N77" s="5">
        <v>243.48</v>
      </c>
      <c r="O77" s="5">
        <v>150.82</v>
      </c>
      <c r="P77" s="4">
        <f>--AND(OR(Dashboard!$A$10="All",C77=Dashboard!$A$10),OR(Dashboard!$A$14="All",F77=Dashboard!$A$14),OR(Dashboard!$A$18="All",G77=Dashboard!$A$18),OR(Dashboard!$A$22="All",I77=Dashboard!$A$22))</f>
        <v>1</v>
      </c>
    </row>
    <row r="78" spans="1:16" ht="15.75" customHeight="1">
      <c r="A78" s="4" t="s">
        <v>237</v>
      </c>
      <c r="B78" s="6">
        <v>45334</v>
      </c>
      <c r="C78" s="4">
        <v>2024</v>
      </c>
      <c r="D78" s="4">
        <v>2</v>
      </c>
      <c r="E78" s="4" t="s">
        <v>70</v>
      </c>
      <c r="F78" s="4" t="s">
        <v>5</v>
      </c>
      <c r="G78" s="4" t="s">
        <v>9</v>
      </c>
      <c r="H78" s="4" t="s">
        <v>64</v>
      </c>
      <c r="I78" s="4" t="s">
        <v>7</v>
      </c>
      <c r="J78" s="4" t="s">
        <v>162</v>
      </c>
      <c r="K78" s="4">
        <v>3</v>
      </c>
      <c r="L78" s="5">
        <v>67.319999999999993</v>
      </c>
      <c r="M78" s="5">
        <v>201.96</v>
      </c>
      <c r="N78" s="5">
        <v>96.78</v>
      </c>
      <c r="O78" s="5">
        <v>105.18</v>
      </c>
      <c r="P78" s="4">
        <f>--AND(OR(Dashboard!$A$10="All",C78=Dashboard!$A$10),OR(Dashboard!$A$14="All",F78=Dashboard!$A$14),OR(Dashboard!$A$18="All",G78=Dashboard!$A$18),OR(Dashboard!$A$22="All",I78=Dashboard!$A$22))</f>
        <v>1</v>
      </c>
    </row>
    <row r="79" spans="1:16" ht="15.75" customHeight="1">
      <c r="A79" s="4" t="s">
        <v>238</v>
      </c>
      <c r="B79" s="6">
        <v>45763</v>
      </c>
      <c r="C79" s="4">
        <v>2025</v>
      </c>
      <c r="D79" s="4">
        <v>4</v>
      </c>
      <c r="E79" s="4" t="s">
        <v>106</v>
      </c>
      <c r="F79" s="4" t="s">
        <v>8</v>
      </c>
      <c r="G79" s="4" t="s">
        <v>6</v>
      </c>
      <c r="H79" s="4" t="s">
        <v>136</v>
      </c>
      <c r="I79" s="4" t="s">
        <v>10</v>
      </c>
      <c r="J79" s="4" t="s">
        <v>153</v>
      </c>
      <c r="K79" s="4">
        <v>3</v>
      </c>
      <c r="L79" s="5">
        <v>132.11000000000001</v>
      </c>
      <c r="M79" s="5">
        <v>396.33</v>
      </c>
      <c r="N79" s="5">
        <v>261.24</v>
      </c>
      <c r="O79" s="5">
        <v>135.09</v>
      </c>
      <c r="P79" s="4">
        <f>--AND(OR(Dashboard!$A$10="All",C79=Dashboard!$A$10),OR(Dashboard!$A$14="All",F79=Dashboard!$A$14),OR(Dashboard!$A$18="All",G79=Dashboard!$A$18),OR(Dashboard!$A$22="All",I79=Dashboard!$A$22))</f>
        <v>1</v>
      </c>
    </row>
    <row r="80" spans="1:16" ht="15.75" customHeight="1">
      <c r="A80" s="4" t="s">
        <v>239</v>
      </c>
      <c r="B80" s="6">
        <v>45860</v>
      </c>
      <c r="C80" s="4">
        <v>2025</v>
      </c>
      <c r="D80" s="4">
        <v>7</v>
      </c>
      <c r="E80" s="4" t="s">
        <v>63</v>
      </c>
      <c r="F80" s="4" t="s">
        <v>5</v>
      </c>
      <c r="G80" s="4" t="s">
        <v>6</v>
      </c>
      <c r="H80" s="4" t="s">
        <v>80</v>
      </c>
      <c r="I80" s="4" t="s">
        <v>13</v>
      </c>
      <c r="J80" s="4" t="s">
        <v>240</v>
      </c>
      <c r="K80" s="4">
        <v>7</v>
      </c>
      <c r="L80" s="5">
        <v>153.15</v>
      </c>
      <c r="M80" s="5">
        <v>1072.05</v>
      </c>
      <c r="N80" s="5">
        <v>723.24</v>
      </c>
      <c r="O80" s="5">
        <v>348.81</v>
      </c>
      <c r="P80" s="4">
        <f>--AND(OR(Dashboard!$A$10="All",C80=Dashboard!$A$10),OR(Dashboard!$A$14="All",F80=Dashboard!$A$14),OR(Dashboard!$A$18="All",G80=Dashboard!$A$18),OR(Dashboard!$A$22="All",I80=Dashboard!$A$22))</f>
        <v>1</v>
      </c>
    </row>
    <row r="81" spans="1:16" ht="15.75" customHeight="1">
      <c r="A81" s="4" t="s">
        <v>241</v>
      </c>
      <c r="B81" s="6">
        <v>45937</v>
      </c>
      <c r="C81" s="4">
        <v>2025</v>
      </c>
      <c r="D81" s="4">
        <v>10</v>
      </c>
      <c r="E81" s="4" t="s">
        <v>120</v>
      </c>
      <c r="F81" s="4" t="s">
        <v>11</v>
      </c>
      <c r="G81" s="4" t="s">
        <v>9</v>
      </c>
      <c r="H81" s="4" t="s">
        <v>142</v>
      </c>
      <c r="I81" s="4" t="s">
        <v>7</v>
      </c>
      <c r="J81" s="4" t="s">
        <v>104</v>
      </c>
      <c r="K81" s="4">
        <v>2</v>
      </c>
      <c r="L81" s="5">
        <v>40.43</v>
      </c>
      <c r="M81" s="5">
        <v>80.86</v>
      </c>
      <c r="N81" s="5">
        <v>40.19</v>
      </c>
      <c r="O81" s="5">
        <v>40.67</v>
      </c>
      <c r="P81" s="4">
        <f>--AND(OR(Dashboard!$A$10="All",C81=Dashboard!$A$10),OR(Dashboard!$A$14="All",F81=Dashboard!$A$14),OR(Dashboard!$A$18="All",G81=Dashboard!$A$18),OR(Dashboard!$A$22="All",I81=Dashboard!$A$22))</f>
        <v>1</v>
      </c>
    </row>
    <row r="82" spans="1:16" ht="15.75" customHeight="1">
      <c r="A82" s="4" t="s">
        <v>242</v>
      </c>
      <c r="B82" s="6">
        <v>45563</v>
      </c>
      <c r="C82" s="4">
        <v>2024</v>
      </c>
      <c r="D82" s="4">
        <v>9</v>
      </c>
      <c r="E82" s="4" t="s">
        <v>79</v>
      </c>
      <c r="F82" s="4" t="s">
        <v>5</v>
      </c>
      <c r="G82" s="4" t="s">
        <v>9</v>
      </c>
      <c r="H82" s="4" t="s">
        <v>64</v>
      </c>
      <c r="I82" s="4" t="s">
        <v>7</v>
      </c>
      <c r="J82" s="4" t="s">
        <v>59</v>
      </c>
      <c r="K82" s="4">
        <v>4</v>
      </c>
      <c r="L82" s="5">
        <v>40.159999999999997</v>
      </c>
      <c r="M82" s="5">
        <v>160.63999999999999</v>
      </c>
      <c r="N82" s="5">
        <v>82.29</v>
      </c>
      <c r="O82" s="5">
        <v>78.349999999999994</v>
      </c>
      <c r="P82" s="4">
        <f>--AND(OR(Dashboard!$A$10="All",C82=Dashboard!$A$10),OR(Dashboard!$A$14="All",F82=Dashboard!$A$14),OR(Dashboard!$A$18="All",G82=Dashboard!$A$18),OR(Dashboard!$A$22="All",I82=Dashboard!$A$22))</f>
        <v>1</v>
      </c>
    </row>
    <row r="83" spans="1:16" ht="15.75" customHeight="1">
      <c r="A83" s="4" t="s">
        <v>243</v>
      </c>
      <c r="B83" s="6">
        <v>45838</v>
      </c>
      <c r="C83" s="4">
        <v>2025</v>
      </c>
      <c r="D83" s="4">
        <v>6</v>
      </c>
      <c r="E83" s="4" t="s">
        <v>34</v>
      </c>
      <c r="F83" s="4" t="s">
        <v>8</v>
      </c>
      <c r="G83" s="4" t="s">
        <v>6</v>
      </c>
      <c r="H83" s="4" t="s">
        <v>136</v>
      </c>
      <c r="I83" s="4" t="s">
        <v>13</v>
      </c>
      <c r="J83" s="4" t="s">
        <v>72</v>
      </c>
      <c r="K83" s="4">
        <v>3</v>
      </c>
      <c r="L83" s="5">
        <v>152.34</v>
      </c>
      <c r="M83" s="5">
        <v>457.02</v>
      </c>
      <c r="N83" s="5">
        <v>293.83999999999997</v>
      </c>
      <c r="O83" s="5">
        <v>163.18</v>
      </c>
      <c r="P83" s="4">
        <f>--AND(OR(Dashboard!$A$10="All",C83=Dashboard!$A$10),OR(Dashboard!$A$14="All",F83=Dashboard!$A$14),OR(Dashboard!$A$18="All",G83=Dashboard!$A$18),OR(Dashboard!$A$22="All",I83=Dashboard!$A$22))</f>
        <v>1</v>
      </c>
    </row>
    <row r="84" spans="1:16" ht="15.75" customHeight="1">
      <c r="A84" s="4" t="s">
        <v>244</v>
      </c>
      <c r="B84" s="6">
        <v>45776</v>
      </c>
      <c r="C84" s="4">
        <v>2025</v>
      </c>
      <c r="D84" s="4">
        <v>4</v>
      </c>
      <c r="E84" s="4" t="s">
        <v>106</v>
      </c>
      <c r="F84" s="4" t="s">
        <v>5</v>
      </c>
      <c r="G84" s="4" t="s">
        <v>6</v>
      </c>
      <c r="H84" s="4" t="s">
        <v>80</v>
      </c>
      <c r="I84" s="4" t="s">
        <v>7</v>
      </c>
      <c r="J84" s="4" t="s">
        <v>209</v>
      </c>
      <c r="K84" s="4">
        <v>5</v>
      </c>
      <c r="L84" s="5">
        <v>155.15</v>
      </c>
      <c r="M84" s="5">
        <v>775.75</v>
      </c>
      <c r="N84" s="5">
        <v>524.91999999999996</v>
      </c>
      <c r="O84" s="5">
        <v>250.83</v>
      </c>
      <c r="P84" s="4">
        <f>--AND(OR(Dashboard!$A$10="All",C84=Dashboard!$A$10),OR(Dashboard!$A$14="All",F84=Dashboard!$A$14),OR(Dashboard!$A$18="All",G84=Dashboard!$A$18),OR(Dashboard!$A$22="All",I84=Dashboard!$A$22))</f>
        <v>1</v>
      </c>
    </row>
    <row r="85" spans="1:16" ht="15.75" customHeight="1">
      <c r="A85" s="4" t="s">
        <v>245</v>
      </c>
      <c r="B85" s="6">
        <v>45562</v>
      </c>
      <c r="C85" s="4">
        <v>2024</v>
      </c>
      <c r="D85" s="4">
        <v>9</v>
      </c>
      <c r="E85" s="4" t="s">
        <v>79</v>
      </c>
      <c r="F85" s="4" t="s">
        <v>5</v>
      </c>
      <c r="G85" s="4" t="s">
        <v>6</v>
      </c>
      <c r="H85" s="4" t="s">
        <v>80</v>
      </c>
      <c r="I85" s="4" t="s">
        <v>7</v>
      </c>
      <c r="J85" s="4" t="s">
        <v>68</v>
      </c>
      <c r="K85" s="4">
        <v>6</v>
      </c>
      <c r="L85" s="5">
        <v>187.54</v>
      </c>
      <c r="M85" s="5">
        <v>1125.24</v>
      </c>
      <c r="N85" s="5">
        <v>736.98</v>
      </c>
      <c r="O85" s="5">
        <v>388.26</v>
      </c>
      <c r="P85" s="4">
        <f>--AND(OR(Dashboard!$A$10="All",C85=Dashboard!$A$10),OR(Dashboard!$A$14="All",F85=Dashboard!$A$14),OR(Dashboard!$A$18="All",G85=Dashboard!$A$18),OR(Dashboard!$A$22="All",I85=Dashboard!$A$22))</f>
        <v>1</v>
      </c>
    </row>
    <row r="86" spans="1:16" ht="15.75" customHeight="1">
      <c r="A86" s="4" t="s">
        <v>246</v>
      </c>
      <c r="B86" s="6">
        <v>45568</v>
      </c>
      <c r="C86" s="4">
        <v>2024</v>
      </c>
      <c r="D86" s="4">
        <v>10</v>
      </c>
      <c r="E86" s="4" t="s">
        <v>120</v>
      </c>
      <c r="F86" s="4" t="s">
        <v>5</v>
      </c>
      <c r="G86" s="4" t="s">
        <v>9</v>
      </c>
      <c r="H86" s="4" t="s">
        <v>142</v>
      </c>
      <c r="I86" s="4" t="s">
        <v>13</v>
      </c>
      <c r="J86" s="4" t="s">
        <v>247</v>
      </c>
      <c r="K86" s="4">
        <v>5</v>
      </c>
      <c r="L86" s="5">
        <v>27.71</v>
      </c>
      <c r="M86" s="5">
        <v>138.55000000000001</v>
      </c>
      <c r="N86" s="5">
        <v>67.84</v>
      </c>
      <c r="O86" s="5">
        <v>70.709999999999994</v>
      </c>
      <c r="P86" s="4">
        <f>--AND(OR(Dashboard!$A$10="All",C86=Dashboard!$A$10),OR(Dashboard!$A$14="All",F86=Dashboard!$A$14),OR(Dashboard!$A$18="All",G86=Dashboard!$A$18),OR(Dashboard!$A$22="All",I86=Dashboard!$A$22))</f>
        <v>1</v>
      </c>
    </row>
    <row r="87" spans="1:16" ht="15.75" customHeight="1">
      <c r="A87" s="4" t="s">
        <v>248</v>
      </c>
      <c r="B87" s="6">
        <v>45500</v>
      </c>
      <c r="C87" s="4">
        <v>2024</v>
      </c>
      <c r="D87" s="4">
        <v>7</v>
      </c>
      <c r="E87" s="4" t="s">
        <v>63</v>
      </c>
      <c r="F87" s="4" t="s">
        <v>14</v>
      </c>
      <c r="G87" s="4" t="s">
        <v>6</v>
      </c>
      <c r="H87" s="4" t="s">
        <v>54</v>
      </c>
      <c r="I87" s="4" t="s">
        <v>7</v>
      </c>
      <c r="J87" s="4" t="s">
        <v>249</v>
      </c>
      <c r="K87" s="4">
        <v>4</v>
      </c>
      <c r="L87" s="5">
        <v>192.21</v>
      </c>
      <c r="M87" s="5">
        <v>768.84</v>
      </c>
      <c r="N87" s="5">
        <v>494.09</v>
      </c>
      <c r="O87" s="5">
        <v>274.75</v>
      </c>
      <c r="P87" s="4">
        <f>--AND(OR(Dashboard!$A$10="All",C87=Dashboard!$A$10),OR(Dashboard!$A$14="All",F87=Dashboard!$A$14),OR(Dashboard!$A$18="All",G87=Dashboard!$A$18),OR(Dashboard!$A$22="All",I87=Dashboard!$A$22))</f>
        <v>1</v>
      </c>
    </row>
    <row r="88" spans="1:16" ht="15.75" customHeight="1">
      <c r="A88" s="4" t="s">
        <v>250</v>
      </c>
      <c r="B88" s="6">
        <v>46007</v>
      </c>
      <c r="C88" s="4">
        <v>2025</v>
      </c>
      <c r="D88" s="4">
        <v>12</v>
      </c>
      <c r="E88" s="4" t="s">
        <v>57</v>
      </c>
      <c r="F88" s="4" t="s">
        <v>5</v>
      </c>
      <c r="G88" s="4" t="s">
        <v>12</v>
      </c>
      <c r="H88" s="4" t="s">
        <v>58</v>
      </c>
      <c r="I88" s="4" t="s">
        <v>7</v>
      </c>
      <c r="J88" s="4" t="s">
        <v>226</v>
      </c>
      <c r="K88" s="4">
        <v>6</v>
      </c>
      <c r="L88" s="5">
        <v>113.36</v>
      </c>
      <c r="M88" s="5">
        <v>680.16</v>
      </c>
      <c r="N88" s="5">
        <v>399.6</v>
      </c>
      <c r="O88" s="5">
        <v>280.56</v>
      </c>
      <c r="P88" s="4">
        <f>--AND(OR(Dashboard!$A$10="All",C88=Dashboard!$A$10),OR(Dashboard!$A$14="All",F88=Dashboard!$A$14),OR(Dashboard!$A$18="All",G88=Dashboard!$A$18),OR(Dashboard!$A$22="All",I88=Dashboard!$A$22))</f>
        <v>1</v>
      </c>
    </row>
    <row r="89" spans="1:16" ht="15.75" customHeight="1">
      <c r="A89" s="4" t="s">
        <v>251</v>
      </c>
      <c r="B89" s="6">
        <v>45719</v>
      </c>
      <c r="C89" s="4">
        <v>2025</v>
      </c>
      <c r="D89" s="4">
        <v>3</v>
      </c>
      <c r="E89" s="4" t="s">
        <v>100</v>
      </c>
      <c r="F89" s="4" t="s">
        <v>5</v>
      </c>
      <c r="G89" s="4" t="s">
        <v>12</v>
      </c>
      <c r="H89" s="4" t="s">
        <v>86</v>
      </c>
      <c r="I89" s="4" t="s">
        <v>13</v>
      </c>
      <c r="J89" s="4" t="s">
        <v>55</v>
      </c>
      <c r="K89" s="4">
        <v>5</v>
      </c>
      <c r="L89" s="5">
        <v>218.16</v>
      </c>
      <c r="M89" s="5">
        <v>1090.8</v>
      </c>
      <c r="N89" s="5">
        <v>660.15</v>
      </c>
      <c r="O89" s="5">
        <v>430.65</v>
      </c>
      <c r="P89" s="4">
        <f>--AND(OR(Dashboard!$A$10="All",C89=Dashboard!$A$10),OR(Dashboard!$A$14="All",F89=Dashboard!$A$14),OR(Dashboard!$A$18="All",G89=Dashboard!$A$18),OR(Dashboard!$A$22="All",I89=Dashboard!$A$22))</f>
        <v>1</v>
      </c>
    </row>
    <row r="90" spans="1:16" ht="15.75" customHeight="1">
      <c r="A90" s="4" t="s">
        <v>252</v>
      </c>
      <c r="B90" s="6">
        <v>45353</v>
      </c>
      <c r="C90" s="4">
        <v>2024</v>
      </c>
      <c r="D90" s="4">
        <v>3</v>
      </c>
      <c r="E90" s="4" t="s">
        <v>100</v>
      </c>
      <c r="F90" s="4" t="s">
        <v>8</v>
      </c>
      <c r="G90" s="4" t="s">
        <v>9</v>
      </c>
      <c r="H90" s="4" t="s">
        <v>35</v>
      </c>
      <c r="I90" s="4" t="s">
        <v>13</v>
      </c>
      <c r="J90" s="4" t="s">
        <v>55</v>
      </c>
      <c r="K90" s="4">
        <v>4</v>
      </c>
      <c r="L90" s="5">
        <v>34.369999999999997</v>
      </c>
      <c r="M90" s="5">
        <v>137.47999999999999</v>
      </c>
      <c r="N90" s="5">
        <v>66.41</v>
      </c>
      <c r="O90" s="5">
        <v>71.069999999999993</v>
      </c>
      <c r="P90" s="4">
        <f>--AND(OR(Dashboard!$A$10="All",C90=Dashboard!$A$10),OR(Dashboard!$A$14="All",F90=Dashboard!$A$14),OR(Dashboard!$A$18="All",G90=Dashboard!$A$18),OR(Dashboard!$A$22="All",I90=Dashboard!$A$22))</f>
        <v>1</v>
      </c>
    </row>
    <row r="91" spans="1:16" ht="15.75" customHeight="1">
      <c r="A91" s="4" t="s">
        <v>253</v>
      </c>
      <c r="B91" s="6">
        <v>45482</v>
      </c>
      <c r="C91" s="4">
        <v>2024</v>
      </c>
      <c r="D91" s="4">
        <v>7</v>
      </c>
      <c r="E91" s="4" t="s">
        <v>63</v>
      </c>
      <c r="F91" s="4" t="s">
        <v>5</v>
      </c>
      <c r="G91" s="4" t="s">
        <v>12</v>
      </c>
      <c r="H91" s="4" t="s">
        <v>92</v>
      </c>
      <c r="I91" s="4" t="s">
        <v>7</v>
      </c>
      <c r="J91" s="4" t="s">
        <v>149</v>
      </c>
      <c r="K91" s="4">
        <v>4</v>
      </c>
      <c r="L91" s="5">
        <v>225.82</v>
      </c>
      <c r="M91" s="5">
        <v>903.28</v>
      </c>
      <c r="N91" s="5">
        <v>564.67999999999995</v>
      </c>
      <c r="O91" s="5">
        <v>338.6</v>
      </c>
      <c r="P91" s="4">
        <f>--AND(OR(Dashboard!$A$10="All",C91=Dashboard!$A$10),OR(Dashboard!$A$14="All",F91=Dashboard!$A$14),OR(Dashboard!$A$18="All",G91=Dashboard!$A$18),OR(Dashboard!$A$22="All",I91=Dashboard!$A$22))</f>
        <v>1</v>
      </c>
    </row>
    <row r="92" spans="1:16" ht="15.75" customHeight="1">
      <c r="A92" s="4" t="s">
        <v>254</v>
      </c>
      <c r="B92" s="6">
        <v>45378</v>
      </c>
      <c r="C92" s="4">
        <v>2024</v>
      </c>
      <c r="D92" s="4">
        <v>3</v>
      </c>
      <c r="E92" s="4" t="s">
        <v>100</v>
      </c>
      <c r="F92" s="4" t="s">
        <v>5</v>
      </c>
      <c r="G92" s="4" t="s">
        <v>6</v>
      </c>
      <c r="H92" s="4" t="s">
        <v>98</v>
      </c>
      <c r="I92" s="4" t="s">
        <v>10</v>
      </c>
      <c r="J92" s="4" t="s">
        <v>255</v>
      </c>
      <c r="K92" s="4">
        <v>4</v>
      </c>
      <c r="L92" s="5">
        <v>219.05</v>
      </c>
      <c r="M92" s="5">
        <v>876.2</v>
      </c>
      <c r="N92" s="5">
        <v>571.16999999999996</v>
      </c>
      <c r="O92" s="5">
        <v>305.02999999999997</v>
      </c>
      <c r="P92" s="4">
        <f>--AND(OR(Dashboard!$A$10="All",C92=Dashboard!$A$10),OR(Dashboard!$A$14="All",F92=Dashboard!$A$14),OR(Dashboard!$A$18="All",G92=Dashboard!$A$18),OR(Dashboard!$A$22="All",I92=Dashboard!$A$22))</f>
        <v>1</v>
      </c>
    </row>
    <row r="93" spans="1:16" ht="15.75" customHeight="1">
      <c r="A93" s="4" t="s">
        <v>256</v>
      </c>
      <c r="B93" s="6">
        <v>45766</v>
      </c>
      <c r="C93" s="4">
        <v>2025</v>
      </c>
      <c r="D93" s="4">
        <v>4</v>
      </c>
      <c r="E93" s="4" t="s">
        <v>106</v>
      </c>
      <c r="F93" s="4" t="s">
        <v>11</v>
      </c>
      <c r="G93" s="4" t="s">
        <v>6</v>
      </c>
      <c r="H93" s="4" t="s">
        <v>136</v>
      </c>
      <c r="I93" s="4" t="s">
        <v>7</v>
      </c>
      <c r="J93" s="4" t="s">
        <v>257</v>
      </c>
      <c r="K93" s="4">
        <v>4</v>
      </c>
      <c r="L93" s="5">
        <v>142.18</v>
      </c>
      <c r="M93" s="5">
        <v>568.72</v>
      </c>
      <c r="N93" s="5">
        <v>371.74</v>
      </c>
      <c r="O93" s="5">
        <v>196.98</v>
      </c>
      <c r="P93" s="4">
        <f>--AND(OR(Dashboard!$A$10="All",C93=Dashboard!$A$10),OR(Dashboard!$A$14="All",F93=Dashboard!$A$14),OR(Dashboard!$A$18="All",G93=Dashboard!$A$18),OR(Dashboard!$A$22="All",I93=Dashboard!$A$22))</f>
        <v>1</v>
      </c>
    </row>
    <row r="94" spans="1:16" ht="15.75" customHeight="1">
      <c r="A94" s="4" t="s">
        <v>258</v>
      </c>
      <c r="B94" s="6">
        <v>45643</v>
      </c>
      <c r="C94" s="4">
        <v>2024</v>
      </c>
      <c r="D94" s="4">
        <v>12</v>
      </c>
      <c r="E94" s="4" t="s">
        <v>57</v>
      </c>
      <c r="F94" s="4" t="s">
        <v>5</v>
      </c>
      <c r="G94" s="4" t="s">
        <v>12</v>
      </c>
      <c r="H94" s="4" t="s">
        <v>92</v>
      </c>
      <c r="I94" s="4" t="s">
        <v>10</v>
      </c>
      <c r="J94" s="4" t="s">
        <v>259</v>
      </c>
      <c r="K94" s="4">
        <v>2</v>
      </c>
      <c r="L94" s="5">
        <v>270.67</v>
      </c>
      <c r="M94" s="5">
        <v>541.34</v>
      </c>
      <c r="N94" s="5">
        <v>317.43</v>
      </c>
      <c r="O94" s="5">
        <v>223.91</v>
      </c>
      <c r="P94" s="4">
        <f>--AND(OR(Dashboard!$A$10="All",C94=Dashboard!$A$10),OR(Dashboard!$A$14="All",F94=Dashboard!$A$14),OR(Dashboard!$A$18="All",G94=Dashboard!$A$18),OR(Dashboard!$A$22="All",I94=Dashboard!$A$22))</f>
        <v>1</v>
      </c>
    </row>
    <row r="95" spans="1:16" ht="15.75" customHeight="1">
      <c r="A95" s="4" t="s">
        <v>260</v>
      </c>
      <c r="B95" s="6">
        <v>45703</v>
      </c>
      <c r="C95" s="4">
        <v>2025</v>
      </c>
      <c r="D95" s="4">
        <v>2</v>
      </c>
      <c r="E95" s="4" t="s">
        <v>70</v>
      </c>
      <c r="F95" s="4" t="s">
        <v>5</v>
      </c>
      <c r="G95" s="4" t="s">
        <v>12</v>
      </c>
      <c r="H95" s="4" t="s">
        <v>127</v>
      </c>
      <c r="I95" s="4" t="s">
        <v>7</v>
      </c>
      <c r="J95" s="4" t="s">
        <v>261</v>
      </c>
      <c r="K95" s="4">
        <v>2</v>
      </c>
      <c r="L95" s="5">
        <v>180.21</v>
      </c>
      <c r="M95" s="5">
        <v>360.42</v>
      </c>
      <c r="N95" s="5">
        <v>207.63</v>
      </c>
      <c r="O95" s="5">
        <v>152.79</v>
      </c>
      <c r="P95" s="4">
        <f>--AND(OR(Dashboard!$A$10="All",C95=Dashboard!$A$10),OR(Dashboard!$A$14="All",F95=Dashboard!$A$14),OR(Dashboard!$A$18="All",G95=Dashboard!$A$18),OR(Dashboard!$A$22="All",I95=Dashboard!$A$22))</f>
        <v>1</v>
      </c>
    </row>
    <row r="96" spans="1:16" ht="15.75" customHeight="1">
      <c r="A96" s="4" t="s">
        <v>262</v>
      </c>
      <c r="B96" s="6">
        <v>45713</v>
      </c>
      <c r="C96" s="4">
        <v>2025</v>
      </c>
      <c r="D96" s="4">
        <v>2</v>
      </c>
      <c r="E96" s="4" t="s">
        <v>70</v>
      </c>
      <c r="F96" s="4" t="s">
        <v>8</v>
      </c>
      <c r="G96" s="4" t="s">
        <v>9</v>
      </c>
      <c r="H96" s="4" t="s">
        <v>35</v>
      </c>
      <c r="I96" s="4" t="s">
        <v>13</v>
      </c>
      <c r="J96" s="4" t="s">
        <v>263</v>
      </c>
      <c r="K96" s="4">
        <v>8</v>
      </c>
      <c r="L96" s="5">
        <v>51.49</v>
      </c>
      <c r="M96" s="5">
        <v>411.92</v>
      </c>
      <c r="N96" s="5">
        <v>196.78</v>
      </c>
      <c r="O96" s="5">
        <v>215.14</v>
      </c>
      <c r="P96" s="4">
        <f>--AND(OR(Dashboard!$A$10="All",C96=Dashboard!$A$10),OR(Dashboard!$A$14="All",F96=Dashboard!$A$14),OR(Dashboard!$A$18="All",G96=Dashboard!$A$18),OR(Dashboard!$A$22="All",I96=Dashboard!$A$22))</f>
        <v>1</v>
      </c>
    </row>
    <row r="97" spans="1:16" ht="15.75" customHeight="1">
      <c r="A97" s="4" t="s">
        <v>264</v>
      </c>
      <c r="B97" s="6">
        <v>46016</v>
      </c>
      <c r="C97" s="4">
        <v>2025</v>
      </c>
      <c r="D97" s="4">
        <v>12</v>
      </c>
      <c r="E97" s="4" t="s">
        <v>57</v>
      </c>
      <c r="F97" s="4" t="s">
        <v>8</v>
      </c>
      <c r="G97" s="4" t="s">
        <v>6</v>
      </c>
      <c r="H97" s="4" t="s">
        <v>98</v>
      </c>
      <c r="I97" s="4" t="s">
        <v>7</v>
      </c>
      <c r="J97" s="4" t="s">
        <v>263</v>
      </c>
      <c r="K97" s="4">
        <v>4</v>
      </c>
      <c r="L97" s="5">
        <v>109.88</v>
      </c>
      <c r="M97" s="5">
        <v>439.52</v>
      </c>
      <c r="N97" s="5">
        <v>302.82</v>
      </c>
      <c r="O97" s="5">
        <v>136.69999999999999</v>
      </c>
      <c r="P97" s="4">
        <f>--AND(OR(Dashboard!$A$10="All",C97=Dashboard!$A$10),OR(Dashboard!$A$14="All",F97=Dashboard!$A$14),OR(Dashboard!$A$18="All",G97=Dashboard!$A$18),OR(Dashboard!$A$22="All",I97=Dashboard!$A$22))</f>
        <v>1</v>
      </c>
    </row>
    <row r="98" spans="1:16" ht="15.75" customHeight="1">
      <c r="A98" s="4" t="s">
        <v>265</v>
      </c>
      <c r="B98" s="6">
        <v>45737</v>
      </c>
      <c r="C98" s="4">
        <v>2025</v>
      </c>
      <c r="D98" s="4">
        <v>3</v>
      </c>
      <c r="E98" s="4" t="s">
        <v>100</v>
      </c>
      <c r="F98" s="4" t="s">
        <v>5</v>
      </c>
      <c r="G98" s="4" t="s">
        <v>9</v>
      </c>
      <c r="H98" s="4" t="s">
        <v>64</v>
      </c>
      <c r="I98" s="4" t="s">
        <v>7</v>
      </c>
      <c r="J98" s="4" t="s">
        <v>230</v>
      </c>
      <c r="K98" s="4">
        <v>9</v>
      </c>
      <c r="L98" s="5">
        <v>23.68</v>
      </c>
      <c r="M98" s="5">
        <v>213.12</v>
      </c>
      <c r="N98" s="5">
        <v>107.95</v>
      </c>
      <c r="O98" s="5">
        <v>105.17</v>
      </c>
      <c r="P98" s="4">
        <f>--AND(OR(Dashboard!$A$10="All",C98=Dashboard!$A$10),OR(Dashboard!$A$14="All",F98=Dashboard!$A$14),OR(Dashboard!$A$18="All",G98=Dashboard!$A$18),OR(Dashboard!$A$22="All",I98=Dashboard!$A$22))</f>
        <v>1</v>
      </c>
    </row>
    <row r="99" spans="1:16" ht="15.75" customHeight="1">
      <c r="A99" s="4" t="s">
        <v>266</v>
      </c>
      <c r="B99" s="6">
        <v>45363</v>
      </c>
      <c r="C99" s="4">
        <v>2024</v>
      </c>
      <c r="D99" s="4">
        <v>3</v>
      </c>
      <c r="E99" s="4" t="s">
        <v>100</v>
      </c>
      <c r="F99" s="4" t="s">
        <v>8</v>
      </c>
      <c r="G99" s="4" t="s">
        <v>9</v>
      </c>
      <c r="H99" s="4" t="s">
        <v>110</v>
      </c>
      <c r="I99" s="4" t="s">
        <v>7</v>
      </c>
      <c r="J99" s="4" t="s">
        <v>125</v>
      </c>
      <c r="K99" s="4">
        <v>3</v>
      </c>
      <c r="L99" s="5">
        <v>25.9</v>
      </c>
      <c r="M99" s="5">
        <v>77.7</v>
      </c>
      <c r="N99" s="5">
        <v>40.21</v>
      </c>
      <c r="O99" s="5">
        <v>37.49</v>
      </c>
      <c r="P99" s="4">
        <f>--AND(OR(Dashboard!$A$10="All",C99=Dashboard!$A$10),OR(Dashboard!$A$14="All",F99=Dashboard!$A$14),OR(Dashboard!$A$18="All",G99=Dashboard!$A$18),OR(Dashboard!$A$22="All",I99=Dashboard!$A$22))</f>
        <v>1</v>
      </c>
    </row>
    <row r="100" spans="1:16" ht="15.75" customHeight="1">
      <c r="A100" s="4" t="s">
        <v>267</v>
      </c>
      <c r="B100" s="6">
        <v>45851</v>
      </c>
      <c r="C100" s="4">
        <v>2025</v>
      </c>
      <c r="D100" s="4">
        <v>7</v>
      </c>
      <c r="E100" s="4" t="s">
        <v>63</v>
      </c>
      <c r="F100" s="4" t="s">
        <v>11</v>
      </c>
      <c r="G100" s="4" t="s">
        <v>6</v>
      </c>
      <c r="H100" s="4" t="s">
        <v>136</v>
      </c>
      <c r="I100" s="4" t="s">
        <v>7</v>
      </c>
      <c r="J100" s="4" t="s">
        <v>268</v>
      </c>
      <c r="K100" s="4">
        <v>3</v>
      </c>
      <c r="L100" s="5">
        <v>216.95</v>
      </c>
      <c r="M100" s="5">
        <v>650.85</v>
      </c>
      <c r="N100" s="5">
        <v>425.26</v>
      </c>
      <c r="O100" s="5">
        <v>225.59</v>
      </c>
      <c r="P100" s="4">
        <f>--AND(OR(Dashboard!$A$10="All",C100=Dashboard!$A$10),OR(Dashboard!$A$14="All",F100=Dashboard!$A$14),OR(Dashboard!$A$18="All",G100=Dashboard!$A$18),OR(Dashboard!$A$22="All",I100=Dashboard!$A$22))</f>
        <v>1</v>
      </c>
    </row>
    <row r="101" spans="1:16" ht="15.75" customHeight="1">
      <c r="A101" s="4" t="s">
        <v>269</v>
      </c>
      <c r="B101" s="6">
        <v>45820</v>
      </c>
      <c r="C101" s="4">
        <v>2025</v>
      </c>
      <c r="D101" s="4">
        <v>6</v>
      </c>
      <c r="E101" s="4" t="s">
        <v>34</v>
      </c>
      <c r="F101" s="4" t="s">
        <v>11</v>
      </c>
      <c r="G101" s="4" t="s">
        <v>6</v>
      </c>
      <c r="H101" s="4" t="s">
        <v>54</v>
      </c>
      <c r="I101" s="4" t="s">
        <v>10</v>
      </c>
      <c r="J101" s="4" t="s">
        <v>270</v>
      </c>
      <c r="K101" s="4">
        <v>3</v>
      </c>
      <c r="L101" s="5">
        <v>219.46</v>
      </c>
      <c r="M101" s="5">
        <v>658.38</v>
      </c>
      <c r="N101" s="5">
        <v>434.24</v>
      </c>
      <c r="O101" s="5">
        <v>224.14</v>
      </c>
      <c r="P101" s="4">
        <f>--AND(OR(Dashboard!$A$10="All",C101=Dashboard!$A$10),OR(Dashboard!$A$14="All",F101=Dashboard!$A$14),OR(Dashboard!$A$18="All",G101=Dashboard!$A$18),OR(Dashboard!$A$22="All",I101=Dashboard!$A$22))</f>
        <v>1</v>
      </c>
    </row>
    <row r="102" spans="1:16" ht="15.75" customHeight="1">
      <c r="A102" s="4" t="s">
        <v>271</v>
      </c>
      <c r="B102" s="6">
        <v>45524</v>
      </c>
      <c r="C102" s="4">
        <v>2024</v>
      </c>
      <c r="D102" s="4">
        <v>8</v>
      </c>
      <c r="E102" s="4" t="s">
        <v>67</v>
      </c>
      <c r="F102" s="4" t="s">
        <v>5</v>
      </c>
      <c r="G102" s="4" t="s">
        <v>6</v>
      </c>
      <c r="H102" s="4" t="s">
        <v>54</v>
      </c>
      <c r="I102" s="4" t="s">
        <v>7</v>
      </c>
      <c r="J102" s="4" t="s">
        <v>115</v>
      </c>
      <c r="K102" s="4">
        <v>5</v>
      </c>
      <c r="L102" s="5">
        <v>185.34</v>
      </c>
      <c r="M102" s="5">
        <v>926.7</v>
      </c>
      <c r="N102" s="5">
        <v>615.75</v>
      </c>
      <c r="O102" s="5">
        <v>310.95</v>
      </c>
      <c r="P102" s="4">
        <f>--AND(OR(Dashboard!$A$10="All",C102=Dashboard!$A$10),OR(Dashboard!$A$14="All",F102=Dashboard!$A$14),OR(Dashboard!$A$18="All",G102=Dashboard!$A$18),OR(Dashboard!$A$22="All",I102=Dashboard!$A$22))</f>
        <v>1</v>
      </c>
    </row>
    <row r="103" spans="1:16" ht="15.75" customHeight="1">
      <c r="A103" s="4" t="s">
        <v>272</v>
      </c>
      <c r="B103" s="6">
        <v>45580</v>
      </c>
      <c r="C103" s="4">
        <v>2024</v>
      </c>
      <c r="D103" s="4">
        <v>10</v>
      </c>
      <c r="E103" s="4" t="s">
        <v>120</v>
      </c>
      <c r="F103" s="4" t="s">
        <v>11</v>
      </c>
      <c r="G103" s="4" t="s">
        <v>12</v>
      </c>
      <c r="H103" s="4" t="s">
        <v>86</v>
      </c>
      <c r="I103" s="4" t="s">
        <v>13</v>
      </c>
      <c r="J103" s="4" t="s">
        <v>186</v>
      </c>
      <c r="K103" s="4">
        <v>7</v>
      </c>
      <c r="L103" s="5">
        <v>311.92</v>
      </c>
      <c r="M103" s="5">
        <v>2183.44</v>
      </c>
      <c r="N103" s="5">
        <v>1349.01</v>
      </c>
      <c r="O103" s="5">
        <v>834.43</v>
      </c>
      <c r="P103" s="4">
        <f>--AND(OR(Dashboard!$A$10="All",C103=Dashboard!$A$10),OR(Dashboard!$A$14="All",F103=Dashboard!$A$14),OR(Dashboard!$A$18="All",G103=Dashboard!$A$18),OR(Dashboard!$A$22="All",I103=Dashboard!$A$22))</f>
        <v>1</v>
      </c>
    </row>
    <row r="104" spans="1:16" ht="15.75" customHeight="1">
      <c r="A104" s="4" t="s">
        <v>273</v>
      </c>
      <c r="B104" s="6">
        <v>45645</v>
      </c>
      <c r="C104" s="4">
        <v>2024</v>
      </c>
      <c r="D104" s="4">
        <v>12</v>
      </c>
      <c r="E104" s="4" t="s">
        <v>57</v>
      </c>
      <c r="F104" s="4" t="s">
        <v>5</v>
      </c>
      <c r="G104" s="4" t="s">
        <v>9</v>
      </c>
      <c r="H104" s="4" t="s">
        <v>35</v>
      </c>
      <c r="I104" s="4" t="s">
        <v>7</v>
      </c>
      <c r="J104" s="4" t="s">
        <v>144</v>
      </c>
      <c r="K104" s="4">
        <v>4</v>
      </c>
      <c r="L104" s="5">
        <v>66.09</v>
      </c>
      <c r="M104" s="5">
        <v>264.36</v>
      </c>
      <c r="N104" s="5">
        <v>132.86000000000001</v>
      </c>
      <c r="O104" s="5">
        <v>131.5</v>
      </c>
      <c r="P104" s="4">
        <f>--AND(OR(Dashboard!$A$10="All",C104=Dashboard!$A$10),OR(Dashboard!$A$14="All",F104=Dashboard!$A$14),OR(Dashboard!$A$18="All",G104=Dashboard!$A$18),OR(Dashboard!$A$22="All",I104=Dashboard!$A$22))</f>
        <v>1</v>
      </c>
    </row>
    <row r="105" spans="1:16" ht="15.75" customHeight="1">
      <c r="A105" s="4" t="s">
        <v>274</v>
      </c>
      <c r="B105" s="6">
        <v>45688</v>
      </c>
      <c r="C105" s="4">
        <v>2025</v>
      </c>
      <c r="D105" s="4">
        <v>1</v>
      </c>
      <c r="E105" s="4" t="s">
        <v>30</v>
      </c>
      <c r="F105" s="4" t="s">
        <v>5</v>
      </c>
      <c r="G105" s="4" t="s">
        <v>12</v>
      </c>
      <c r="H105" s="4" t="s">
        <v>58</v>
      </c>
      <c r="I105" s="4" t="s">
        <v>10</v>
      </c>
      <c r="J105" s="4" t="s">
        <v>131</v>
      </c>
      <c r="K105" s="4">
        <v>2</v>
      </c>
      <c r="L105" s="5">
        <v>121.07</v>
      </c>
      <c r="M105" s="5">
        <v>242.14</v>
      </c>
      <c r="N105" s="5">
        <v>148.83000000000001</v>
      </c>
      <c r="O105" s="5">
        <v>93.31</v>
      </c>
      <c r="P105" s="4">
        <f>--AND(OR(Dashboard!$A$10="All",C105=Dashboard!$A$10),OR(Dashboard!$A$14="All",F105=Dashboard!$A$14),OR(Dashboard!$A$18="All",G105=Dashboard!$A$18),OR(Dashboard!$A$22="All",I105=Dashboard!$A$22))</f>
        <v>1</v>
      </c>
    </row>
    <row r="106" spans="1:16" ht="15.75" customHeight="1">
      <c r="A106" s="4" t="s">
        <v>275</v>
      </c>
      <c r="B106" s="6">
        <v>45480</v>
      </c>
      <c r="C106" s="4">
        <v>2024</v>
      </c>
      <c r="D106" s="4">
        <v>7</v>
      </c>
      <c r="E106" s="4" t="s">
        <v>63</v>
      </c>
      <c r="F106" s="4" t="s">
        <v>8</v>
      </c>
      <c r="G106" s="4" t="s">
        <v>6</v>
      </c>
      <c r="H106" s="4" t="s">
        <v>80</v>
      </c>
      <c r="I106" s="4" t="s">
        <v>13</v>
      </c>
      <c r="J106" s="4" t="s">
        <v>276</v>
      </c>
      <c r="K106" s="4">
        <v>4</v>
      </c>
      <c r="L106" s="5">
        <v>151.74</v>
      </c>
      <c r="M106" s="5">
        <v>606.96</v>
      </c>
      <c r="N106" s="5">
        <v>387.04</v>
      </c>
      <c r="O106" s="5">
        <v>219.92</v>
      </c>
      <c r="P106" s="4">
        <f>--AND(OR(Dashboard!$A$10="All",C106=Dashboard!$A$10),OR(Dashboard!$A$14="All",F106=Dashboard!$A$14),OR(Dashboard!$A$18="All",G106=Dashboard!$A$18),OR(Dashboard!$A$22="All",I106=Dashboard!$A$22))</f>
        <v>1</v>
      </c>
    </row>
    <row r="107" spans="1:16" ht="15.75" customHeight="1">
      <c r="A107" s="4" t="s">
        <v>277</v>
      </c>
      <c r="B107" s="6">
        <v>45827</v>
      </c>
      <c r="C107" s="4">
        <v>2025</v>
      </c>
      <c r="D107" s="4">
        <v>6</v>
      </c>
      <c r="E107" s="4" t="s">
        <v>34</v>
      </c>
      <c r="F107" s="4" t="s">
        <v>5</v>
      </c>
      <c r="G107" s="4" t="s">
        <v>6</v>
      </c>
      <c r="H107" s="4" t="s">
        <v>54</v>
      </c>
      <c r="I107" s="4" t="s">
        <v>7</v>
      </c>
      <c r="J107" s="4" t="s">
        <v>214</v>
      </c>
      <c r="K107" s="4">
        <v>6</v>
      </c>
      <c r="L107" s="5">
        <v>194.08</v>
      </c>
      <c r="M107" s="5">
        <v>1164.48</v>
      </c>
      <c r="N107" s="5">
        <v>756.78</v>
      </c>
      <c r="O107" s="5">
        <v>407.7</v>
      </c>
      <c r="P107" s="4">
        <f>--AND(OR(Dashboard!$A$10="All",C107=Dashboard!$A$10),OR(Dashboard!$A$14="All",F107=Dashboard!$A$14),OR(Dashboard!$A$18="All",G107=Dashboard!$A$18),OR(Dashboard!$A$22="All",I107=Dashboard!$A$22))</f>
        <v>1</v>
      </c>
    </row>
    <row r="108" spans="1:16" ht="15.75" customHeight="1">
      <c r="A108" s="4" t="s">
        <v>278</v>
      </c>
      <c r="B108" s="6">
        <v>45778</v>
      </c>
      <c r="C108" s="4">
        <v>2025</v>
      </c>
      <c r="D108" s="4">
        <v>5</v>
      </c>
      <c r="E108" s="4" t="s">
        <v>108</v>
      </c>
      <c r="F108" s="4" t="s">
        <v>11</v>
      </c>
      <c r="G108" s="4" t="s">
        <v>9</v>
      </c>
      <c r="H108" s="4" t="s">
        <v>142</v>
      </c>
      <c r="I108" s="4" t="s">
        <v>7</v>
      </c>
      <c r="J108" s="4" t="s">
        <v>164</v>
      </c>
      <c r="K108" s="4">
        <v>5</v>
      </c>
      <c r="L108" s="5">
        <v>33.47</v>
      </c>
      <c r="M108" s="5">
        <v>167.35</v>
      </c>
      <c r="N108" s="5">
        <v>85.06</v>
      </c>
      <c r="O108" s="5">
        <v>82.29</v>
      </c>
      <c r="P108" s="4">
        <f>--AND(OR(Dashboard!$A$10="All",C108=Dashboard!$A$10),OR(Dashboard!$A$14="All",F108=Dashboard!$A$14),OR(Dashboard!$A$18="All",G108=Dashboard!$A$18),OR(Dashboard!$A$22="All",I108=Dashboard!$A$22))</f>
        <v>1</v>
      </c>
    </row>
    <row r="109" spans="1:16" ht="15.75" customHeight="1">
      <c r="A109" s="4" t="s">
        <v>279</v>
      </c>
      <c r="B109" s="6">
        <v>45292</v>
      </c>
      <c r="C109" s="4">
        <v>2024</v>
      </c>
      <c r="D109" s="4">
        <v>1</v>
      </c>
      <c r="E109" s="4" t="s">
        <v>30</v>
      </c>
      <c r="F109" s="4" t="s">
        <v>5</v>
      </c>
      <c r="G109" s="4" t="s">
        <v>9</v>
      </c>
      <c r="H109" s="4" t="s">
        <v>110</v>
      </c>
      <c r="I109" s="4" t="s">
        <v>13</v>
      </c>
      <c r="J109" s="4" t="s">
        <v>280</v>
      </c>
      <c r="K109" s="4">
        <v>1</v>
      </c>
      <c r="L109" s="5">
        <v>44.1</v>
      </c>
      <c r="M109" s="5">
        <v>44.1</v>
      </c>
      <c r="N109" s="5">
        <v>21.52</v>
      </c>
      <c r="O109" s="5">
        <v>22.58</v>
      </c>
      <c r="P109" s="4">
        <f>--AND(OR(Dashboard!$A$10="All",C109=Dashboard!$A$10),OR(Dashboard!$A$14="All",F109=Dashboard!$A$14),OR(Dashboard!$A$18="All",G109=Dashboard!$A$18),OR(Dashboard!$A$22="All",I109=Dashboard!$A$22))</f>
        <v>1</v>
      </c>
    </row>
    <row r="110" spans="1:16" ht="15.75" customHeight="1">
      <c r="A110" s="4" t="s">
        <v>281</v>
      </c>
      <c r="B110" s="6">
        <v>45439</v>
      </c>
      <c r="C110" s="4">
        <v>2024</v>
      </c>
      <c r="D110" s="4">
        <v>5</v>
      </c>
      <c r="E110" s="4" t="s">
        <v>108</v>
      </c>
      <c r="F110" s="4" t="s">
        <v>5</v>
      </c>
      <c r="G110" s="4" t="s">
        <v>6</v>
      </c>
      <c r="H110" s="4" t="s">
        <v>136</v>
      </c>
      <c r="I110" s="4" t="s">
        <v>10</v>
      </c>
      <c r="J110" s="4" t="s">
        <v>193</v>
      </c>
      <c r="K110" s="4">
        <v>5</v>
      </c>
      <c r="L110" s="5">
        <v>213.27</v>
      </c>
      <c r="M110" s="5">
        <v>1066.3499999999999</v>
      </c>
      <c r="N110" s="5">
        <v>713.28</v>
      </c>
      <c r="O110" s="5">
        <v>353.07</v>
      </c>
      <c r="P110" s="4">
        <f>--AND(OR(Dashboard!$A$10="All",C110=Dashboard!$A$10),OR(Dashboard!$A$14="All",F110=Dashboard!$A$14),OR(Dashboard!$A$18="All",G110=Dashboard!$A$18),OR(Dashboard!$A$22="All",I110=Dashboard!$A$22))</f>
        <v>1</v>
      </c>
    </row>
    <row r="111" spans="1:16" ht="15.75" customHeight="1">
      <c r="A111" s="4" t="s">
        <v>282</v>
      </c>
      <c r="B111" s="6">
        <v>45499</v>
      </c>
      <c r="C111" s="4">
        <v>2024</v>
      </c>
      <c r="D111" s="4">
        <v>7</v>
      </c>
      <c r="E111" s="4" t="s">
        <v>63</v>
      </c>
      <c r="F111" s="4" t="s">
        <v>14</v>
      </c>
      <c r="G111" s="4" t="s">
        <v>9</v>
      </c>
      <c r="H111" s="4" t="s">
        <v>35</v>
      </c>
      <c r="I111" s="4" t="s">
        <v>7</v>
      </c>
      <c r="J111" s="4" t="s">
        <v>230</v>
      </c>
      <c r="K111" s="4">
        <v>1</v>
      </c>
      <c r="L111" s="5">
        <v>35.22</v>
      </c>
      <c r="M111" s="5">
        <v>35.22</v>
      </c>
      <c r="N111" s="5">
        <v>17.91</v>
      </c>
      <c r="O111" s="5">
        <v>17.309999999999999</v>
      </c>
      <c r="P111" s="4">
        <f>--AND(OR(Dashboard!$A$10="All",C111=Dashboard!$A$10),OR(Dashboard!$A$14="All",F111=Dashboard!$A$14),OR(Dashboard!$A$18="All",G111=Dashboard!$A$18),OR(Dashboard!$A$22="All",I111=Dashboard!$A$22))</f>
        <v>1</v>
      </c>
    </row>
    <row r="112" spans="1:16" ht="15.75" customHeight="1">
      <c r="A112" s="4" t="s">
        <v>283</v>
      </c>
      <c r="B112" s="6">
        <v>45597</v>
      </c>
      <c r="C112" s="4">
        <v>2024</v>
      </c>
      <c r="D112" s="4">
        <v>11</v>
      </c>
      <c r="E112" s="4" t="s">
        <v>89</v>
      </c>
      <c r="F112" s="4" t="s">
        <v>5</v>
      </c>
      <c r="G112" s="4" t="s">
        <v>9</v>
      </c>
      <c r="H112" s="4" t="s">
        <v>64</v>
      </c>
      <c r="I112" s="4" t="s">
        <v>13</v>
      </c>
      <c r="J112" s="4" t="s">
        <v>146</v>
      </c>
      <c r="K112" s="4">
        <v>5</v>
      </c>
      <c r="L112" s="5">
        <v>61.66</v>
      </c>
      <c r="M112" s="5">
        <v>308.3</v>
      </c>
      <c r="N112" s="5">
        <v>159.88999999999999</v>
      </c>
      <c r="O112" s="5">
        <v>148.41</v>
      </c>
      <c r="P112" s="4">
        <f>--AND(OR(Dashboard!$A$10="All",C112=Dashboard!$A$10),OR(Dashboard!$A$14="All",F112=Dashboard!$A$14),OR(Dashboard!$A$18="All",G112=Dashboard!$A$18),OR(Dashboard!$A$22="All",I112=Dashboard!$A$22))</f>
        <v>1</v>
      </c>
    </row>
    <row r="113" spans="1:16" ht="15.75" customHeight="1">
      <c r="A113" s="4" t="s">
        <v>284</v>
      </c>
      <c r="B113" s="6">
        <v>45565</v>
      </c>
      <c r="C113" s="4">
        <v>2024</v>
      </c>
      <c r="D113" s="4">
        <v>9</v>
      </c>
      <c r="E113" s="4" t="s">
        <v>79</v>
      </c>
      <c r="F113" s="4" t="s">
        <v>5</v>
      </c>
      <c r="G113" s="4" t="s">
        <v>9</v>
      </c>
      <c r="H113" s="4" t="s">
        <v>71</v>
      </c>
      <c r="I113" s="4" t="s">
        <v>7</v>
      </c>
      <c r="J113" s="4" t="s">
        <v>285</v>
      </c>
      <c r="K113" s="4">
        <v>3</v>
      </c>
      <c r="L113" s="5">
        <v>36.659999999999997</v>
      </c>
      <c r="M113" s="5">
        <v>109.98</v>
      </c>
      <c r="N113" s="5">
        <v>53.09</v>
      </c>
      <c r="O113" s="5">
        <v>56.89</v>
      </c>
      <c r="P113" s="4">
        <f>--AND(OR(Dashboard!$A$10="All",C113=Dashboard!$A$10),OR(Dashboard!$A$14="All",F113=Dashboard!$A$14),OR(Dashboard!$A$18="All",G113=Dashboard!$A$18),OR(Dashboard!$A$22="All",I113=Dashboard!$A$22))</f>
        <v>1</v>
      </c>
    </row>
    <row r="114" spans="1:16" ht="15.75" customHeight="1">
      <c r="A114" s="4" t="s">
        <v>286</v>
      </c>
      <c r="B114" s="6">
        <v>45912</v>
      </c>
      <c r="C114" s="4">
        <v>2025</v>
      </c>
      <c r="D114" s="4">
        <v>9</v>
      </c>
      <c r="E114" s="4" t="s">
        <v>79</v>
      </c>
      <c r="F114" s="4" t="s">
        <v>5</v>
      </c>
      <c r="G114" s="4" t="s">
        <v>6</v>
      </c>
      <c r="H114" s="4" t="s">
        <v>98</v>
      </c>
      <c r="I114" s="4" t="s">
        <v>7</v>
      </c>
      <c r="J114" s="4" t="s">
        <v>211</v>
      </c>
      <c r="K114" s="4">
        <v>6</v>
      </c>
      <c r="L114" s="5">
        <v>153.75</v>
      </c>
      <c r="M114" s="5">
        <v>922.5</v>
      </c>
      <c r="N114" s="5">
        <v>629.03</v>
      </c>
      <c r="O114" s="5">
        <v>293.47000000000003</v>
      </c>
      <c r="P114" s="4">
        <f>--AND(OR(Dashboard!$A$10="All",C114=Dashboard!$A$10),OR(Dashboard!$A$14="All",F114=Dashboard!$A$14),OR(Dashboard!$A$18="All",G114=Dashboard!$A$18),OR(Dashboard!$A$22="All",I114=Dashboard!$A$22))</f>
        <v>1</v>
      </c>
    </row>
    <row r="115" spans="1:16" ht="15.75" customHeight="1">
      <c r="A115" s="4" t="s">
        <v>287</v>
      </c>
      <c r="B115" s="6">
        <v>45738</v>
      </c>
      <c r="C115" s="4">
        <v>2025</v>
      </c>
      <c r="D115" s="4">
        <v>3</v>
      </c>
      <c r="E115" s="4" t="s">
        <v>100</v>
      </c>
      <c r="F115" s="4" t="s">
        <v>5</v>
      </c>
      <c r="G115" s="4" t="s">
        <v>12</v>
      </c>
      <c r="H115" s="4" t="s">
        <v>92</v>
      </c>
      <c r="I115" s="4" t="s">
        <v>7</v>
      </c>
      <c r="J115" s="4" t="s">
        <v>186</v>
      </c>
      <c r="K115" s="4">
        <v>1</v>
      </c>
      <c r="L115" s="5">
        <v>318.01</v>
      </c>
      <c r="M115" s="5">
        <v>318.01</v>
      </c>
      <c r="N115" s="5">
        <v>199.94</v>
      </c>
      <c r="O115" s="5">
        <v>118.07</v>
      </c>
      <c r="P115" s="4">
        <f>--AND(OR(Dashboard!$A$10="All",C115=Dashboard!$A$10),OR(Dashboard!$A$14="All",F115=Dashboard!$A$14),OR(Dashboard!$A$18="All",G115=Dashboard!$A$18),OR(Dashboard!$A$22="All",I115=Dashboard!$A$22))</f>
        <v>1</v>
      </c>
    </row>
    <row r="116" spans="1:16" ht="15.75" customHeight="1">
      <c r="A116" s="4" t="s">
        <v>288</v>
      </c>
      <c r="B116" s="6">
        <v>45618</v>
      </c>
      <c r="C116" s="4">
        <v>2024</v>
      </c>
      <c r="D116" s="4">
        <v>11</v>
      </c>
      <c r="E116" s="4" t="s">
        <v>89</v>
      </c>
      <c r="F116" s="4" t="s">
        <v>5</v>
      </c>
      <c r="G116" s="4" t="s">
        <v>6</v>
      </c>
      <c r="H116" s="4" t="s">
        <v>114</v>
      </c>
      <c r="I116" s="4" t="s">
        <v>13</v>
      </c>
      <c r="J116" s="4" t="s">
        <v>289</v>
      </c>
      <c r="K116" s="4">
        <v>2</v>
      </c>
      <c r="L116" s="5">
        <v>198.41</v>
      </c>
      <c r="M116" s="5">
        <v>396.82</v>
      </c>
      <c r="N116" s="5">
        <v>253.68</v>
      </c>
      <c r="O116" s="5">
        <v>143.13999999999999</v>
      </c>
      <c r="P116" s="4">
        <f>--AND(OR(Dashboard!$A$10="All",C116=Dashboard!$A$10),OR(Dashboard!$A$14="All",F116=Dashboard!$A$14),OR(Dashboard!$A$18="All",G116=Dashboard!$A$18),OR(Dashboard!$A$22="All",I116=Dashboard!$A$22))</f>
        <v>1</v>
      </c>
    </row>
    <row r="117" spans="1:16" ht="15.75" customHeight="1">
      <c r="A117" s="4" t="s">
        <v>290</v>
      </c>
      <c r="B117" s="6">
        <v>45634</v>
      </c>
      <c r="C117" s="4">
        <v>2024</v>
      </c>
      <c r="D117" s="4">
        <v>12</v>
      </c>
      <c r="E117" s="4" t="s">
        <v>57</v>
      </c>
      <c r="F117" s="4" t="s">
        <v>5</v>
      </c>
      <c r="G117" s="4" t="s">
        <v>12</v>
      </c>
      <c r="H117" s="4" t="s">
        <v>86</v>
      </c>
      <c r="I117" s="4" t="s">
        <v>7</v>
      </c>
      <c r="J117" s="4" t="s">
        <v>189</v>
      </c>
      <c r="K117" s="4">
        <v>2</v>
      </c>
      <c r="L117" s="5">
        <v>158.91</v>
      </c>
      <c r="M117" s="5">
        <v>317.82</v>
      </c>
      <c r="N117" s="5">
        <v>193.58</v>
      </c>
      <c r="O117" s="5">
        <v>124.24</v>
      </c>
      <c r="P117" s="4">
        <f>--AND(OR(Dashboard!$A$10="All",C117=Dashboard!$A$10),OR(Dashboard!$A$14="All",F117=Dashboard!$A$14),OR(Dashboard!$A$18="All",G117=Dashboard!$A$18),OR(Dashboard!$A$22="All",I117=Dashboard!$A$22))</f>
        <v>1</v>
      </c>
    </row>
    <row r="118" spans="1:16" ht="15.75" customHeight="1">
      <c r="A118" s="4" t="s">
        <v>291</v>
      </c>
      <c r="B118" s="6">
        <v>45909</v>
      </c>
      <c r="C118" s="4">
        <v>2025</v>
      </c>
      <c r="D118" s="4">
        <v>9</v>
      </c>
      <c r="E118" s="4" t="s">
        <v>79</v>
      </c>
      <c r="F118" s="4" t="s">
        <v>11</v>
      </c>
      <c r="G118" s="4" t="s">
        <v>12</v>
      </c>
      <c r="H118" s="4" t="s">
        <v>127</v>
      </c>
      <c r="I118" s="4" t="s">
        <v>7</v>
      </c>
      <c r="J118" s="4" t="s">
        <v>292</v>
      </c>
      <c r="K118" s="4">
        <v>5</v>
      </c>
      <c r="L118" s="5">
        <v>126.79</v>
      </c>
      <c r="M118" s="5">
        <v>633.95000000000005</v>
      </c>
      <c r="N118" s="5">
        <v>395</v>
      </c>
      <c r="O118" s="5">
        <v>238.95</v>
      </c>
      <c r="P118" s="4">
        <f>--AND(OR(Dashboard!$A$10="All",C118=Dashboard!$A$10),OR(Dashboard!$A$14="All",F118=Dashboard!$A$14),OR(Dashboard!$A$18="All",G118=Dashboard!$A$18),OR(Dashboard!$A$22="All",I118=Dashboard!$A$22))</f>
        <v>1</v>
      </c>
    </row>
    <row r="119" spans="1:16" ht="15.75" customHeight="1">
      <c r="A119" s="4" t="s">
        <v>293</v>
      </c>
      <c r="B119" s="6">
        <v>45871</v>
      </c>
      <c r="C119" s="4">
        <v>2025</v>
      </c>
      <c r="D119" s="4">
        <v>8</v>
      </c>
      <c r="E119" s="4" t="s">
        <v>67</v>
      </c>
      <c r="F119" s="4" t="s">
        <v>11</v>
      </c>
      <c r="G119" s="4" t="s">
        <v>12</v>
      </c>
      <c r="H119" s="4" t="s">
        <v>58</v>
      </c>
      <c r="I119" s="4" t="s">
        <v>7</v>
      </c>
      <c r="J119" s="4" t="s">
        <v>205</v>
      </c>
      <c r="K119" s="4">
        <v>2</v>
      </c>
      <c r="L119" s="5">
        <v>178.28</v>
      </c>
      <c r="M119" s="5">
        <v>356.56</v>
      </c>
      <c r="N119" s="5">
        <v>216.36</v>
      </c>
      <c r="O119" s="5">
        <v>140.19999999999999</v>
      </c>
      <c r="P119" s="4">
        <f>--AND(OR(Dashboard!$A$10="All",C119=Dashboard!$A$10),OR(Dashboard!$A$14="All",F119=Dashboard!$A$14),OR(Dashboard!$A$18="All",G119=Dashboard!$A$18),OR(Dashboard!$A$22="All",I119=Dashboard!$A$22))</f>
        <v>1</v>
      </c>
    </row>
    <row r="120" spans="1:16" ht="15.75" customHeight="1">
      <c r="A120" s="4" t="s">
        <v>294</v>
      </c>
      <c r="B120" s="6">
        <v>45825</v>
      </c>
      <c r="C120" s="4">
        <v>2025</v>
      </c>
      <c r="D120" s="4">
        <v>6</v>
      </c>
      <c r="E120" s="4" t="s">
        <v>34</v>
      </c>
      <c r="F120" s="4" t="s">
        <v>5</v>
      </c>
      <c r="G120" s="4" t="s">
        <v>9</v>
      </c>
      <c r="H120" s="4" t="s">
        <v>35</v>
      </c>
      <c r="I120" s="4" t="s">
        <v>7</v>
      </c>
      <c r="J120" s="4" t="s">
        <v>121</v>
      </c>
      <c r="K120" s="4">
        <v>4</v>
      </c>
      <c r="L120" s="5">
        <v>51.15</v>
      </c>
      <c r="M120" s="5">
        <v>204.6</v>
      </c>
      <c r="N120" s="5">
        <v>98.96</v>
      </c>
      <c r="O120" s="5">
        <v>105.64</v>
      </c>
      <c r="P120" s="4">
        <f>--AND(OR(Dashboard!$A$10="All",C120=Dashboard!$A$10),OR(Dashboard!$A$14="All",F120=Dashboard!$A$14),OR(Dashboard!$A$18="All",G120=Dashboard!$A$18),OR(Dashboard!$A$22="All",I120=Dashboard!$A$22))</f>
        <v>1</v>
      </c>
    </row>
    <row r="121" spans="1:16" ht="15.75" customHeight="1">
      <c r="A121" s="4" t="s">
        <v>295</v>
      </c>
      <c r="B121" s="6">
        <v>45292</v>
      </c>
      <c r="C121" s="4">
        <v>2024</v>
      </c>
      <c r="D121" s="4">
        <v>1</v>
      </c>
      <c r="E121" s="4" t="s">
        <v>30</v>
      </c>
      <c r="F121" s="4" t="s">
        <v>5</v>
      </c>
      <c r="G121" s="4" t="s">
        <v>9</v>
      </c>
      <c r="H121" s="4" t="s">
        <v>142</v>
      </c>
      <c r="I121" s="4" t="s">
        <v>10</v>
      </c>
      <c r="J121" s="4" t="s">
        <v>166</v>
      </c>
      <c r="K121" s="4">
        <v>10</v>
      </c>
      <c r="L121" s="5">
        <v>55.07</v>
      </c>
      <c r="M121" s="5">
        <v>550.70000000000005</v>
      </c>
      <c r="N121" s="5">
        <v>262.44</v>
      </c>
      <c r="O121" s="5">
        <v>288.26</v>
      </c>
      <c r="P121" s="4">
        <f>--AND(OR(Dashboard!$A$10="All",C121=Dashboard!$A$10),OR(Dashboard!$A$14="All",F121=Dashboard!$A$14),OR(Dashboard!$A$18="All",G121=Dashboard!$A$18),OR(Dashboard!$A$22="All",I121=Dashboard!$A$22))</f>
        <v>1</v>
      </c>
    </row>
    <row r="122" spans="1:16" ht="15.75" customHeight="1">
      <c r="A122" s="4" t="s">
        <v>296</v>
      </c>
      <c r="B122" s="6">
        <v>46003</v>
      </c>
      <c r="C122" s="4">
        <v>2025</v>
      </c>
      <c r="D122" s="4">
        <v>12</v>
      </c>
      <c r="E122" s="4" t="s">
        <v>57</v>
      </c>
      <c r="F122" s="4" t="s">
        <v>8</v>
      </c>
      <c r="G122" s="4" t="s">
        <v>9</v>
      </c>
      <c r="H122" s="4" t="s">
        <v>142</v>
      </c>
      <c r="I122" s="4" t="s">
        <v>13</v>
      </c>
      <c r="J122" s="4" t="s">
        <v>297</v>
      </c>
      <c r="K122" s="4">
        <v>6</v>
      </c>
      <c r="L122" s="5">
        <v>31.66</v>
      </c>
      <c r="M122" s="5">
        <v>189.96</v>
      </c>
      <c r="N122" s="5">
        <v>94.44</v>
      </c>
      <c r="O122" s="5">
        <v>95.52</v>
      </c>
      <c r="P122" s="4">
        <f>--AND(OR(Dashboard!$A$10="All",C122=Dashboard!$A$10),OR(Dashboard!$A$14="All",F122=Dashboard!$A$14),OR(Dashboard!$A$18="All",G122=Dashboard!$A$18),OR(Dashboard!$A$22="All",I122=Dashboard!$A$22))</f>
        <v>1</v>
      </c>
    </row>
    <row r="123" spans="1:16" ht="15.75" customHeight="1">
      <c r="A123" s="4" t="s">
        <v>298</v>
      </c>
      <c r="B123" s="6">
        <v>45372</v>
      </c>
      <c r="C123" s="4">
        <v>2024</v>
      </c>
      <c r="D123" s="4">
        <v>3</v>
      </c>
      <c r="E123" s="4" t="s">
        <v>100</v>
      </c>
      <c r="F123" s="4" t="s">
        <v>11</v>
      </c>
      <c r="G123" s="4" t="s">
        <v>12</v>
      </c>
      <c r="H123" s="4" t="s">
        <v>58</v>
      </c>
      <c r="I123" s="4" t="s">
        <v>7</v>
      </c>
      <c r="J123" s="4" t="s">
        <v>299</v>
      </c>
      <c r="K123" s="4">
        <v>1</v>
      </c>
      <c r="L123" s="5">
        <v>204.71</v>
      </c>
      <c r="M123" s="5">
        <v>204.71</v>
      </c>
      <c r="N123" s="5">
        <v>123.94</v>
      </c>
      <c r="O123" s="5">
        <v>80.77</v>
      </c>
      <c r="P123" s="4">
        <f>--AND(OR(Dashboard!$A$10="All",C123=Dashboard!$A$10),OR(Dashboard!$A$14="All",F123=Dashboard!$A$14),OR(Dashboard!$A$18="All",G123=Dashboard!$A$18),OR(Dashboard!$A$22="All",I123=Dashboard!$A$22))</f>
        <v>1</v>
      </c>
    </row>
    <row r="124" spans="1:16" ht="15.75" customHeight="1">
      <c r="A124" s="4" t="s">
        <v>300</v>
      </c>
      <c r="B124" s="6">
        <v>45958</v>
      </c>
      <c r="C124" s="4">
        <v>2025</v>
      </c>
      <c r="D124" s="4">
        <v>10</v>
      </c>
      <c r="E124" s="4" t="s">
        <v>120</v>
      </c>
      <c r="F124" s="4" t="s">
        <v>11</v>
      </c>
      <c r="G124" s="4" t="s">
        <v>6</v>
      </c>
      <c r="H124" s="4" t="s">
        <v>80</v>
      </c>
      <c r="I124" s="4" t="s">
        <v>10</v>
      </c>
      <c r="J124" s="4" t="s">
        <v>301</v>
      </c>
      <c r="K124" s="4">
        <v>1</v>
      </c>
      <c r="L124" s="5">
        <v>212.57</v>
      </c>
      <c r="M124" s="5">
        <v>212.57</v>
      </c>
      <c r="N124" s="5">
        <v>143.94</v>
      </c>
      <c r="O124" s="5">
        <v>68.63</v>
      </c>
      <c r="P124" s="4">
        <f>--AND(OR(Dashboard!$A$10="All",C124=Dashboard!$A$10),OR(Dashboard!$A$14="All",F124=Dashboard!$A$14),OR(Dashboard!$A$18="All",G124=Dashboard!$A$18),OR(Dashboard!$A$22="All",I124=Dashboard!$A$22))</f>
        <v>1</v>
      </c>
    </row>
    <row r="125" spans="1:16" ht="15.75" customHeight="1">
      <c r="A125" s="4" t="s">
        <v>302</v>
      </c>
      <c r="B125" s="6">
        <v>45390</v>
      </c>
      <c r="C125" s="4">
        <v>2024</v>
      </c>
      <c r="D125" s="4">
        <v>4</v>
      </c>
      <c r="E125" s="4" t="s">
        <v>106</v>
      </c>
      <c r="F125" s="4" t="s">
        <v>5</v>
      </c>
      <c r="G125" s="4" t="s">
        <v>9</v>
      </c>
      <c r="H125" s="4" t="s">
        <v>35</v>
      </c>
      <c r="I125" s="4" t="s">
        <v>10</v>
      </c>
      <c r="J125" s="4" t="s">
        <v>270</v>
      </c>
      <c r="K125" s="4">
        <v>1</v>
      </c>
      <c r="L125" s="5">
        <v>57</v>
      </c>
      <c r="M125" s="5">
        <v>57</v>
      </c>
      <c r="N125" s="5">
        <v>28.61</v>
      </c>
      <c r="O125" s="5">
        <v>28.39</v>
      </c>
      <c r="P125" s="4">
        <f>--AND(OR(Dashboard!$A$10="All",C125=Dashboard!$A$10),OR(Dashboard!$A$14="All",F125=Dashboard!$A$14),OR(Dashboard!$A$18="All",G125=Dashboard!$A$18),OR(Dashboard!$A$22="All",I125=Dashboard!$A$22))</f>
        <v>1</v>
      </c>
    </row>
    <row r="126" spans="1:16" ht="15.75" customHeight="1">
      <c r="A126" s="4" t="s">
        <v>303</v>
      </c>
      <c r="B126" s="6">
        <v>45604</v>
      </c>
      <c r="C126" s="4">
        <v>2024</v>
      </c>
      <c r="D126" s="4">
        <v>11</v>
      </c>
      <c r="E126" s="4" t="s">
        <v>89</v>
      </c>
      <c r="F126" s="4" t="s">
        <v>14</v>
      </c>
      <c r="G126" s="4" t="s">
        <v>6</v>
      </c>
      <c r="H126" s="4" t="s">
        <v>98</v>
      </c>
      <c r="I126" s="4" t="s">
        <v>7</v>
      </c>
      <c r="J126" s="4" t="s">
        <v>280</v>
      </c>
      <c r="K126" s="4">
        <v>1</v>
      </c>
      <c r="L126" s="5">
        <v>147.44</v>
      </c>
      <c r="M126" s="5">
        <v>147.44</v>
      </c>
      <c r="N126" s="5">
        <v>99.16</v>
      </c>
      <c r="O126" s="5">
        <v>48.28</v>
      </c>
      <c r="P126" s="4">
        <f>--AND(OR(Dashboard!$A$10="All",C126=Dashboard!$A$10),OR(Dashboard!$A$14="All",F126=Dashboard!$A$14),OR(Dashboard!$A$18="All",G126=Dashboard!$A$18),OR(Dashboard!$A$22="All",I126=Dashboard!$A$22))</f>
        <v>1</v>
      </c>
    </row>
    <row r="127" spans="1:16" ht="15.75" customHeight="1">
      <c r="A127" s="4" t="s">
        <v>304</v>
      </c>
      <c r="B127" s="6">
        <v>45589</v>
      </c>
      <c r="C127" s="4">
        <v>2024</v>
      </c>
      <c r="D127" s="4">
        <v>10</v>
      </c>
      <c r="E127" s="4" t="s">
        <v>120</v>
      </c>
      <c r="F127" s="4" t="s">
        <v>8</v>
      </c>
      <c r="G127" s="4" t="s">
        <v>12</v>
      </c>
      <c r="H127" s="4" t="s">
        <v>86</v>
      </c>
      <c r="I127" s="4" t="s">
        <v>7</v>
      </c>
      <c r="J127" s="4" t="s">
        <v>205</v>
      </c>
      <c r="K127" s="4">
        <v>5</v>
      </c>
      <c r="L127" s="5">
        <v>242.02</v>
      </c>
      <c r="M127" s="5">
        <v>1210.0999999999999</v>
      </c>
      <c r="N127" s="5">
        <v>692.42</v>
      </c>
      <c r="O127" s="5">
        <v>517.67999999999995</v>
      </c>
      <c r="P127" s="4">
        <f>--AND(OR(Dashboard!$A$10="All",C127=Dashboard!$A$10),OR(Dashboard!$A$14="All",F127=Dashboard!$A$14),OR(Dashboard!$A$18="All",G127=Dashboard!$A$18),OR(Dashboard!$A$22="All",I127=Dashboard!$A$22))</f>
        <v>1</v>
      </c>
    </row>
    <row r="128" spans="1:16" ht="15.75" customHeight="1">
      <c r="A128" s="4" t="s">
        <v>305</v>
      </c>
      <c r="B128" s="6">
        <v>45783</v>
      </c>
      <c r="C128" s="4">
        <v>2025</v>
      </c>
      <c r="D128" s="4">
        <v>5</v>
      </c>
      <c r="E128" s="4" t="s">
        <v>108</v>
      </c>
      <c r="F128" s="4" t="s">
        <v>5</v>
      </c>
      <c r="G128" s="4" t="s">
        <v>9</v>
      </c>
      <c r="H128" s="4" t="s">
        <v>142</v>
      </c>
      <c r="I128" s="4" t="s">
        <v>13</v>
      </c>
      <c r="J128" s="4" t="s">
        <v>249</v>
      </c>
      <c r="K128" s="4">
        <v>2</v>
      </c>
      <c r="L128" s="5">
        <v>29.38</v>
      </c>
      <c r="M128" s="5">
        <v>58.76</v>
      </c>
      <c r="N128" s="5">
        <v>29.53</v>
      </c>
      <c r="O128" s="5">
        <v>29.23</v>
      </c>
      <c r="P128" s="4">
        <f>--AND(OR(Dashboard!$A$10="All",C128=Dashboard!$A$10),OR(Dashboard!$A$14="All",F128=Dashboard!$A$14),OR(Dashboard!$A$18="All",G128=Dashboard!$A$18),OR(Dashboard!$A$22="All",I128=Dashboard!$A$22))</f>
        <v>1</v>
      </c>
    </row>
    <row r="129" spans="1:16" ht="15.75" customHeight="1">
      <c r="A129" s="4" t="s">
        <v>306</v>
      </c>
      <c r="B129" s="6">
        <v>45308</v>
      </c>
      <c r="C129" s="4">
        <v>2024</v>
      </c>
      <c r="D129" s="4">
        <v>1</v>
      </c>
      <c r="E129" s="4" t="s">
        <v>30</v>
      </c>
      <c r="F129" s="4" t="s">
        <v>11</v>
      </c>
      <c r="G129" s="4" t="s">
        <v>12</v>
      </c>
      <c r="H129" s="4" t="s">
        <v>92</v>
      </c>
      <c r="I129" s="4" t="s">
        <v>10</v>
      </c>
      <c r="J129" s="4" t="s">
        <v>193</v>
      </c>
      <c r="K129" s="4">
        <v>2</v>
      </c>
      <c r="L129" s="5">
        <v>132.63</v>
      </c>
      <c r="M129" s="5">
        <v>265.26</v>
      </c>
      <c r="N129" s="5">
        <v>156.78</v>
      </c>
      <c r="O129" s="5">
        <v>108.48</v>
      </c>
      <c r="P129" s="4">
        <f>--AND(OR(Dashboard!$A$10="All",C129=Dashboard!$A$10),OR(Dashboard!$A$14="All",F129=Dashboard!$A$14),OR(Dashboard!$A$18="All",G129=Dashboard!$A$18),OR(Dashboard!$A$22="All",I129=Dashboard!$A$22))</f>
        <v>1</v>
      </c>
    </row>
    <row r="130" spans="1:16" ht="15.75" customHeight="1">
      <c r="A130" s="4" t="s">
        <v>307</v>
      </c>
      <c r="B130" s="6">
        <v>45438</v>
      </c>
      <c r="C130" s="4">
        <v>2024</v>
      </c>
      <c r="D130" s="4">
        <v>5</v>
      </c>
      <c r="E130" s="4" t="s">
        <v>108</v>
      </c>
      <c r="F130" s="4" t="s">
        <v>8</v>
      </c>
      <c r="G130" s="4" t="s">
        <v>6</v>
      </c>
      <c r="H130" s="4" t="s">
        <v>98</v>
      </c>
      <c r="I130" s="4" t="s">
        <v>13</v>
      </c>
      <c r="J130" s="4" t="s">
        <v>297</v>
      </c>
      <c r="K130" s="4">
        <v>5</v>
      </c>
      <c r="L130" s="5">
        <v>92.89</v>
      </c>
      <c r="M130" s="5">
        <v>464.45</v>
      </c>
      <c r="N130" s="5">
        <v>304.89999999999998</v>
      </c>
      <c r="O130" s="5">
        <v>159.55000000000001</v>
      </c>
      <c r="P130" s="4">
        <f>--AND(OR(Dashboard!$A$10="All",C130=Dashboard!$A$10),OR(Dashboard!$A$14="All",F130=Dashboard!$A$14),OR(Dashboard!$A$18="All",G130=Dashboard!$A$18),OR(Dashboard!$A$22="All",I130=Dashboard!$A$22))</f>
        <v>1</v>
      </c>
    </row>
    <row r="131" spans="1:16" ht="15.75" customHeight="1">
      <c r="A131" s="4" t="s">
        <v>308</v>
      </c>
      <c r="B131" s="6">
        <v>45455</v>
      </c>
      <c r="C131" s="4">
        <v>2024</v>
      </c>
      <c r="D131" s="4">
        <v>6</v>
      </c>
      <c r="E131" s="4" t="s">
        <v>34</v>
      </c>
      <c r="F131" s="4" t="s">
        <v>5</v>
      </c>
      <c r="G131" s="4" t="s">
        <v>9</v>
      </c>
      <c r="H131" s="4" t="s">
        <v>142</v>
      </c>
      <c r="I131" s="4" t="s">
        <v>7</v>
      </c>
      <c r="J131" s="4" t="s">
        <v>280</v>
      </c>
      <c r="K131" s="4">
        <v>2</v>
      </c>
      <c r="L131" s="5">
        <v>34.94</v>
      </c>
      <c r="M131" s="5">
        <v>69.88</v>
      </c>
      <c r="N131" s="5">
        <v>36.18</v>
      </c>
      <c r="O131" s="5">
        <v>33.700000000000003</v>
      </c>
      <c r="P131" s="4">
        <f>--AND(OR(Dashboard!$A$10="All",C131=Dashboard!$A$10),OR(Dashboard!$A$14="All",F131=Dashboard!$A$14),OR(Dashboard!$A$18="All",G131=Dashboard!$A$18),OR(Dashboard!$A$22="All",I131=Dashboard!$A$22))</f>
        <v>1</v>
      </c>
    </row>
    <row r="132" spans="1:16" ht="15.75" customHeight="1">
      <c r="A132" s="4" t="s">
        <v>309</v>
      </c>
      <c r="B132" s="6">
        <v>45511</v>
      </c>
      <c r="C132" s="4">
        <v>2024</v>
      </c>
      <c r="D132" s="4">
        <v>8</v>
      </c>
      <c r="E132" s="4" t="s">
        <v>67</v>
      </c>
      <c r="F132" s="4" t="s">
        <v>5</v>
      </c>
      <c r="G132" s="4" t="s">
        <v>12</v>
      </c>
      <c r="H132" s="4" t="s">
        <v>127</v>
      </c>
      <c r="I132" s="4" t="s">
        <v>7</v>
      </c>
      <c r="J132" s="4" t="s">
        <v>249</v>
      </c>
      <c r="K132" s="4">
        <v>2</v>
      </c>
      <c r="L132" s="5">
        <v>123.76</v>
      </c>
      <c r="M132" s="5">
        <v>247.52</v>
      </c>
      <c r="N132" s="5">
        <v>145.65</v>
      </c>
      <c r="O132" s="5">
        <v>101.87</v>
      </c>
      <c r="P132" s="4">
        <f>--AND(OR(Dashboard!$A$10="All",C132=Dashboard!$A$10),OR(Dashboard!$A$14="All",F132=Dashboard!$A$14),OR(Dashboard!$A$18="All",G132=Dashboard!$A$18),OR(Dashboard!$A$22="All",I132=Dashboard!$A$22))</f>
        <v>1</v>
      </c>
    </row>
    <row r="133" spans="1:16" ht="15.75" customHeight="1">
      <c r="A133" s="4" t="s">
        <v>310</v>
      </c>
      <c r="B133" s="6">
        <v>45446</v>
      </c>
      <c r="C133" s="4">
        <v>2024</v>
      </c>
      <c r="D133" s="4">
        <v>6</v>
      </c>
      <c r="E133" s="4" t="s">
        <v>34</v>
      </c>
      <c r="F133" s="4" t="s">
        <v>5</v>
      </c>
      <c r="G133" s="4" t="s">
        <v>9</v>
      </c>
      <c r="H133" s="4" t="s">
        <v>142</v>
      </c>
      <c r="I133" s="4" t="s">
        <v>10</v>
      </c>
      <c r="J133" s="4" t="s">
        <v>311</v>
      </c>
      <c r="K133" s="4">
        <v>2</v>
      </c>
      <c r="L133" s="5">
        <v>31.26</v>
      </c>
      <c r="M133" s="5">
        <v>62.52</v>
      </c>
      <c r="N133" s="5">
        <v>31.63</v>
      </c>
      <c r="O133" s="5">
        <v>30.89</v>
      </c>
      <c r="P133" s="4">
        <f>--AND(OR(Dashboard!$A$10="All",C133=Dashboard!$A$10),OR(Dashboard!$A$14="All",F133=Dashboard!$A$14),OR(Dashboard!$A$18="All",G133=Dashboard!$A$18),OR(Dashboard!$A$22="All",I133=Dashboard!$A$22))</f>
        <v>1</v>
      </c>
    </row>
    <row r="134" spans="1:16" ht="15.75" customHeight="1">
      <c r="A134" s="4" t="s">
        <v>312</v>
      </c>
      <c r="B134" s="6">
        <v>45740</v>
      </c>
      <c r="C134" s="4">
        <v>2025</v>
      </c>
      <c r="D134" s="4">
        <v>3</v>
      </c>
      <c r="E134" s="4" t="s">
        <v>100</v>
      </c>
      <c r="F134" s="4" t="s">
        <v>8</v>
      </c>
      <c r="G134" s="4" t="s">
        <v>12</v>
      </c>
      <c r="H134" s="4" t="s">
        <v>92</v>
      </c>
      <c r="I134" s="4" t="s">
        <v>7</v>
      </c>
      <c r="J134" s="4" t="s">
        <v>297</v>
      </c>
      <c r="K134" s="4">
        <v>8</v>
      </c>
      <c r="L134" s="5">
        <v>268.73</v>
      </c>
      <c r="M134" s="5">
        <v>2149.84</v>
      </c>
      <c r="N134" s="5">
        <v>1241.44</v>
      </c>
      <c r="O134" s="5">
        <v>908.4</v>
      </c>
      <c r="P134" s="4">
        <f>--AND(OR(Dashboard!$A$10="All",C134=Dashboard!$A$10),OR(Dashboard!$A$14="All",F134=Dashboard!$A$14),OR(Dashboard!$A$18="All",G134=Dashboard!$A$18),OR(Dashboard!$A$22="All",I134=Dashboard!$A$22))</f>
        <v>1</v>
      </c>
    </row>
    <row r="135" spans="1:16" ht="15.75" customHeight="1">
      <c r="A135" s="4" t="s">
        <v>313</v>
      </c>
      <c r="B135" s="6">
        <v>45600</v>
      </c>
      <c r="C135" s="4">
        <v>2024</v>
      </c>
      <c r="D135" s="4">
        <v>11</v>
      </c>
      <c r="E135" s="4" t="s">
        <v>89</v>
      </c>
      <c r="F135" s="4" t="s">
        <v>8</v>
      </c>
      <c r="G135" s="4" t="s">
        <v>9</v>
      </c>
      <c r="H135" s="4" t="s">
        <v>64</v>
      </c>
      <c r="I135" s="4" t="s">
        <v>7</v>
      </c>
      <c r="J135" s="4" t="s">
        <v>314</v>
      </c>
      <c r="K135" s="4">
        <v>5</v>
      </c>
      <c r="L135" s="5">
        <v>32.93</v>
      </c>
      <c r="M135" s="5">
        <v>164.65</v>
      </c>
      <c r="N135" s="5">
        <v>83.48</v>
      </c>
      <c r="O135" s="5">
        <v>81.17</v>
      </c>
      <c r="P135" s="4">
        <f>--AND(OR(Dashboard!$A$10="All",C135=Dashboard!$A$10),OR(Dashboard!$A$14="All",F135=Dashboard!$A$14),OR(Dashboard!$A$18="All",G135=Dashboard!$A$18),OR(Dashboard!$A$22="All",I135=Dashboard!$A$22))</f>
        <v>1</v>
      </c>
    </row>
    <row r="136" spans="1:16" ht="15.75" customHeight="1">
      <c r="A136" s="4" t="s">
        <v>315</v>
      </c>
      <c r="B136" s="6">
        <v>45637</v>
      </c>
      <c r="C136" s="4">
        <v>2024</v>
      </c>
      <c r="D136" s="4">
        <v>12</v>
      </c>
      <c r="E136" s="4" t="s">
        <v>57</v>
      </c>
      <c r="F136" s="4" t="s">
        <v>14</v>
      </c>
      <c r="G136" s="4" t="s">
        <v>9</v>
      </c>
      <c r="H136" s="4" t="s">
        <v>142</v>
      </c>
      <c r="I136" s="4" t="s">
        <v>7</v>
      </c>
      <c r="J136" s="4" t="s">
        <v>164</v>
      </c>
      <c r="K136" s="4">
        <v>2</v>
      </c>
      <c r="L136" s="5">
        <v>45.35</v>
      </c>
      <c r="M136" s="5">
        <v>90.7</v>
      </c>
      <c r="N136" s="5">
        <v>47.59</v>
      </c>
      <c r="O136" s="5">
        <v>43.11</v>
      </c>
      <c r="P136" s="4">
        <f>--AND(OR(Dashboard!$A$10="All",C136=Dashboard!$A$10),OR(Dashboard!$A$14="All",F136=Dashboard!$A$14),OR(Dashboard!$A$18="All",G136=Dashboard!$A$18),OR(Dashboard!$A$22="All",I136=Dashboard!$A$22))</f>
        <v>1</v>
      </c>
    </row>
    <row r="137" spans="1:16" ht="15.75" customHeight="1">
      <c r="A137" s="4" t="s">
        <v>316</v>
      </c>
      <c r="B137" s="6">
        <v>45599</v>
      </c>
      <c r="C137" s="4">
        <v>2024</v>
      </c>
      <c r="D137" s="4">
        <v>11</v>
      </c>
      <c r="E137" s="4" t="s">
        <v>89</v>
      </c>
      <c r="F137" s="4" t="s">
        <v>11</v>
      </c>
      <c r="G137" s="4" t="s">
        <v>12</v>
      </c>
      <c r="H137" s="4" t="s">
        <v>58</v>
      </c>
      <c r="I137" s="4" t="s">
        <v>7</v>
      </c>
      <c r="J137" s="4" t="s">
        <v>317</v>
      </c>
      <c r="K137" s="4">
        <v>6</v>
      </c>
      <c r="L137" s="5">
        <v>298.68</v>
      </c>
      <c r="M137" s="5">
        <v>1792.08</v>
      </c>
      <c r="N137" s="5">
        <v>1070.5</v>
      </c>
      <c r="O137" s="5">
        <v>721.58</v>
      </c>
      <c r="P137" s="4">
        <f>--AND(OR(Dashboard!$A$10="All",C137=Dashboard!$A$10),OR(Dashboard!$A$14="All",F137=Dashboard!$A$14),OR(Dashboard!$A$18="All",G137=Dashboard!$A$18),OR(Dashboard!$A$22="All",I137=Dashboard!$A$22))</f>
        <v>1</v>
      </c>
    </row>
    <row r="138" spans="1:16" ht="15.75" customHeight="1">
      <c r="A138" s="4" t="s">
        <v>318</v>
      </c>
      <c r="B138" s="6">
        <v>45739</v>
      </c>
      <c r="C138" s="4">
        <v>2025</v>
      </c>
      <c r="D138" s="4">
        <v>3</v>
      </c>
      <c r="E138" s="4" t="s">
        <v>100</v>
      </c>
      <c r="F138" s="4" t="s">
        <v>5</v>
      </c>
      <c r="G138" s="4" t="s">
        <v>6</v>
      </c>
      <c r="H138" s="4" t="s">
        <v>80</v>
      </c>
      <c r="I138" s="4" t="s">
        <v>7</v>
      </c>
      <c r="J138" s="4" t="s">
        <v>319</v>
      </c>
      <c r="K138" s="4">
        <v>3</v>
      </c>
      <c r="L138" s="5">
        <v>141.38999999999999</v>
      </c>
      <c r="M138" s="5">
        <v>424.17</v>
      </c>
      <c r="N138" s="5">
        <v>269.73</v>
      </c>
      <c r="O138" s="5">
        <v>154.44</v>
      </c>
      <c r="P138" s="4">
        <f>--AND(OR(Dashboard!$A$10="All",C138=Dashboard!$A$10),OR(Dashboard!$A$14="All",F138=Dashboard!$A$14),OR(Dashboard!$A$18="All",G138=Dashboard!$A$18),OR(Dashboard!$A$22="All",I138=Dashboard!$A$22))</f>
        <v>1</v>
      </c>
    </row>
    <row r="139" spans="1:16" ht="15.75" customHeight="1">
      <c r="A139" s="4" t="s">
        <v>320</v>
      </c>
      <c r="B139" s="6">
        <v>45435</v>
      </c>
      <c r="C139" s="4">
        <v>2024</v>
      </c>
      <c r="D139" s="4">
        <v>5</v>
      </c>
      <c r="E139" s="4" t="s">
        <v>108</v>
      </c>
      <c r="F139" s="4" t="s">
        <v>11</v>
      </c>
      <c r="G139" s="4" t="s">
        <v>6</v>
      </c>
      <c r="H139" s="4" t="s">
        <v>136</v>
      </c>
      <c r="I139" s="4" t="s">
        <v>13</v>
      </c>
      <c r="J139" s="4" t="s">
        <v>321</v>
      </c>
      <c r="K139" s="4">
        <v>2</v>
      </c>
      <c r="L139" s="5">
        <v>159.69999999999999</v>
      </c>
      <c r="M139" s="5">
        <v>319.39999999999998</v>
      </c>
      <c r="N139" s="5">
        <v>218.35</v>
      </c>
      <c r="O139" s="5">
        <v>101.05</v>
      </c>
      <c r="P139" s="4">
        <f>--AND(OR(Dashboard!$A$10="All",C139=Dashboard!$A$10),OR(Dashboard!$A$14="All",F139=Dashboard!$A$14),OR(Dashboard!$A$18="All",G139=Dashboard!$A$18),OR(Dashboard!$A$22="All",I139=Dashboard!$A$22))</f>
        <v>1</v>
      </c>
    </row>
    <row r="140" spans="1:16" ht="15.75" customHeight="1">
      <c r="A140" s="4" t="s">
        <v>322</v>
      </c>
      <c r="B140" s="6">
        <v>45322</v>
      </c>
      <c r="C140" s="4">
        <v>2024</v>
      </c>
      <c r="D140" s="4">
        <v>1</v>
      </c>
      <c r="E140" s="4" t="s">
        <v>30</v>
      </c>
      <c r="F140" s="4" t="s">
        <v>11</v>
      </c>
      <c r="G140" s="4" t="s">
        <v>6</v>
      </c>
      <c r="H140" s="4" t="s">
        <v>136</v>
      </c>
      <c r="I140" s="4" t="s">
        <v>7</v>
      </c>
      <c r="J140" s="4" t="s">
        <v>55</v>
      </c>
      <c r="K140" s="4">
        <v>9</v>
      </c>
      <c r="L140" s="5">
        <v>128.86000000000001</v>
      </c>
      <c r="M140" s="5">
        <v>1159.74</v>
      </c>
      <c r="N140" s="5">
        <v>754.64</v>
      </c>
      <c r="O140" s="5">
        <v>405.1</v>
      </c>
      <c r="P140" s="4">
        <f>--AND(OR(Dashboard!$A$10="All",C140=Dashboard!$A$10),OR(Dashboard!$A$14="All",F140=Dashboard!$A$14),OR(Dashboard!$A$18="All",G140=Dashboard!$A$18),OR(Dashboard!$A$22="All",I140=Dashboard!$A$22))</f>
        <v>1</v>
      </c>
    </row>
    <row r="141" spans="1:16" ht="15.75" customHeight="1">
      <c r="A141" s="4" t="s">
        <v>323</v>
      </c>
      <c r="B141" s="6">
        <v>45804</v>
      </c>
      <c r="C141" s="4">
        <v>2025</v>
      </c>
      <c r="D141" s="4">
        <v>5</v>
      </c>
      <c r="E141" s="4" t="s">
        <v>108</v>
      </c>
      <c r="F141" s="4" t="s">
        <v>8</v>
      </c>
      <c r="G141" s="4" t="s">
        <v>12</v>
      </c>
      <c r="H141" s="4" t="s">
        <v>58</v>
      </c>
      <c r="I141" s="4" t="s">
        <v>7</v>
      </c>
      <c r="J141" s="4" t="s">
        <v>317</v>
      </c>
      <c r="K141" s="4">
        <v>2</v>
      </c>
      <c r="L141" s="5">
        <v>194.43</v>
      </c>
      <c r="M141" s="5">
        <v>388.86</v>
      </c>
      <c r="N141" s="5">
        <v>221.85</v>
      </c>
      <c r="O141" s="5">
        <v>167.01</v>
      </c>
      <c r="P141" s="4">
        <f>--AND(OR(Dashboard!$A$10="All",C141=Dashboard!$A$10),OR(Dashboard!$A$14="All",F141=Dashboard!$A$14),OR(Dashboard!$A$18="All",G141=Dashboard!$A$18),OR(Dashboard!$A$22="All",I141=Dashboard!$A$22))</f>
        <v>1</v>
      </c>
    </row>
    <row r="142" spans="1:16" ht="15.75" customHeight="1">
      <c r="A142" s="4" t="s">
        <v>324</v>
      </c>
      <c r="B142" s="6">
        <v>45301</v>
      </c>
      <c r="C142" s="4">
        <v>2024</v>
      </c>
      <c r="D142" s="4">
        <v>1</v>
      </c>
      <c r="E142" s="4" t="s">
        <v>30</v>
      </c>
      <c r="F142" s="4" t="s">
        <v>8</v>
      </c>
      <c r="G142" s="4" t="s">
        <v>6</v>
      </c>
      <c r="H142" s="4" t="s">
        <v>114</v>
      </c>
      <c r="I142" s="4" t="s">
        <v>10</v>
      </c>
      <c r="J142" s="4" t="s">
        <v>181</v>
      </c>
      <c r="K142" s="4">
        <v>2</v>
      </c>
      <c r="L142" s="5">
        <v>185.87</v>
      </c>
      <c r="M142" s="5">
        <v>371.74</v>
      </c>
      <c r="N142" s="5">
        <v>255.83</v>
      </c>
      <c r="O142" s="5">
        <v>115.91</v>
      </c>
      <c r="P142" s="4">
        <f>--AND(OR(Dashboard!$A$10="All",C142=Dashboard!$A$10),OR(Dashboard!$A$14="All",F142=Dashboard!$A$14),OR(Dashboard!$A$18="All",G142=Dashboard!$A$18),OR(Dashboard!$A$22="All",I142=Dashboard!$A$22))</f>
        <v>1</v>
      </c>
    </row>
    <row r="143" spans="1:16" ht="15.75" customHeight="1">
      <c r="A143" s="4" t="s">
        <v>325</v>
      </c>
      <c r="B143" s="6">
        <v>45542</v>
      </c>
      <c r="C143" s="4">
        <v>2024</v>
      </c>
      <c r="D143" s="4">
        <v>9</v>
      </c>
      <c r="E143" s="4" t="s">
        <v>79</v>
      </c>
      <c r="F143" s="4" t="s">
        <v>11</v>
      </c>
      <c r="G143" s="4" t="s">
        <v>12</v>
      </c>
      <c r="H143" s="4" t="s">
        <v>86</v>
      </c>
      <c r="I143" s="4" t="s">
        <v>7</v>
      </c>
      <c r="J143" s="4" t="s">
        <v>326</v>
      </c>
      <c r="K143" s="4">
        <v>3</v>
      </c>
      <c r="L143" s="5">
        <v>191.96</v>
      </c>
      <c r="M143" s="5">
        <v>575.88</v>
      </c>
      <c r="N143" s="5">
        <v>349.07</v>
      </c>
      <c r="O143" s="5">
        <v>226.81</v>
      </c>
      <c r="P143" s="4">
        <f>--AND(OR(Dashboard!$A$10="All",C143=Dashboard!$A$10),OR(Dashboard!$A$14="All",F143=Dashboard!$A$14),OR(Dashboard!$A$18="All",G143=Dashboard!$A$18),OR(Dashboard!$A$22="All",I143=Dashboard!$A$22))</f>
        <v>1</v>
      </c>
    </row>
    <row r="144" spans="1:16" ht="15.75" customHeight="1">
      <c r="A144" s="4" t="s">
        <v>327</v>
      </c>
      <c r="B144" s="6">
        <v>46003</v>
      </c>
      <c r="C144" s="4">
        <v>2025</v>
      </c>
      <c r="D144" s="4">
        <v>12</v>
      </c>
      <c r="E144" s="4" t="s">
        <v>57</v>
      </c>
      <c r="F144" s="4" t="s">
        <v>5</v>
      </c>
      <c r="G144" s="4" t="s">
        <v>9</v>
      </c>
      <c r="H144" s="4" t="s">
        <v>142</v>
      </c>
      <c r="I144" s="4" t="s">
        <v>10</v>
      </c>
      <c r="J144" s="4" t="s">
        <v>207</v>
      </c>
      <c r="K144" s="4">
        <v>2</v>
      </c>
      <c r="L144" s="5">
        <v>37.07</v>
      </c>
      <c r="M144" s="5">
        <v>74.14</v>
      </c>
      <c r="N144" s="5">
        <v>38.6</v>
      </c>
      <c r="O144" s="5">
        <v>35.54</v>
      </c>
      <c r="P144" s="4">
        <f>--AND(OR(Dashboard!$A$10="All",C144=Dashboard!$A$10),OR(Dashboard!$A$14="All",F144=Dashboard!$A$14),OR(Dashboard!$A$18="All",G144=Dashboard!$A$18),OR(Dashboard!$A$22="All",I144=Dashboard!$A$22))</f>
        <v>1</v>
      </c>
    </row>
    <row r="145" spans="1:16" ht="15.75" customHeight="1">
      <c r="A145" s="4" t="s">
        <v>328</v>
      </c>
      <c r="B145" s="6">
        <v>45770</v>
      </c>
      <c r="C145" s="4">
        <v>2025</v>
      </c>
      <c r="D145" s="4">
        <v>4</v>
      </c>
      <c r="E145" s="4" t="s">
        <v>106</v>
      </c>
      <c r="F145" s="4" t="s">
        <v>8</v>
      </c>
      <c r="G145" s="4" t="s">
        <v>9</v>
      </c>
      <c r="H145" s="4" t="s">
        <v>64</v>
      </c>
      <c r="I145" s="4" t="s">
        <v>7</v>
      </c>
      <c r="J145" s="4" t="s">
        <v>115</v>
      </c>
      <c r="K145" s="4">
        <v>3</v>
      </c>
      <c r="L145" s="5">
        <v>51.97</v>
      </c>
      <c r="M145" s="5">
        <v>155.91</v>
      </c>
      <c r="N145" s="5">
        <v>81.44</v>
      </c>
      <c r="O145" s="5">
        <v>74.47</v>
      </c>
      <c r="P145" s="4">
        <f>--AND(OR(Dashboard!$A$10="All",C145=Dashboard!$A$10),OR(Dashboard!$A$14="All",F145=Dashboard!$A$14),OR(Dashboard!$A$18="All",G145=Dashboard!$A$18),OR(Dashboard!$A$22="All",I145=Dashboard!$A$22))</f>
        <v>1</v>
      </c>
    </row>
    <row r="146" spans="1:16" ht="15.75" customHeight="1">
      <c r="A146" s="4" t="s">
        <v>329</v>
      </c>
      <c r="B146" s="6">
        <v>45718</v>
      </c>
      <c r="C146" s="4">
        <v>2025</v>
      </c>
      <c r="D146" s="4">
        <v>3</v>
      </c>
      <c r="E146" s="4" t="s">
        <v>100</v>
      </c>
      <c r="F146" s="4" t="s">
        <v>5</v>
      </c>
      <c r="G146" s="4" t="s">
        <v>9</v>
      </c>
      <c r="H146" s="4" t="s">
        <v>64</v>
      </c>
      <c r="I146" s="4" t="s">
        <v>7</v>
      </c>
      <c r="J146" s="4" t="s">
        <v>195</v>
      </c>
      <c r="K146" s="4">
        <v>1</v>
      </c>
      <c r="L146" s="5">
        <v>60.41</v>
      </c>
      <c r="M146" s="5">
        <v>60.41</v>
      </c>
      <c r="N146" s="5">
        <v>30.56</v>
      </c>
      <c r="O146" s="5">
        <v>29.85</v>
      </c>
      <c r="P146" s="4">
        <f>--AND(OR(Dashboard!$A$10="All",C146=Dashboard!$A$10),OR(Dashboard!$A$14="All",F146=Dashboard!$A$14),OR(Dashboard!$A$18="All",G146=Dashboard!$A$18),OR(Dashboard!$A$22="All",I146=Dashboard!$A$22))</f>
        <v>1</v>
      </c>
    </row>
    <row r="147" spans="1:16" ht="15.75" customHeight="1">
      <c r="A147" s="4" t="s">
        <v>330</v>
      </c>
      <c r="B147" s="6">
        <v>45654</v>
      </c>
      <c r="C147" s="4">
        <v>2024</v>
      </c>
      <c r="D147" s="4">
        <v>12</v>
      </c>
      <c r="E147" s="4" t="s">
        <v>57</v>
      </c>
      <c r="F147" s="4" t="s">
        <v>5</v>
      </c>
      <c r="G147" s="4" t="s">
        <v>12</v>
      </c>
      <c r="H147" s="4" t="s">
        <v>124</v>
      </c>
      <c r="I147" s="4" t="s">
        <v>7</v>
      </c>
      <c r="J147" s="4" t="s">
        <v>94</v>
      </c>
      <c r="K147" s="4">
        <v>1</v>
      </c>
      <c r="L147" s="5">
        <v>192.64</v>
      </c>
      <c r="M147" s="5">
        <v>192.64</v>
      </c>
      <c r="N147" s="5">
        <v>110.03</v>
      </c>
      <c r="O147" s="5">
        <v>82.61</v>
      </c>
      <c r="P147" s="4">
        <f>--AND(OR(Dashboard!$A$10="All",C147=Dashboard!$A$10),OR(Dashboard!$A$14="All",F147=Dashboard!$A$14),OR(Dashboard!$A$18="All",G147=Dashboard!$A$18),OR(Dashboard!$A$22="All",I147=Dashboard!$A$22))</f>
        <v>1</v>
      </c>
    </row>
    <row r="148" spans="1:16" ht="15.75" customHeight="1">
      <c r="A148" s="4" t="s">
        <v>331</v>
      </c>
      <c r="B148" s="6">
        <v>45624</v>
      </c>
      <c r="C148" s="4">
        <v>2024</v>
      </c>
      <c r="D148" s="4">
        <v>11</v>
      </c>
      <c r="E148" s="4" t="s">
        <v>89</v>
      </c>
      <c r="F148" s="4" t="s">
        <v>8</v>
      </c>
      <c r="G148" s="4" t="s">
        <v>9</v>
      </c>
      <c r="H148" s="4" t="s">
        <v>64</v>
      </c>
      <c r="I148" s="4" t="s">
        <v>7</v>
      </c>
      <c r="J148" s="4" t="s">
        <v>61</v>
      </c>
      <c r="K148" s="4">
        <v>1</v>
      </c>
      <c r="L148" s="5">
        <v>66.959999999999994</v>
      </c>
      <c r="M148" s="5">
        <v>66.959999999999994</v>
      </c>
      <c r="N148" s="5">
        <v>31.84</v>
      </c>
      <c r="O148" s="5">
        <v>35.119999999999997</v>
      </c>
      <c r="P148" s="4">
        <f>--AND(OR(Dashboard!$A$10="All",C148=Dashboard!$A$10),OR(Dashboard!$A$14="All",F148=Dashboard!$A$14),OR(Dashboard!$A$18="All",G148=Dashboard!$A$18),OR(Dashboard!$A$22="All",I148=Dashboard!$A$22))</f>
        <v>1</v>
      </c>
    </row>
    <row r="149" spans="1:16" ht="15.75" customHeight="1">
      <c r="A149" s="4" t="s">
        <v>332</v>
      </c>
      <c r="B149" s="6">
        <v>45397</v>
      </c>
      <c r="C149" s="4">
        <v>2024</v>
      </c>
      <c r="D149" s="4">
        <v>4</v>
      </c>
      <c r="E149" s="4" t="s">
        <v>106</v>
      </c>
      <c r="F149" s="4" t="s">
        <v>5</v>
      </c>
      <c r="G149" s="4" t="s">
        <v>9</v>
      </c>
      <c r="H149" s="4" t="s">
        <v>110</v>
      </c>
      <c r="I149" s="4" t="s">
        <v>7</v>
      </c>
      <c r="J149" s="4" t="s">
        <v>333</v>
      </c>
      <c r="K149" s="4">
        <v>5</v>
      </c>
      <c r="L149" s="5">
        <v>42.65</v>
      </c>
      <c r="M149" s="5">
        <v>213.25</v>
      </c>
      <c r="N149" s="5">
        <v>104.21</v>
      </c>
      <c r="O149" s="5">
        <v>109.04</v>
      </c>
      <c r="P149" s="4">
        <f>--AND(OR(Dashboard!$A$10="All",C149=Dashboard!$A$10),OR(Dashboard!$A$14="All",F149=Dashboard!$A$14),OR(Dashboard!$A$18="All",G149=Dashboard!$A$18),OR(Dashboard!$A$22="All",I149=Dashboard!$A$22))</f>
        <v>1</v>
      </c>
    </row>
    <row r="150" spans="1:16" ht="15.75" customHeight="1">
      <c r="A150" s="4" t="s">
        <v>334</v>
      </c>
      <c r="B150" s="6">
        <v>45410</v>
      </c>
      <c r="C150" s="4">
        <v>2024</v>
      </c>
      <c r="D150" s="4">
        <v>4</v>
      </c>
      <c r="E150" s="4" t="s">
        <v>106</v>
      </c>
      <c r="F150" s="4" t="s">
        <v>5</v>
      </c>
      <c r="G150" s="4" t="s">
        <v>12</v>
      </c>
      <c r="H150" s="4" t="s">
        <v>92</v>
      </c>
      <c r="I150" s="4" t="s">
        <v>13</v>
      </c>
      <c r="J150" s="4" t="s">
        <v>214</v>
      </c>
      <c r="K150" s="4">
        <v>7</v>
      </c>
      <c r="L150" s="5">
        <v>176.63</v>
      </c>
      <c r="M150" s="5">
        <v>1236.4100000000001</v>
      </c>
      <c r="N150" s="5">
        <v>760.03</v>
      </c>
      <c r="O150" s="5">
        <v>476.38</v>
      </c>
      <c r="P150" s="4">
        <f>--AND(OR(Dashboard!$A$10="All",C150=Dashboard!$A$10),OR(Dashboard!$A$14="All",F150=Dashboard!$A$14),OR(Dashboard!$A$18="All",G150=Dashboard!$A$18),OR(Dashboard!$A$22="All",I150=Dashboard!$A$22))</f>
        <v>1</v>
      </c>
    </row>
    <row r="151" spans="1:16" ht="15.75" customHeight="1">
      <c r="A151" s="4" t="s">
        <v>335</v>
      </c>
      <c r="B151" s="6">
        <v>45526</v>
      </c>
      <c r="C151" s="4">
        <v>2024</v>
      </c>
      <c r="D151" s="4">
        <v>8</v>
      </c>
      <c r="E151" s="4" t="s">
        <v>67</v>
      </c>
      <c r="F151" s="4" t="s">
        <v>5</v>
      </c>
      <c r="G151" s="4" t="s">
        <v>6</v>
      </c>
      <c r="H151" s="4" t="s">
        <v>54</v>
      </c>
      <c r="I151" s="4" t="s">
        <v>10</v>
      </c>
      <c r="J151" s="4" t="s">
        <v>336</v>
      </c>
      <c r="K151" s="4">
        <v>3</v>
      </c>
      <c r="L151" s="5">
        <v>181.26</v>
      </c>
      <c r="M151" s="5">
        <v>543.78</v>
      </c>
      <c r="N151" s="5">
        <v>357.97</v>
      </c>
      <c r="O151" s="5">
        <v>185.81</v>
      </c>
      <c r="P151" s="4">
        <f>--AND(OR(Dashboard!$A$10="All",C151=Dashboard!$A$10),OR(Dashboard!$A$14="All",F151=Dashboard!$A$14),OR(Dashboard!$A$18="All",G151=Dashboard!$A$18),OR(Dashboard!$A$22="All",I151=Dashboard!$A$22))</f>
        <v>1</v>
      </c>
    </row>
    <row r="152" spans="1:16" ht="15.75" customHeight="1">
      <c r="A152" s="4" t="s">
        <v>337</v>
      </c>
      <c r="B152" s="6">
        <v>45513</v>
      </c>
      <c r="C152" s="4">
        <v>2024</v>
      </c>
      <c r="D152" s="4">
        <v>8</v>
      </c>
      <c r="E152" s="4" t="s">
        <v>67</v>
      </c>
      <c r="F152" s="4" t="s">
        <v>8</v>
      </c>
      <c r="G152" s="4" t="s">
        <v>12</v>
      </c>
      <c r="H152" s="4" t="s">
        <v>127</v>
      </c>
      <c r="I152" s="4" t="s">
        <v>13</v>
      </c>
      <c r="J152" s="4" t="s">
        <v>191</v>
      </c>
      <c r="K152" s="4">
        <v>4</v>
      </c>
      <c r="L152" s="5">
        <v>306.85000000000002</v>
      </c>
      <c r="M152" s="5">
        <v>1227.4000000000001</v>
      </c>
      <c r="N152" s="5">
        <v>748.7</v>
      </c>
      <c r="O152" s="5">
        <v>478.7</v>
      </c>
      <c r="P152" s="4">
        <f>--AND(OR(Dashboard!$A$10="All",C152=Dashboard!$A$10),OR(Dashboard!$A$14="All",F152=Dashboard!$A$14),OR(Dashboard!$A$18="All",G152=Dashboard!$A$18),OR(Dashboard!$A$22="All",I152=Dashboard!$A$22))</f>
        <v>1</v>
      </c>
    </row>
    <row r="153" spans="1:16" ht="15.75" customHeight="1">
      <c r="A153" s="4" t="s">
        <v>338</v>
      </c>
      <c r="B153" s="6">
        <v>45567</v>
      </c>
      <c r="C153" s="4">
        <v>2024</v>
      </c>
      <c r="D153" s="4">
        <v>10</v>
      </c>
      <c r="E153" s="4" t="s">
        <v>120</v>
      </c>
      <c r="F153" s="4" t="s">
        <v>8</v>
      </c>
      <c r="G153" s="4" t="s">
        <v>9</v>
      </c>
      <c r="H153" s="4" t="s">
        <v>71</v>
      </c>
      <c r="I153" s="4" t="s">
        <v>7</v>
      </c>
      <c r="J153" s="4" t="s">
        <v>289</v>
      </c>
      <c r="K153" s="4">
        <v>11</v>
      </c>
      <c r="L153" s="5">
        <v>56.45</v>
      </c>
      <c r="M153" s="5">
        <v>620.95000000000005</v>
      </c>
      <c r="N153" s="5">
        <v>301.26</v>
      </c>
      <c r="O153" s="5">
        <v>319.69</v>
      </c>
      <c r="P153" s="4">
        <f>--AND(OR(Dashboard!$A$10="All",C153=Dashboard!$A$10),OR(Dashboard!$A$14="All",F153=Dashboard!$A$14),OR(Dashboard!$A$18="All",G153=Dashboard!$A$18),OR(Dashboard!$A$22="All",I153=Dashboard!$A$22))</f>
        <v>1</v>
      </c>
    </row>
    <row r="154" spans="1:16" ht="15.75" customHeight="1">
      <c r="A154" s="4" t="s">
        <v>339</v>
      </c>
      <c r="B154" s="6">
        <v>45842</v>
      </c>
      <c r="C154" s="4">
        <v>2025</v>
      </c>
      <c r="D154" s="4">
        <v>7</v>
      </c>
      <c r="E154" s="4" t="s">
        <v>63</v>
      </c>
      <c r="F154" s="4" t="s">
        <v>5</v>
      </c>
      <c r="G154" s="4" t="s">
        <v>9</v>
      </c>
      <c r="H154" s="4" t="s">
        <v>35</v>
      </c>
      <c r="I154" s="4" t="s">
        <v>7</v>
      </c>
      <c r="J154" s="4" t="s">
        <v>257</v>
      </c>
      <c r="K154" s="4">
        <v>2</v>
      </c>
      <c r="L154" s="5">
        <v>27.88</v>
      </c>
      <c r="M154" s="5">
        <v>55.76</v>
      </c>
      <c r="N154" s="5">
        <v>29.04</v>
      </c>
      <c r="O154" s="5">
        <v>26.72</v>
      </c>
      <c r="P154" s="4">
        <f>--AND(OR(Dashboard!$A$10="All",C154=Dashboard!$A$10),OR(Dashboard!$A$14="All",F154=Dashboard!$A$14),OR(Dashboard!$A$18="All",G154=Dashboard!$A$18),OR(Dashboard!$A$22="All",I154=Dashboard!$A$22))</f>
        <v>1</v>
      </c>
    </row>
    <row r="155" spans="1:16" ht="15.75" customHeight="1">
      <c r="A155" s="4" t="s">
        <v>340</v>
      </c>
      <c r="B155" s="6">
        <v>45535</v>
      </c>
      <c r="C155" s="4">
        <v>2024</v>
      </c>
      <c r="D155" s="4">
        <v>8</v>
      </c>
      <c r="E155" s="4" t="s">
        <v>67</v>
      </c>
      <c r="F155" s="4" t="s">
        <v>8</v>
      </c>
      <c r="G155" s="4" t="s">
        <v>9</v>
      </c>
      <c r="H155" s="4" t="s">
        <v>110</v>
      </c>
      <c r="I155" s="4" t="s">
        <v>7</v>
      </c>
      <c r="J155" s="4" t="s">
        <v>226</v>
      </c>
      <c r="K155" s="4">
        <v>9</v>
      </c>
      <c r="L155" s="5">
        <v>30.65</v>
      </c>
      <c r="M155" s="5">
        <v>275.85000000000002</v>
      </c>
      <c r="N155" s="5">
        <v>133.6</v>
      </c>
      <c r="O155" s="5">
        <v>142.25</v>
      </c>
      <c r="P155" s="4">
        <f>--AND(OR(Dashboard!$A$10="All",C155=Dashboard!$A$10),OR(Dashboard!$A$14="All",F155=Dashboard!$A$14),OR(Dashboard!$A$18="All",G155=Dashboard!$A$18),OR(Dashboard!$A$22="All",I155=Dashboard!$A$22))</f>
        <v>1</v>
      </c>
    </row>
    <row r="156" spans="1:16" ht="15.75" customHeight="1">
      <c r="A156" s="4" t="s">
        <v>341</v>
      </c>
      <c r="B156" s="6">
        <v>45315</v>
      </c>
      <c r="C156" s="4">
        <v>2024</v>
      </c>
      <c r="D156" s="4">
        <v>1</v>
      </c>
      <c r="E156" s="4" t="s">
        <v>30</v>
      </c>
      <c r="F156" s="4" t="s">
        <v>8</v>
      </c>
      <c r="G156" s="4" t="s">
        <v>9</v>
      </c>
      <c r="H156" s="4" t="s">
        <v>64</v>
      </c>
      <c r="I156" s="4" t="s">
        <v>7</v>
      </c>
      <c r="J156" s="4" t="s">
        <v>270</v>
      </c>
      <c r="K156" s="4">
        <v>5</v>
      </c>
      <c r="L156" s="5">
        <v>41.76</v>
      </c>
      <c r="M156" s="5">
        <v>208.8</v>
      </c>
      <c r="N156" s="5">
        <v>105.17</v>
      </c>
      <c r="O156" s="5">
        <v>103.63</v>
      </c>
      <c r="P156" s="4">
        <f>--AND(OR(Dashboard!$A$10="All",C156=Dashboard!$A$10),OR(Dashboard!$A$14="All",F156=Dashboard!$A$14),OR(Dashboard!$A$18="All",G156=Dashboard!$A$18),OR(Dashboard!$A$22="All",I156=Dashboard!$A$22))</f>
        <v>1</v>
      </c>
    </row>
    <row r="157" spans="1:16" ht="15.75" customHeight="1">
      <c r="A157" s="4" t="s">
        <v>342</v>
      </c>
      <c r="B157" s="6">
        <v>45472</v>
      </c>
      <c r="C157" s="4">
        <v>2024</v>
      </c>
      <c r="D157" s="4">
        <v>6</v>
      </c>
      <c r="E157" s="4" t="s">
        <v>34</v>
      </c>
      <c r="F157" s="4" t="s">
        <v>5</v>
      </c>
      <c r="G157" s="4" t="s">
        <v>6</v>
      </c>
      <c r="H157" s="4" t="s">
        <v>114</v>
      </c>
      <c r="I157" s="4" t="s">
        <v>7</v>
      </c>
      <c r="J157" s="4" t="s">
        <v>191</v>
      </c>
      <c r="K157" s="4">
        <v>1</v>
      </c>
      <c r="L157" s="5">
        <v>134.62</v>
      </c>
      <c r="M157" s="5">
        <v>134.62</v>
      </c>
      <c r="N157" s="5">
        <v>86.37</v>
      </c>
      <c r="O157" s="5">
        <v>48.25</v>
      </c>
      <c r="P157" s="4">
        <f>--AND(OR(Dashboard!$A$10="All",C157=Dashboard!$A$10),OR(Dashboard!$A$14="All",F157=Dashboard!$A$14),OR(Dashboard!$A$18="All",G157=Dashboard!$A$18),OR(Dashboard!$A$22="All",I157=Dashboard!$A$22))</f>
        <v>1</v>
      </c>
    </row>
    <row r="158" spans="1:16" ht="15.75" customHeight="1">
      <c r="A158" s="4" t="s">
        <v>343</v>
      </c>
      <c r="B158" s="6">
        <v>45398</v>
      </c>
      <c r="C158" s="4">
        <v>2024</v>
      </c>
      <c r="D158" s="4">
        <v>4</v>
      </c>
      <c r="E158" s="4" t="s">
        <v>106</v>
      </c>
      <c r="F158" s="4" t="s">
        <v>5</v>
      </c>
      <c r="G158" s="4" t="s">
        <v>6</v>
      </c>
      <c r="H158" s="4" t="s">
        <v>136</v>
      </c>
      <c r="I158" s="4" t="s">
        <v>7</v>
      </c>
      <c r="J158" s="4" t="s">
        <v>344</v>
      </c>
      <c r="K158" s="4">
        <v>1</v>
      </c>
      <c r="L158" s="5">
        <v>128.27000000000001</v>
      </c>
      <c r="M158" s="5">
        <v>128.27000000000001</v>
      </c>
      <c r="N158" s="5">
        <v>81.41</v>
      </c>
      <c r="O158" s="5">
        <v>46.86</v>
      </c>
      <c r="P158" s="4">
        <f>--AND(OR(Dashboard!$A$10="All",C158=Dashboard!$A$10),OR(Dashboard!$A$14="All",F158=Dashboard!$A$14),OR(Dashboard!$A$18="All",G158=Dashboard!$A$18),OR(Dashboard!$A$22="All",I158=Dashboard!$A$22))</f>
        <v>1</v>
      </c>
    </row>
    <row r="159" spans="1:16" ht="15.75" customHeight="1">
      <c r="A159" s="4" t="s">
        <v>345</v>
      </c>
      <c r="B159" s="6">
        <v>46007</v>
      </c>
      <c r="C159" s="4">
        <v>2025</v>
      </c>
      <c r="D159" s="4">
        <v>12</v>
      </c>
      <c r="E159" s="4" t="s">
        <v>57</v>
      </c>
      <c r="F159" s="4" t="s">
        <v>8</v>
      </c>
      <c r="G159" s="4" t="s">
        <v>9</v>
      </c>
      <c r="H159" s="4" t="s">
        <v>142</v>
      </c>
      <c r="I159" s="4" t="s">
        <v>7</v>
      </c>
      <c r="J159" s="4" t="s">
        <v>346</v>
      </c>
      <c r="K159" s="4">
        <v>6</v>
      </c>
      <c r="L159" s="5">
        <v>29.93</v>
      </c>
      <c r="M159" s="5">
        <v>179.58</v>
      </c>
      <c r="N159" s="5">
        <v>85.87</v>
      </c>
      <c r="O159" s="5">
        <v>93.71</v>
      </c>
      <c r="P159" s="4">
        <f>--AND(OR(Dashboard!$A$10="All",C159=Dashboard!$A$10),OR(Dashboard!$A$14="All",F159=Dashboard!$A$14),OR(Dashboard!$A$18="All",G159=Dashboard!$A$18),OR(Dashboard!$A$22="All",I159=Dashboard!$A$22))</f>
        <v>1</v>
      </c>
    </row>
    <row r="160" spans="1:16" ht="15.75" customHeight="1">
      <c r="A160" s="4" t="s">
        <v>347</v>
      </c>
      <c r="B160" s="6">
        <v>45476</v>
      </c>
      <c r="C160" s="4">
        <v>2024</v>
      </c>
      <c r="D160" s="4">
        <v>7</v>
      </c>
      <c r="E160" s="4" t="s">
        <v>63</v>
      </c>
      <c r="F160" s="4" t="s">
        <v>14</v>
      </c>
      <c r="G160" s="4" t="s">
        <v>6</v>
      </c>
      <c r="H160" s="4" t="s">
        <v>136</v>
      </c>
      <c r="I160" s="4" t="s">
        <v>7</v>
      </c>
      <c r="J160" s="4" t="s">
        <v>348</v>
      </c>
      <c r="K160" s="4">
        <v>1</v>
      </c>
      <c r="L160" s="5">
        <v>212.7</v>
      </c>
      <c r="M160" s="5">
        <v>212.7</v>
      </c>
      <c r="N160" s="5">
        <v>135.29</v>
      </c>
      <c r="O160" s="5">
        <v>77.41</v>
      </c>
      <c r="P160" s="4">
        <f>--AND(OR(Dashboard!$A$10="All",C160=Dashboard!$A$10),OR(Dashboard!$A$14="All",F160=Dashboard!$A$14),OR(Dashboard!$A$18="All",G160=Dashboard!$A$18),OR(Dashboard!$A$22="All",I160=Dashboard!$A$22))</f>
        <v>1</v>
      </c>
    </row>
    <row r="161" spans="1:16" ht="15.75" customHeight="1">
      <c r="A161" s="4" t="s">
        <v>349</v>
      </c>
      <c r="B161" s="6">
        <v>45584</v>
      </c>
      <c r="C161" s="4">
        <v>2024</v>
      </c>
      <c r="D161" s="4">
        <v>10</v>
      </c>
      <c r="E161" s="4" t="s">
        <v>120</v>
      </c>
      <c r="F161" s="4" t="s">
        <v>5</v>
      </c>
      <c r="G161" s="4" t="s">
        <v>6</v>
      </c>
      <c r="H161" s="4" t="s">
        <v>98</v>
      </c>
      <c r="I161" s="4" t="s">
        <v>13</v>
      </c>
      <c r="J161" s="4" t="s">
        <v>257</v>
      </c>
      <c r="K161" s="4">
        <v>1</v>
      </c>
      <c r="L161" s="5">
        <v>198.16</v>
      </c>
      <c r="M161" s="5">
        <v>198.16</v>
      </c>
      <c r="N161" s="5">
        <v>126.87</v>
      </c>
      <c r="O161" s="5">
        <v>71.290000000000006</v>
      </c>
      <c r="P161" s="4">
        <f>--AND(OR(Dashboard!$A$10="All",C161=Dashboard!$A$10),OR(Dashboard!$A$14="All",F161=Dashboard!$A$14),OR(Dashboard!$A$18="All",G161=Dashboard!$A$18),OR(Dashboard!$A$22="All",I161=Dashboard!$A$22))</f>
        <v>1</v>
      </c>
    </row>
    <row r="162" spans="1:16" ht="15.75" customHeight="1">
      <c r="A162" s="4" t="s">
        <v>350</v>
      </c>
      <c r="B162" s="6">
        <v>45927</v>
      </c>
      <c r="C162" s="4">
        <v>2025</v>
      </c>
      <c r="D162" s="4">
        <v>9</v>
      </c>
      <c r="E162" s="4" t="s">
        <v>79</v>
      </c>
      <c r="F162" s="4" t="s">
        <v>11</v>
      </c>
      <c r="G162" s="4" t="s">
        <v>12</v>
      </c>
      <c r="H162" s="4" t="s">
        <v>92</v>
      </c>
      <c r="I162" s="4" t="s">
        <v>7</v>
      </c>
      <c r="J162" s="4" t="s">
        <v>174</v>
      </c>
      <c r="K162" s="4">
        <v>9</v>
      </c>
      <c r="L162" s="5">
        <v>305.02</v>
      </c>
      <c r="M162" s="5">
        <v>2745.18</v>
      </c>
      <c r="N162" s="5">
        <v>1608.81</v>
      </c>
      <c r="O162" s="5">
        <v>1136.3699999999999</v>
      </c>
      <c r="P162" s="4">
        <f>--AND(OR(Dashboard!$A$10="All",C162=Dashboard!$A$10),OR(Dashboard!$A$14="All",F162=Dashboard!$A$14),OR(Dashboard!$A$18="All",G162=Dashboard!$A$18),OR(Dashboard!$A$22="All",I162=Dashboard!$A$22))</f>
        <v>1</v>
      </c>
    </row>
    <row r="163" spans="1:16" ht="15.75" customHeight="1">
      <c r="A163" s="4" t="s">
        <v>351</v>
      </c>
      <c r="B163" s="6">
        <v>45357</v>
      </c>
      <c r="C163" s="4">
        <v>2024</v>
      </c>
      <c r="D163" s="4">
        <v>3</v>
      </c>
      <c r="E163" s="4" t="s">
        <v>100</v>
      </c>
      <c r="F163" s="4" t="s">
        <v>8</v>
      </c>
      <c r="G163" s="4" t="s">
        <v>6</v>
      </c>
      <c r="H163" s="4" t="s">
        <v>54</v>
      </c>
      <c r="I163" s="4" t="s">
        <v>13</v>
      </c>
      <c r="J163" s="4" t="s">
        <v>65</v>
      </c>
      <c r="K163" s="4">
        <v>2</v>
      </c>
      <c r="L163" s="5">
        <v>206.6</v>
      </c>
      <c r="M163" s="5">
        <v>413.2</v>
      </c>
      <c r="N163" s="5">
        <v>270.68</v>
      </c>
      <c r="O163" s="5">
        <v>142.52000000000001</v>
      </c>
      <c r="P163" s="4">
        <f>--AND(OR(Dashboard!$A$10="All",C163=Dashboard!$A$10),OR(Dashboard!$A$14="All",F163=Dashboard!$A$14),OR(Dashboard!$A$18="All",G163=Dashboard!$A$18),OR(Dashboard!$A$22="All",I163=Dashboard!$A$22))</f>
        <v>1</v>
      </c>
    </row>
    <row r="164" spans="1:16" ht="15.75" customHeight="1">
      <c r="A164" s="4" t="s">
        <v>352</v>
      </c>
      <c r="B164" s="6">
        <v>45920</v>
      </c>
      <c r="C164" s="4">
        <v>2025</v>
      </c>
      <c r="D164" s="4">
        <v>9</v>
      </c>
      <c r="E164" s="4" t="s">
        <v>79</v>
      </c>
      <c r="F164" s="4" t="s">
        <v>5</v>
      </c>
      <c r="G164" s="4" t="s">
        <v>9</v>
      </c>
      <c r="H164" s="4" t="s">
        <v>64</v>
      </c>
      <c r="I164" s="4" t="s">
        <v>10</v>
      </c>
      <c r="J164" s="4" t="s">
        <v>162</v>
      </c>
      <c r="K164" s="4">
        <v>3</v>
      </c>
      <c r="L164" s="5">
        <v>61.16</v>
      </c>
      <c r="M164" s="5">
        <v>183.48</v>
      </c>
      <c r="N164" s="5">
        <v>90.43</v>
      </c>
      <c r="O164" s="5">
        <v>93.05</v>
      </c>
      <c r="P164" s="4">
        <f>--AND(OR(Dashboard!$A$10="All",C164=Dashboard!$A$10),OR(Dashboard!$A$14="All",F164=Dashboard!$A$14),OR(Dashboard!$A$18="All",G164=Dashboard!$A$18),OR(Dashboard!$A$22="All",I164=Dashboard!$A$22))</f>
        <v>1</v>
      </c>
    </row>
    <row r="165" spans="1:16" ht="15.75" customHeight="1">
      <c r="A165" s="4" t="s">
        <v>353</v>
      </c>
      <c r="B165" s="6">
        <v>45614</v>
      </c>
      <c r="C165" s="4">
        <v>2024</v>
      </c>
      <c r="D165" s="4">
        <v>11</v>
      </c>
      <c r="E165" s="4" t="s">
        <v>89</v>
      </c>
      <c r="F165" s="4" t="s">
        <v>14</v>
      </c>
      <c r="G165" s="4" t="s">
        <v>12</v>
      </c>
      <c r="H165" s="4" t="s">
        <v>124</v>
      </c>
      <c r="I165" s="4" t="s">
        <v>7</v>
      </c>
      <c r="J165" s="4" t="s">
        <v>218</v>
      </c>
      <c r="K165" s="4">
        <v>5</v>
      </c>
      <c r="L165" s="5">
        <v>238.61</v>
      </c>
      <c r="M165" s="5">
        <v>1193.05</v>
      </c>
      <c r="N165" s="5">
        <v>728.66</v>
      </c>
      <c r="O165" s="5">
        <v>464.39</v>
      </c>
      <c r="P165" s="4">
        <f>--AND(OR(Dashboard!$A$10="All",C165=Dashboard!$A$10),OR(Dashboard!$A$14="All",F165=Dashboard!$A$14),OR(Dashboard!$A$18="All",G165=Dashboard!$A$18),OR(Dashboard!$A$22="All",I165=Dashboard!$A$22))</f>
        <v>1</v>
      </c>
    </row>
    <row r="166" spans="1:16" ht="15.75" customHeight="1">
      <c r="A166" s="4" t="s">
        <v>354</v>
      </c>
      <c r="B166" s="6">
        <v>45345</v>
      </c>
      <c r="C166" s="4">
        <v>2024</v>
      </c>
      <c r="D166" s="4">
        <v>2</v>
      </c>
      <c r="E166" s="4" t="s">
        <v>70</v>
      </c>
      <c r="F166" s="4" t="s">
        <v>11</v>
      </c>
      <c r="G166" s="4" t="s">
        <v>6</v>
      </c>
      <c r="H166" s="4" t="s">
        <v>114</v>
      </c>
      <c r="I166" s="4" t="s">
        <v>7</v>
      </c>
      <c r="J166" s="4" t="s">
        <v>202</v>
      </c>
      <c r="K166" s="4">
        <v>5</v>
      </c>
      <c r="L166" s="5">
        <v>84.07</v>
      </c>
      <c r="M166" s="5">
        <v>420.35</v>
      </c>
      <c r="N166" s="5">
        <v>278.97000000000003</v>
      </c>
      <c r="O166" s="5">
        <v>141.38</v>
      </c>
      <c r="P166" s="4">
        <f>--AND(OR(Dashboard!$A$10="All",C166=Dashboard!$A$10),OR(Dashboard!$A$14="All",F166=Dashboard!$A$14),OR(Dashboard!$A$18="All",G166=Dashboard!$A$18),OR(Dashboard!$A$22="All",I166=Dashboard!$A$22))</f>
        <v>1</v>
      </c>
    </row>
    <row r="167" spans="1:16" ht="15.75" customHeight="1">
      <c r="A167" s="4" t="s">
        <v>355</v>
      </c>
      <c r="B167" s="6">
        <v>45569</v>
      </c>
      <c r="C167" s="4">
        <v>2024</v>
      </c>
      <c r="D167" s="4">
        <v>10</v>
      </c>
      <c r="E167" s="4" t="s">
        <v>120</v>
      </c>
      <c r="F167" s="4" t="s">
        <v>11</v>
      </c>
      <c r="G167" s="4" t="s">
        <v>9</v>
      </c>
      <c r="H167" s="4" t="s">
        <v>142</v>
      </c>
      <c r="I167" s="4" t="s">
        <v>13</v>
      </c>
      <c r="J167" s="4" t="s">
        <v>333</v>
      </c>
      <c r="K167" s="4">
        <v>1</v>
      </c>
      <c r="L167" s="5">
        <v>65.489999999999995</v>
      </c>
      <c r="M167" s="5">
        <v>65.489999999999995</v>
      </c>
      <c r="N167" s="5">
        <v>34.270000000000003</v>
      </c>
      <c r="O167" s="5">
        <v>31.22</v>
      </c>
      <c r="P167" s="4">
        <f>--AND(OR(Dashboard!$A$10="All",C167=Dashboard!$A$10),OR(Dashboard!$A$14="All",F167=Dashboard!$A$14),OR(Dashboard!$A$18="All",G167=Dashboard!$A$18),OR(Dashboard!$A$22="All",I167=Dashboard!$A$22))</f>
        <v>1</v>
      </c>
    </row>
    <row r="168" spans="1:16" ht="15.75" customHeight="1">
      <c r="A168" s="4" t="s">
        <v>356</v>
      </c>
      <c r="B168" s="6">
        <v>45477</v>
      </c>
      <c r="C168" s="4">
        <v>2024</v>
      </c>
      <c r="D168" s="4">
        <v>7</v>
      </c>
      <c r="E168" s="4" t="s">
        <v>63</v>
      </c>
      <c r="F168" s="4" t="s">
        <v>14</v>
      </c>
      <c r="G168" s="4" t="s">
        <v>9</v>
      </c>
      <c r="H168" s="4" t="s">
        <v>142</v>
      </c>
      <c r="I168" s="4" t="s">
        <v>10</v>
      </c>
      <c r="J168" s="4" t="s">
        <v>209</v>
      </c>
      <c r="K168" s="4">
        <v>6</v>
      </c>
      <c r="L168" s="5">
        <v>49.36</v>
      </c>
      <c r="M168" s="5">
        <v>296.16000000000003</v>
      </c>
      <c r="N168" s="5">
        <v>145.76</v>
      </c>
      <c r="O168" s="5">
        <v>150.4</v>
      </c>
      <c r="P168" s="4">
        <f>--AND(OR(Dashboard!$A$10="All",C168=Dashboard!$A$10),OR(Dashboard!$A$14="All",F168=Dashboard!$A$14),OR(Dashboard!$A$18="All",G168=Dashboard!$A$18),OR(Dashboard!$A$22="All",I168=Dashboard!$A$22))</f>
        <v>1</v>
      </c>
    </row>
    <row r="169" spans="1:16" ht="15.75" customHeight="1">
      <c r="A169" s="4" t="s">
        <v>357</v>
      </c>
      <c r="B169" s="6">
        <v>45416</v>
      </c>
      <c r="C169" s="4">
        <v>2024</v>
      </c>
      <c r="D169" s="4">
        <v>5</v>
      </c>
      <c r="E169" s="4" t="s">
        <v>108</v>
      </c>
      <c r="F169" s="4" t="s">
        <v>14</v>
      </c>
      <c r="G169" s="4" t="s">
        <v>9</v>
      </c>
      <c r="H169" s="4" t="s">
        <v>110</v>
      </c>
      <c r="I169" s="4" t="s">
        <v>13</v>
      </c>
      <c r="J169" s="4" t="s">
        <v>263</v>
      </c>
      <c r="K169" s="4">
        <v>7</v>
      </c>
      <c r="L169" s="5">
        <v>31.33</v>
      </c>
      <c r="M169" s="5">
        <v>219.31</v>
      </c>
      <c r="N169" s="5">
        <v>110.44</v>
      </c>
      <c r="O169" s="5">
        <v>108.87</v>
      </c>
      <c r="P169" s="4">
        <f>--AND(OR(Dashboard!$A$10="All",C169=Dashboard!$A$10),OR(Dashboard!$A$14="All",F169=Dashboard!$A$14),OR(Dashboard!$A$18="All",G169=Dashboard!$A$18),OR(Dashboard!$A$22="All",I169=Dashboard!$A$22))</f>
        <v>1</v>
      </c>
    </row>
    <row r="170" spans="1:16" ht="15.75" customHeight="1">
      <c r="A170" s="4" t="s">
        <v>358</v>
      </c>
      <c r="B170" s="6">
        <v>45515</v>
      </c>
      <c r="C170" s="4">
        <v>2024</v>
      </c>
      <c r="D170" s="4">
        <v>8</v>
      </c>
      <c r="E170" s="4" t="s">
        <v>67</v>
      </c>
      <c r="F170" s="4" t="s">
        <v>14</v>
      </c>
      <c r="G170" s="4" t="s">
        <v>12</v>
      </c>
      <c r="H170" s="4" t="s">
        <v>124</v>
      </c>
      <c r="I170" s="4" t="s">
        <v>13</v>
      </c>
      <c r="J170" s="4" t="s">
        <v>125</v>
      </c>
      <c r="K170" s="4">
        <v>1</v>
      </c>
      <c r="L170" s="5">
        <v>283.39999999999998</v>
      </c>
      <c r="M170" s="5">
        <v>283.39999999999998</v>
      </c>
      <c r="N170" s="5">
        <v>169.09</v>
      </c>
      <c r="O170" s="5">
        <v>114.31</v>
      </c>
      <c r="P170" s="4">
        <f>--AND(OR(Dashboard!$A$10="All",C170=Dashboard!$A$10),OR(Dashboard!$A$14="All",F170=Dashboard!$A$14),OR(Dashboard!$A$18="All",G170=Dashboard!$A$18),OR(Dashboard!$A$22="All",I170=Dashboard!$A$22))</f>
        <v>1</v>
      </c>
    </row>
    <row r="171" spans="1:16" ht="15.75" customHeight="1">
      <c r="A171" s="4" t="s">
        <v>359</v>
      </c>
      <c r="B171" s="6">
        <v>45661</v>
      </c>
      <c r="C171" s="4">
        <v>2025</v>
      </c>
      <c r="D171" s="4">
        <v>1</v>
      </c>
      <c r="E171" s="4" t="s">
        <v>30</v>
      </c>
      <c r="F171" s="4" t="s">
        <v>8</v>
      </c>
      <c r="G171" s="4" t="s">
        <v>9</v>
      </c>
      <c r="H171" s="4" t="s">
        <v>110</v>
      </c>
      <c r="I171" s="4" t="s">
        <v>7</v>
      </c>
      <c r="J171" s="4" t="s">
        <v>360</v>
      </c>
      <c r="K171" s="4">
        <v>2</v>
      </c>
      <c r="L171" s="5">
        <v>50.39</v>
      </c>
      <c r="M171" s="5">
        <v>100.78</v>
      </c>
      <c r="N171" s="5">
        <v>48.55</v>
      </c>
      <c r="O171" s="5">
        <v>52.23</v>
      </c>
      <c r="P171" s="4">
        <f>--AND(OR(Dashboard!$A$10="All",C171=Dashboard!$A$10),OR(Dashboard!$A$14="All",F171=Dashboard!$A$14),OR(Dashboard!$A$18="All",G171=Dashboard!$A$18),OR(Dashboard!$A$22="All",I171=Dashboard!$A$22))</f>
        <v>1</v>
      </c>
    </row>
    <row r="172" spans="1:16" ht="15.75" customHeight="1">
      <c r="A172" s="4" t="s">
        <v>361</v>
      </c>
      <c r="B172" s="6">
        <v>45389</v>
      </c>
      <c r="C172" s="4">
        <v>2024</v>
      </c>
      <c r="D172" s="4">
        <v>4</v>
      </c>
      <c r="E172" s="4" t="s">
        <v>106</v>
      </c>
      <c r="F172" s="4" t="s">
        <v>5</v>
      </c>
      <c r="G172" s="4" t="s">
        <v>9</v>
      </c>
      <c r="H172" s="4" t="s">
        <v>71</v>
      </c>
      <c r="I172" s="4" t="s">
        <v>7</v>
      </c>
      <c r="J172" s="4" t="s">
        <v>362</v>
      </c>
      <c r="K172" s="4">
        <v>3</v>
      </c>
      <c r="L172" s="5">
        <v>46.72</v>
      </c>
      <c r="M172" s="5">
        <v>140.16</v>
      </c>
      <c r="N172" s="5">
        <v>72.31</v>
      </c>
      <c r="O172" s="5">
        <v>67.849999999999994</v>
      </c>
      <c r="P172" s="4">
        <f>--AND(OR(Dashboard!$A$10="All",C172=Dashboard!$A$10),OR(Dashboard!$A$14="All",F172=Dashboard!$A$14),OR(Dashboard!$A$18="All",G172=Dashboard!$A$18),OR(Dashboard!$A$22="All",I172=Dashboard!$A$22))</f>
        <v>1</v>
      </c>
    </row>
    <row r="173" spans="1:16" ht="15.75" customHeight="1">
      <c r="A173" s="4" t="s">
        <v>363</v>
      </c>
      <c r="B173" s="6">
        <v>45364</v>
      </c>
      <c r="C173" s="4">
        <v>2024</v>
      </c>
      <c r="D173" s="4">
        <v>3</v>
      </c>
      <c r="E173" s="4" t="s">
        <v>100</v>
      </c>
      <c r="F173" s="4" t="s">
        <v>5</v>
      </c>
      <c r="G173" s="4" t="s">
        <v>6</v>
      </c>
      <c r="H173" s="4" t="s">
        <v>98</v>
      </c>
      <c r="I173" s="4" t="s">
        <v>13</v>
      </c>
      <c r="J173" s="4" t="s">
        <v>55</v>
      </c>
      <c r="K173" s="4">
        <v>5</v>
      </c>
      <c r="L173" s="5">
        <v>192.64</v>
      </c>
      <c r="M173" s="5">
        <v>963.2</v>
      </c>
      <c r="N173" s="5">
        <v>660.5</v>
      </c>
      <c r="O173" s="5">
        <v>302.7</v>
      </c>
      <c r="P173" s="4">
        <f>--AND(OR(Dashboard!$A$10="All",C173=Dashboard!$A$10),OR(Dashboard!$A$14="All",F173=Dashboard!$A$14),OR(Dashboard!$A$18="All",G173=Dashboard!$A$18),OR(Dashboard!$A$22="All",I173=Dashboard!$A$22))</f>
        <v>1</v>
      </c>
    </row>
    <row r="174" spans="1:16" ht="15.75" customHeight="1">
      <c r="A174" s="4" t="s">
        <v>364</v>
      </c>
      <c r="B174" s="6">
        <v>45740</v>
      </c>
      <c r="C174" s="4">
        <v>2025</v>
      </c>
      <c r="D174" s="4">
        <v>3</v>
      </c>
      <c r="E174" s="4" t="s">
        <v>100</v>
      </c>
      <c r="F174" s="4" t="s">
        <v>11</v>
      </c>
      <c r="G174" s="4" t="s">
        <v>12</v>
      </c>
      <c r="H174" s="4" t="s">
        <v>124</v>
      </c>
      <c r="I174" s="4" t="s">
        <v>10</v>
      </c>
      <c r="J174" s="4" t="s">
        <v>292</v>
      </c>
      <c r="K174" s="4">
        <v>5</v>
      </c>
      <c r="L174" s="5">
        <v>318.24</v>
      </c>
      <c r="M174" s="5">
        <v>1591.2</v>
      </c>
      <c r="N174" s="5">
        <v>989.79</v>
      </c>
      <c r="O174" s="5">
        <v>601.41</v>
      </c>
      <c r="P174" s="4">
        <f>--AND(OR(Dashboard!$A$10="All",C174=Dashboard!$A$10),OR(Dashboard!$A$14="All",F174=Dashboard!$A$14),OR(Dashboard!$A$18="All",G174=Dashboard!$A$18),OR(Dashboard!$A$22="All",I174=Dashboard!$A$22))</f>
        <v>1</v>
      </c>
    </row>
    <row r="175" spans="1:16" ht="15.75" customHeight="1">
      <c r="A175" s="4" t="s">
        <v>365</v>
      </c>
      <c r="B175" s="6">
        <v>45457</v>
      </c>
      <c r="C175" s="4">
        <v>2024</v>
      </c>
      <c r="D175" s="4">
        <v>6</v>
      </c>
      <c r="E175" s="4" t="s">
        <v>34</v>
      </c>
      <c r="F175" s="4" t="s">
        <v>5</v>
      </c>
      <c r="G175" s="4" t="s">
        <v>6</v>
      </c>
      <c r="H175" s="4" t="s">
        <v>98</v>
      </c>
      <c r="I175" s="4" t="s">
        <v>10</v>
      </c>
      <c r="J175" s="4" t="s">
        <v>55</v>
      </c>
      <c r="K175" s="4">
        <v>2</v>
      </c>
      <c r="L175" s="5">
        <v>80.45</v>
      </c>
      <c r="M175" s="5">
        <v>160.9</v>
      </c>
      <c r="N175" s="5">
        <v>110.91</v>
      </c>
      <c r="O175" s="5">
        <v>49.99</v>
      </c>
      <c r="P175" s="4">
        <f>--AND(OR(Dashboard!$A$10="All",C175=Dashboard!$A$10),OR(Dashboard!$A$14="All",F175=Dashboard!$A$14),OR(Dashboard!$A$18="All",G175=Dashboard!$A$18),OR(Dashboard!$A$22="All",I175=Dashboard!$A$22))</f>
        <v>1</v>
      </c>
    </row>
    <row r="176" spans="1:16" ht="15.75" customHeight="1">
      <c r="A176" s="4" t="s">
        <v>366</v>
      </c>
      <c r="B176" s="6">
        <v>45859</v>
      </c>
      <c r="C176" s="4">
        <v>2025</v>
      </c>
      <c r="D176" s="4">
        <v>7</v>
      </c>
      <c r="E176" s="4" t="s">
        <v>63</v>
      </c>
      <c r="F176" s="4" t="s">
        <v>8</v>
      </c>
      <c r="G176" s="4" t="s">
        <v>12</v>
      </c>
      <c r="H176" s="4" t="s">
        <v>86</v>
      </c>
      <c r="I176" s="4" t="s">
        <v>10</v>
      </c>
      <c r="J176" s="4" t="s">
        <v>326</v>
      </c>
      <c r="K176" s="4">
        <v>3</v>
      </c>
      <c r="L176" s="5">
        <v>244.52</v>
      </c>
      <c r="M176" s="5">
        <v>733.56</v>
      </c>
      <c r="N176" s="5">
        <v>430.88</v>
      </c>
      <c r="O176" s="5">
        <v>302.68</v>
      </c>
      <c r="P176" s="4">
        <f>--AND(OR(Dashboard!$A$10="All",C176=Dashboard!$A$10),OR(Dashboard!$A$14="All",F176=Dashboard!$A$14),OR(Dashboard!$A$18="All",G176=Dashboard!$A$18),OR(Dashboard!$A$22="All",I176=Dashboard!$A$22))</f>
        <v>1</v>
      </c>
    </row>
    <row r="177" spans="1:16" ht="15.75" customHeight="1">
      <c r="A177" s="4" t="s">
        <v>367</v>
      </c>
      <c r="B177" s="6">
        <v>45444</v>
      </c>
      <c r="C177" s="4">
        <v>2024</v>
      </c>
      <c r="D177" s="4">
        <v>6</v>
      </c>
      <c r="E177" s="4" t="s">
        <v>34</v>
      </c>
      <c r="F177" s="4" t="s">
        <v>8</v>
      </c>
      <c r="G177" s="4" t="s">
        <v>6</v>
      </c>
      <c r="H177" s="4" t="s">
        <v>54</v>
      </c>
      <c r="I177" s="4" t="s">
        <v>7</v>
      </c>
      <c r="J177" s="4" t="s">
        <v>209</v>
      </c>
      <c r="K177" s="4">
        <v>2</v>
      </c>
      <c r="L177" s="5">
        <v>159.21</v>
      </c>
      <c r="M177" s="5">
        <v>318.42</v>
      </c>
      <c r="N177" s="5">
        <v>214.33</v>
      </c>
      <c r="O177" s="5">
        <v>104.09</v>
      </c>
      <c r="P177" s="4">
        <f>--AND(OR(Dashboard!$A$10="All",C177=Dashboard!$A$10),OR(Dashboard!$A$14="All",F177=Dashboard!$A$14),OR(Dashboard!$A$18="All",G177=Dashboard!$A$18),OR(Dashboard!$A$22="All",I177=Dashboard!$A$22))</f>
        <v>1</v>
      </c>
    </row>
    <row r="178" spans="1:16" ht="15.75" customHeight="1">
      <c r="A178" s="4" t="s">
        <v>368</v>
      </c>
      <c r="B178" s="6">
        <v>45323</v>
      </c>
      <c r="C178" s="4">
        <v>2024</v>
      </c>
      <c r="D178" s="4">
        <v>2</v>
      </c>
      <c r="E178" s="4" t="s">
        <v>70</v>
      </c>
      <c r="F178" s="4" t="s">
        <v>8</v>
      </c>
      <c r="G178" s="4" t="s">
        <v>6</v>
      </c>
      <c r="H178" s="4" t="s">
        <v>80</v>
      </c>
      <c r="I178" s="4" t="s">
        <v>13</v>
      </c>
      <c r="J178" s="4" t="s">
        <v>168</v>
      </c>
      <c r="K178" s="4">
        <v>6</v>
      </c>
      <c r="L178" s="5">
        <v>144.12</v>
      </c>
      <c r="M178" s="5">
        <v>864.72</v>
      </c>
      <c r="N178" s="5">
        <v>590.75</v>
      </c>
      <c r="O178" s="5">
        <v>273.97000000000003</v>
      </c>
      <c r="P178" s="4">
        <f>--AND(OR(Dashboard!$A$10="All",C178=Dashboard!$A$10),OR(Dashboard!$A$14="All",F178=Dashboard!$A$14),OR(Dashboard!$A$18="All",G178=Dashboard!$A$18),OR(Dashboard!$A$22="All",I178=Dashboard!$A$22))</f>
        <v>1</v>
      </c>
    </row>
    <row r="179" spans="1:16" ht="15.75" customHeight="1">
      <c r="A179" s="4" t="s">
        <v>369</v>
      </c>
      <c r="B179" s="6">
        <v>45566</v>
      </c>
      <c r="C179" s="4">
        <v>2024</v>
      </c>
      <c r="D179" s="4">
        <v>10</v>
      </c>
      <c r="E179" s="4" t="s">
        <v>120</v>
      </c>
      <c r="F179" s="4" t="s">
        <v>5</v>
      </c>
      <c r="G179" s="4" t="s">
        <v>12</v>
      </c>
      <c r="H179" s="4" t="s">
        <v>86</v>
      </c>
      <c r="I179" s="4" t="s">
        <v>7</v>
      </c>
      <c r="J179" s="4" t="s">
        <v>68</v>
      </c>
      <c r="K179" s="4">
        <v>6</v>
      </c>
      <c r="L179" s="5">
        <v>236.63</v>
      </c>
      <c r="M179" s="5">
        <v>1419.78</v>
      </c>
      <c r="N179" s="5">
        <v>890.05</v>
      </c>
      <c r="O179" s="5">
        <v>529.73</v>
      </c>
      <c r="P179" s="4">
        <f>--AND(OR(Dashboard!$A$10="All",C179=Dashboard!$A$10),OR(Dashboard!$A$14="All",F179=Dashboard!$A$14),OR(Dashboard!$A$18="All",G179=Dashboard!$A$18),OR(Dashboard!$A$22="All",I179=Dashboard!$A$22))</f>
        <v>1</v>
      </c>
    </row>
    <row r="180" spans="1:16" ht="15.75" customHeight="1">
      <c r="A180" s="4" t="s">
        <v>370</v>
      </c>
      <c r="B180" s="6">
        <v>45966</v>
      </c>
      <c r="C180" s="4">
        <v>2025</v>
      </c>
      <c r="D180" s="4">
        <v>11</v>
      </c>
      <c r="E180" s="4" t="s">
        <v>89</v>
      </c>
      <c r="F180" s="4" t="s">
        <v>5</v>
      </c>
      <c r="G180" s="4" t="s">
        <v>12</v>
      </c>
      <c r="H180" s="4" t="s">
        <v>127</v>
      </c>
      <c r="I180" s="4" t="s">
        <v>10</v>
      </c>
      <c r="J180" s="4" t="s">
        <v>371</v>
      </c>
      <c r="K180" s="4">
        <v>3</v>
      </c>
      <c r="L180" s="5">
        <v>146.86000000000001</v>
      </c>
      <c r="M180" s="5">
        <v>440.58</v>
      </c>
      <c r="N180" s="5">
        <v>252.43</v>
      </c>
      <c r="O180" s="5">
        <v>188.15</v>
      </c>
      <c r="P180" s="4">
        <f>--AND(OR(Dashboard!$A$10="All",C180=Dashboard!$A$10),OR(Dashboard!$A$14="All",F180=Dashboard!$A$14),OR(Dashboard!$A$18="All",G180=Dashboard!$A$18),OR(Dashboard!$A$22="All",I180=Dashboard!$A$22))</f>
        <v>1</v>
      </c>
    </row>
    <row r="181" spans="1:16" ht="15.75" customHeight="1">
      <c r="A181" s="4" t="s">
        <v>372</v>
      </c>
      <c r="B181" s="6">
        <v>46004</v>
      </c>
      <c r="C181" s="4">
        <v>2025</v>
      </c>
      <c r="D181" s="4">
        <v>12</v>
      </c>
      <c r="E181" s="4" t="s">
        <v>57</v>
      </c>
      <c r="F181" s="4" t="s">
        <v>14</v>
      </c>
      <c r="G181" s="4" t="s">
        <v>9</v>
      </c>
      <c r="H181" s="4" t="s">
        <v>71</v>
      </c>
      <c r="I181" s="4" t="s">
        <v>7</v>
      </c>
      <c r="J181" s="4" t="s">
        <v>373</v>
      </c>
      <c r="K181" s="4">
        <v>3</v>
      </c>
      <c r="L181" s="5">
        <v>34.44</v>
      </c>
      <c r="M181" s="5">
        <v>103.32</v>
      </c>
      <c r="N181" s="5">
        <v>52.75</v>
      </c>
      <c r="O181" s="5">
        <v>50.57</v>
      </c>
      <c r="P181" s="4">
        <f>--AND(OR(Dashboard!$A$10="All",C181=Dashboard!$A$10),OR(Dashboard!$A$14="All",F181=Dashboard!$A$14),OR(Dashboard!$A$18="All",G181=Dashboard!$A$18),OR(Dashboard!$A$22="All",I181=Dashboard!$A$22))</f>
        <v>1</v>
      </c>
    </row>
    <row r="182" spans="1:16" ht="15.75" customHeight="1">
      <c r="A182" s="4" t="s">
        <v>374</v>
      </c>
      <c r="B182" s="6">
        <v>45823</v>
      </c>
      <c r="C182" s="4">
        <v>2025</v>
      </c>
      <c r="D182" s="4">
        <v>6</v>
      </c>
      <c r="E182" s="4" t="s">
        <v>34</v>
      </c>
      <c r="F182" s="4" t="s">
        <v>8</v>
      </c>
      <c r="G182" s="4" t="s">
        <v>6</v>
      </c>
      <c r="H182" s="4" t="s">
        <v>136</v>
      </c>
      <c r="I182" s="4" t="s">
        <v>13</v>
      </c>
      <c r="J182" s="4" t="s">
        <v>153</v>
      </c>
      <c r="K182" s="4">
        <v>7</v>
      </c>
      <c r="L182" s="5">
        <v>153.31</v>
      </c>
      <c r="M182" s="5">
        <v>1073.17</v>
      </c>
      <c r="N182" s="5">
        <v>726.22</v>
      </c>
      <c r="O182" s="5">
        <v>346.95</v>
      </c>
      <c r="P182" s="4">
        <f>--AND(OR(Dashboard!$A$10="All",C182=Dashboard!$A$10),OR(Dashboard!$A$14="All",F182=Dashboard!$A$14),OR(Dashboard!$A$18="All",G182=Dashboard!$A$18),OR(Dashboard!$A$22="All",I182=Dashboard!$A$22))</f>
        <v>1</v>
      </c>
    </row>
    <row r="183" spans="1:16" ht="15.75" customHeight="1">
      <c r="A183" s="4" t="s">
        <v>375</v>
      </c>
      <c r="B183" s="6">
        <v>45700</v>
      </c>
      <c r="C183" s="4">
        <v>2025</v>
      </c>
      <c r="D183" s="4">
        <v>2</v>
      </c>
      <c r="E183" s="4" t="s">
        <v>70</v>
      </c>
      <c r="F183" s="4" t="s">
        <v>11</v>
      </c>
      <c r="G183" s="4" t="s">
        <v>12</v>
      </c>
      <c r="H183" s="4" t="s">
        <v>86</v>
      </c>
      <c r="I183" s="4" t="s">
        <v>7</v>
      </c>
      <c r="J183" s="4" t="s">
        <v>195</v>
      </c>
      <c r="K183" s="4">
        <v>1</v>
      </c>
      <c r="L183" s="5">
        <v>184.16</v>
      </c>
      <c r="M183" s="5">
        <v>184.16</v>
      </c>
      <c r="N183" s="5">
        <v>111.59</v>
      </c>
      <c r="O183" s="5">
        <v>72.569999999999993</v>
      </c>
      <c r="P183" s="4">
        <f>--AND(OR(Dashboard!$A$10="All",C183=Dashboard!$A$10),OR(Dashboard!$A$14="All",F183=Dashboard!$A$14),OR(Dashboard!$A$18="All",G183=Dashboard!$A$18),OR(Dashboard!$A$22="All",I183=Dashboard!$A$22))</f>
        <v>1</v>
      </c>
    </row>
    <row r="184" spans="1:16" ht="15.75" customHeight="1">
      <c r="A184" s="4" t="s">
        <v>376</v>
      </c>
      <c r="B184" s="6">
        <v>45587</v>
      </c>
      <c r="C184" s="4">
        <v>2024</v>
      </c>
      <c r="D184" s="4">
        <v>10</v>
      </c>
      <c r="E184" s="4" t="s">
        <v>120</v>
      </c>
      <c r="F184" s="4" t="s">
        <v>5</v>
      </c>
      <c r="G184" s="4" t="s">
        <v>12</v>
      </c>
      <c r="H184" s="4" t="s">
        <v>58</v>
      </c>
      <c r="I184" s="4" t="s">
        <v>13</v>
      </c>
      <c r="J184" s="4" t="s">
        <v>68</v>
      </c>
      <c r="K184" s="4">
        <v>6</v>
      </c>
      <c r="L184" s="5">
        <v>262.92</v>
      </c>
      <c r="M184" s="5">
        <v>1577.52</v>
      </c>
      <c r="N184" s="5">
        <v>974.86</v>
      </c>
      <c r="O184" s="5">
        <v>602.66</v>
      </c>
      <c r="P184" s="4">
        <f>--AND(OR(Dashboard!$A$10="All",C184=Dashboard!$A$10),OR(Dashboard!$A$14="All",F184=Dashboard!$A$14),OR(Dashboard!$A$18="All",G184=Dashboard!$A$18),OR(Dashboard!$A$22="All",I184=Dashboard!$A$22))</f>
        <v>1</v>
      </c>
    </row>
    <row r="185" spans="1:16" ht="15.75" customHeight="1">
      <c r="A185" s="4" t="s">
        <v>377</v>
      </c>
      <c r="B185" s="6">
        <v>45941</v>
      </c>
      <c r="C185" s="4">
        <v>2025</v>
      </c>
      <c r="D185" s="4">
        <v>10</v>
      </c>
      <c r="E185" s="4" t="s">
        <v>120</v>
      </c>
      <c r="F185" s="4" t="s">
        <v>8</v>
      </c>
      <c r="G185" s="4" t="s">
        <v>12</v>
      </c>
      <c r="H185" s="4" t="s">
        <v>58</v>
      </c>
      <c r="I185" s="4" t="s">
        <v>7</v>
      </c>
      <c r="J185" s="4" t="s">
        <v>292</v>
      </c>
      <c r="K185" s="4">
        <v>2</v>
      </c>
      <c r="L185" s="5">
        <v>178.59</v>
      </c>
      <c r="M185" s="5">
        <v>357.18</v>
      </c>
      <c r="N185" s="5">
        <v>205.69</v>
      </c>
      <c r="O185" s="5">
        <v>151.49</v>
      </c>
      <c r="P185" s="4">
        <f>--AND(OR(Dashboard!$A$10="All",C185=Dashboard!$A$10),OR(Dashboard!$A$14="All",F185=Dashboard!$A$14),OR(Dashboard!$A$18="All",G185=Dashboard!$A$18),OR(Dashboard!$A$22="All",I185=Dashboard!$A$22))</f>
        <v>1</v>
      </c>
    </row>
    <row r="186" spans="1:16" ht="15.75" customHeight="1">
      <c r="A186" s="4" t="s">
        <v>378</v>
      </c>
      <c r="B186" s="6">
        <v>45623</v>
      </c>
      <c r="C186" s="4">
        <v>2024</v>
      </c>
      <c r="D186" s="4">
        <v>11</v>
      </c>
      <c r="E186" s="4" t="s">
        <v>89</v>
      </c>
      <c r="F186" s="4" t="s">
        <v>5</v>
      </c>
      <c r="G186" s="4" t="s">
        <v>12</v>
      </c>
      <c r="H186" s="4" t="s">
        <v>124</v>
      </c>
      <c r="I186" s="4" t="s">
        <v>13</v>
      </c>
      <c r="J186" s="4" t="s">
        <v>379</v>
      </c>
      <c r="K186" s="4">
        <v>3</v>
      </c>
      <c r="L186" s="5">
        <v>141.29</v>
      </c>
      <c r="M186" s="5">
        <v>423.87</v>
      </c>
      <c r="N186" s="5">
        <v>255.49</v>
      </c>
      <c r="O186" s="5">
        <v>168.38</v>
      </c>
      <c r="P186" s="4">
        <f>--AND(OR(Dashboard!$A$10="All",C186=Dashboard!$A$10),OR(Dashboard!$A$14="All",F186=Dashboard!$A$14),OR(Dashboard!$A$18="All",G186=Dashboard!$A$18),OR(Dashboard!$A$22="All",I186=Dashboard!$A$22))</f>
        <v>1</v>
      </c>
    </row>
    <row r="187" spans="1:16" ht="15.75" customHeight="1">
      <c r="A187" s="4" t="s">
        <v>380</v>
      </c>
      <c r="B187" s="6">
        <v>45781</v>
      </c>
      <c r="C187" s="4">
        <v>2025</v>
      </c>
      <c r="D187" s="4">
        <v>5</v>
      </c>
      <c r="E187" s="4" t="s">
        <v>108</v>
      </c>
      <c r="F187" s="4" t="s">
        <v>5</v>
      </c>
      <c r="G187" s="4" t="s">
        <v>6</v>
      </c>
      <c r="H187" s="4" t="s">
        <v>80</v>
      </c>
      <c r="I187" s="4" t="s">
        <v>7</v>
      </c>
      <c r="J187" s="4" t="s">
        <v>381</v>
      </c>
      <c r="K187" s="4">
        <v>1</v>
      </c>
      <c r="L187" s="5">
        <v>77.56</v>
      </c>
      <c r="M187" s="5">
        <v>77.56</v>
      </c>
      <c r="N187" s="5">
        <v>51.02</v>
      </c>
      <c r="O187" s="5">
        <v>26.54</v>
      </c>
      <c r="P187" s="4">
        <f>--AND(OR(Dashboard!$A$10="All",C187=Dashboard!$A$10),OR(Dashboard!$A$14="All",F187=Dashboard!$A$14),OR(Dashboard!$A$18="All",G187=Dashboard!$A$18),OR(Dashboard!$A$22="All",I187=Dashboard!$A$22))</f>
        <v>1</v>
      </c>
    </row>
    <row r="188" spans="1:16" ht="15.75" customHeight="1">
      <c r="A188" s="4" t="s">
        <v>382</v>
      </c>
      <c r="B188" s="6">
        <v>45584</v>
      </c>
      <c r="C188" s="4">
        <v>2024</v>
      </c>
      <c r="D188" s="4">
        <v>10</v>
      </c>
      <c r="E188" s="4" t="s">
        <v>120</v>
      </c>
      <c r="F188" s="4" t="s">
        <v>8</v>
      </c>
      <c r="G188" s="4" t="s">
        <v>12</v>
      </c>
      <c r="H188" s="4" t="s">
        <v>124</v>
      </c>
      <c r="I188" s="4" t="s">
        <v>13</v>
      </c>
      <c r="J188" s="4" t="s">
        <v>205</v>
      </c>
      <c r="K188" s="4">
        <v>7</v>
      </c>
      <c r="L188" s="5">
        <v>315.04000000000002</v>
      </c>
      <c r="M188" s="5">
        <v>2205.2800000000002</v>
      </c>
      <c r="N188" s="5">
        <v>1326.76</v>
      </c>
      <c r="O188" s="5">
        <v>878.52</v>
      </c>
      <c r="P188" s="4">
        <f>--AND(OR(Dashboard!$A$10="All",C188=Dashboard!$A$10),OR(Dashboard!$A$14="All",F188=Dashboard!$A$14),OR(Dashboard!$A$18="All",G188=Dashboard!$A$18),OR(Dashboard!$A$22="All",I188=Dashboard!$A$22))</f>
        <v>1</v>
      </c>
    </row>
    <row r="189" spans="1:16" ht="15.75" customHeight="1">
      <c r="A189" s="4" t="s">
        <v>383</v>
      </c>
      <c r="B189" s="6">
        <v>45810</v>
      </c>
      <c r="C189" s="4">
        <v>2025</v>
      </c>
      <c r="D189" s="4">
        <v>6</v>
      </c>
      <c r="E189" s="4" t="s">
        <v>34</v>
      </c>
      <c r="F189" s="4" t="s">
        <v>5</v>
      </c>
      <c r="G189" s="4" t="s">
        <v>6</v>
      </c>
      <c r="H189" s="4" t="s">
        <v>80</v>
      </c>
      <c r="I189" s="4" t="s">
        <v>7</v>
      </c>
      <c r="J189" s="4" t="s">
        <v>125</v>
      </c>
      <c r="K189" s="4">
        <v>7</v>
      </c>
      <c r="L189" s="5">
        <v>136.56</v>
      </c>
      <c r="M189" s="5">
        <v>955.92</v>
      </c>
      <c r="N189" s="5">
        <v>607.29</v>
      </c>
      <c r="O189" s="5">
        <v>348.63</v>
      </c>
      <c r="P189" s="4">
        <f>--AND(OR(Dashboard!$A$10="All",C189=Dashboard!$A$10),OR(Dashboard!$A$14="All",F189=Dashboard!$A$14),OR(Dashboard!$A$18="All",G189=Dashboard!$A$18),OR(Dashboard!$A$22="All",I189=Dashboard!$A$22))</f>
        <v>1</v>
      </c>
    </row>
    <row r="190" spans="1:16" ht="15.75" customHeight="1">
      <c r="A190" s="4" t="s">
        <v>384</v>
      </c>
      <c r="B190" s="6">
        <v>46021</v>
      </c>
      <c r="C190" s="4">
        <v>2025</v>
      </c>
      <c r="D190" s="4">
        <v>12</v>
      </c>
      <c r="E190" s="4" t="s">
        <v>57</v>
      </c>
      <c r="F190" s="4" t="s">
        <v>8</v>
      </c>
      <c r="G190" s="4" t="s">
        <v>9</v>
      </c>
      <c r="H190" s="4" t="s">
        <v>64</v>
      </c>
      <c r="I190" s="4" t="s">
        <v>7</v>
      </c>
      <c r="J190" s="4" t="s">
        <v>211</v>
      </c>
      <c r="K190" s="4">
        <v>7</v>
      </c>
      <c r="L190" s="5">
        <v>61.56</v>
      </c>
      <c r="M190" s="5">
        <v>430.92</v>
      </c>
      <c r="N190" s="5">
        <v>224.5</v>
      </c>
      <c r="O190" s="5">
        <v>206.42</v>
      </c>
      <c r="P190" s="4">
        <f>--AND(OR(Dashboard!$A$10="All",C190=Dashboard!$A$10),OR(Dashboard!$A$14="All",F190=Dashboard!$A$14),OR(Dashboard!$A$18="All",G190=Dashboard!$A$18),OR(Dashboard!$A$22="All",I190=Dashboard!$A$22))</f>
        <v>1</v>
      </c>
    </row>
    <row r="191" spans="1:16" ht="15.75" customHeight="1">
      <c r="A191" s="4" t="s">
        <v>385</v>
      </c>
      <c r="B191" s="6">
        <v>45411</v>
      </c>
      <c r="C191" s="4">
        <v>2024</v>
      </c>
      <c r="D191" s="4">
        <v>4</v>
      </c>
      <c r="E191" s="4" t="s">
        <v>106</v>
      </c>
      <c r="F191" s="4" t="s">
        <v>5</v>
      </c>
      <c r="G191" s="4" t="s">
        <v>12</v>
      </c>
      <c r="H191" s="4" t="s">
        <v>127</v>
      </c>
      <c r="I191" s="4" t="s">
        <v>7</v>
      </c>
      <c r="J191" s="4" t="s">
        <v>261</v>
      </c>
      <c r="K191" s="4">
        <v>1</v>
      </c>
      <c r="L191" s="5">
        <v>207.11</v>
      </c>
      <c r="M191" s="5">
        <v>207.11</v>
      </c>
      <c r="N191" s="5">
        <v>118.33</v>
      </c>
      <c r="O191" s="5">
        <v>88.78</v>
      </c>
      <c r="P191" s="4">
        <f>--AND(OR(Dashboard!$A$10="All",C191=Dashboard!$A$10),OR(Dashboard!$A$14="All",F191=Dashboard!$A$14),OR(Dashboard!$A$18="All",G191=Dashboard!$A$18),OR(Dashboard!$A$22="All",I191=Dashboard!$A$22))</f>
        <v>1</v>
      </c>
    </row>
    <row r="192" spans="1:16" ht="15.75" customHeight="1">
      <c r="A192" s="4" t="s">
        <v>386</v>
      </c>
      <c r="B192" s="6">
        <v>45969</v>
      </c>
      <c r="C192" s="4">
        <v>2025</v>
      </c>
      <c r="D192" s="4">
        <v>11</v>
      </c>
      <c r="E192" s="4" t="s">
        <v>89</v>
      </c>
      <c r="F192" s="4" t="s">
        <v>5</v>
      </c>
      <c r="G192" s="4" t="s">
        <v>6</v>
      </c>
      <c r="H192" s="4" t="s">
        <v>54</v>
      </c>
      <c r="I192" s="4" t="s">
        <v>7</v>
      </c>
      <c r="J192" s="4" t="s">
        <v>317</v>
      </c>
      <c r="K192" s="4">
        <v>1</v>
      </c>
      <c r="L192" s="5">
        <v>143.75</v>
      </c>
      <c r="M192" s="5">
        <v>143.75</v>
      </c>
      <c r="N192" s="5">
        <v>94.06</v>
      </c>
      <c r="O192" s="5">
        <v>49.69</v>
      </c>
      <c r="P192" s="4">
        <f>--AND(OR(Dashboard!$A$10="All",C192=Dashboard!$A$10),OR(Dashboard!$A$14="All",F192=Dashboard!$A$14),OR(Dashboard!$A$18="All",G192=Dashboard!$A$18),OR(Dashboard!$A$22="All",I192=Dashboard!$A$22))</f>
        <v>1</v>
      </c>
    </row>
    <row r="193" spans="1:16" ht="15.75" customHeight="1">
      <c r="A193" s="4" t="s">
        <v>387</v>
      </c>
      <c r="B193" s="6">
        <v>45945</v>
      </c>
      <c r="C193" s="4">
        <v>2025</v>
      </c>
      <c r="D193" s="4">
        <v>10</v>
      </c>
      <c r="E193" s="4" t="s">
        <v>120</v>
      </c>
      <c r="F193" s="4" t="s">
        <v>5</v>
      </c>
      <c r="G193" s="4" t="s">
        <v>9</v>
      </c>
      <c r="H193" s="4" t="s">
        <v>64</v>
      </c>
      <c r="I193" s="4" t="s">
        <v>7</v>
      </c>
      <c r="J193" s="4" t="s">
        <v>261</v>
      </c>
      <c r="K193" s="4">
        <v>1</v>
      </c>
      <c r="L193" s="5">
        <v>40.06</v>
      </c>
      <c r="M193" s="5">
        <v>40.06</v>
      </c>
      <c r="N193" s="5">
        <v>20.69</v>
      </c>
      <c r="O193" s="5">
        <v>19.37</v>
      </c>
      <c r="P193" s="4">
        <f>--AND(OR(Dashboard!$A$10="All",C193=Dashboard!$A$10),OR(Dashboard!$A$14="All",F193=Dashboard!$A$14),OR(Dashboard!$A$18="All",G193=Dashboard!$A$18),OR(Dashboard!$A$22="All",I193=Dashboard!$A$22))</f>
        <v>1</v>
      </c>
    </row>
    <row r="194" spans="1:16" ht="15.75" customHeight="1">
      <c r="A194" s="4" t="s">
        <v>388</v>
      </c>
      <c r="B194" s="6">
        <v>45940</v>
      </c>
      <c r="C194" s="4">
        <v>2025</v>
      </c>
      <c r="D194" s="4">
        <v>10</v>
      </c>
      <c r="E194" s="4" t="s">
        <v>120</v>
      </c>
      <c r="F194" s="4" t="s">
        <v>8</v>
      </c>
      <c r="G194" s="4" t="s">
        <v>12</v>
      </c>
      <c r="H194" s="4" t="s">
        <v>124</v>
      </c>
      <c r="I194" s="4" t="s">
        <v>7</v>
      </c>
      <c r="J194" s="4" t="s">
        <v>348</v>
      </c>
      <c r="K194" s="4">
        <v>7</v>
      </c>
      <c r="L194" s="5">
        <v>298.19</v>
      </c>
      <c r="M194" s="5">
        <v>2087.33</v>
      </c>
      <c r="N194" s="5">
        <v>1269.51</v>
      </c>
      <c r="O194" s="5">
        <v>817.82</v>
      </c>
      <c r="P194" s="4">
        <f>--AND(OR(Dashboard!$A$10="All",C194=Dashboard!$A$10),OR(Dashboard!$A$14="All",F194=Dashboard!$A$14),OR(Dashboard!$A$18="All",G194=Dashboard!$A$18),OR(Dashboard!$A$22="All",I194=Dashboard!$A$22))</f>
        <v>1</v>
      </c>
    </row>
    <row r="195" spans="1:16" ht="15.75" customHeight="1">
      <c r="A195" s="4" t="s">
        <v>389</v>
      </c>
      <c r="B195" s="6">
        <v>45299</v>
      </c>
      <c r="C195" s="4">
        <v>2024</v>
      </c>
      <c r="D195" s="4">
        <v>1</v>
      </c>
      <c r="E195" s="4" t="s">
        <v>30</v>
      </c>
      <c r="F195" s="4" t="s">
        <v>5</v>
      </c>
      <c r="G195" s="4" t="s">
        <v>12</v>
      </c>
      <c r="H195" s="4" t="s">
        <v>127</v>
      </c>
      <c r="I195" s="4" t="s">
        <v>7</v>
      </c>
      <c r="J195" s="4" t="s">
        <v>235</v>
      </c>
      <c r="K195" s="4">
        <v>2</v>
      </c>
      <c r="L195" s="5">
        <v>187.7</v>
      </c>
      <c r="M195" s="5">
        <v>375.4</v>
      </c>
      <c r="N195" s="5">
        <v>231.16</v>
      </c>
      <c r="O195" s="5">
        <v>144.24</v>
      </c>
      <c r="P195" s="4">
        <f>--AND(OR(Dashboard!$A$10="All",C195=Dashboard!$A$10),OR(Dashboard!$A$14="All",F195=Dashboard!$A$14),OR(Dashboard!$A$18="All",G195=Dashboard!$A$18),OR(Dashboard!$A$22="All",I195=Dashboard!$A$22))</f>
        <v>1</v>
      </c>
    </row>
    <row r="196" spans="1:16" ht="15.75" customHeight="1">
      <c r="A196" s="4" t="s">
        <v>390</v>
      </c>
      <c r="B196" s="6">
        <v>45615</v>
      </c>
      <c r="C196" s="4">
        <v>2024</v>
      </c>
      <c r="D196" s="4">
        <v>11</v>
      </c>
      <c r="E196" s="4" t="s">
        <v>89</v>
      </c>
      <c r="F196" s="4" t="s">
        <v>8</v>
      </c>
      <c r="G196" s="4" t="s">
        <v>6</v>
      </c>
      <c r="H196" s="4" t="s">
        <v>54</v>
      </c>
      <c r="I196" s="4" t="s">
        <v>13</v>
      </c>
      <c r="J196" s="4" t="s">
        <v>311</v>
      </c>
      <c r="K196" s="4">
        <v>2</v>
      </c>
      <c r="L196" s="5">
        <v>118.75</v>
      </c>
      <c r="M196" s="5">
        <v>237.5</v>
      </c>
      <c r="N196" s="5">
        <v>152.22</v>
      </c>
      <c r="O196" s="5">
        <v>85.28</v>
      </c>
      <c r="P196" s="4">
        <f>--AND(OR(Dashboard!$A$10="All",C196=Dashboard!$A$10),OR(Dashboard!$A$14="All",F196=Dashboard!$A$14),OR(Dashboard!$A$18="All",G196=Dashboard!$A$18),OR(Dashboard!$A$22="All",I196=Dashboard!$A$22))</f>
        <v>1</v>
      </c>
    </row>
    <row r="197" spans="1:16" ht="15.75" customHeight="1">
      <c r="A197" s="4" t="s">
        <v>391</v>
      </c>
      <c r="B197" s="6">
        <v>45342</v>
      </c>
      <c r="C197" s="4">
        <v>2024</v>
      </c>
      <c r="D197" s="4">
        <v>2</v>
      </c>
      <c r="E197" s="4" t="s">
        <v>70</v>
      </c>
      <c r="F197" s="4" t="s">
        <v>11</v>
      </c>
      <c r="G197" s="4" t="s">
        <v>12</v>
      </c>
      <c r="H197" s="4" t="s">
        <v>124</v>
      </c>
      <c r="I197" s="4" t="s">
        <v>7</v>
      </c>
      <c r="J197" s="4" t="s">
        <v>379</v>
      </c>
      <c r="K197" s="4">
        <v>5</v>
      </c>
      <c r="L197" s="5">
        <v>196.09</v>
      </c>
      <c r="M197" s="5">
        <v>980.45</v>
      </c>
      <c r="N197" s="5">
        <v>602.87</v>
      </c>
      <c r="O197" s="5">
        <v>377.58</v>
      </c>
      <c r="P197" s="4">
        <f>--AND(OR(Dashboard!$A$10="All",C197=Dashboard!$A$10),OR(Dashboard!$A$14="All",F197=Dashboard!$A$14),OR(Dashboard!$A$18="All",G197=Dashboard!$A$18),OR(Dashboard!$A$22="All",I197=Dashboard!$A$22))</f>
        <v>1</v>
      </c>
    </row>
    <row r="198" spans="1:16" ht="15.75" customHeight="1">
      <c r="A198" s="4" t="s">
        <v>392</v>
      </c>
      <c r="B198" s="6">
        <v>45571</v>
      </c>
      <c r="C198" s="4">
        <v>2024</v>
      </c>
      <c r="D198" s="4">
        <v>10</v>
      </c>
      <c r="E198" s="4" t="s">
        <v>120</v>
      </c>
      <c r="F198" s="4" t="s">
        <v>11</v>
      </c>
      <c r="G198" s="4" t="s">
        <v>6</v>
      </c>
      <c r="H198" s="4" t="s">
        <v>98</v>
      </c>
      <c r="I198" s="4" t="s">
        <v>7</v>
      </c>
      <c r="J198" s="4" t="s">
        <v>393</v>
      </c>
      <c r="K198" s="4">
        <v>1</v>
      </c>
      <c r="L198" s="5">
        <v>211.88</v>
      </c>
      <c r="M198" s="5">
        <v>211.88</v>
      </c>
      <c r="N198" s="5">
        <v>145.32</v>
      </c>
      <c r="O198" s="5">
        <v>66.56</v>
      </c>
      <c r="P198" s="4">
        <f>--AND(OR(Dashboard!$A$10="All",C198=Dashboard!$A$10),OR(Dashboard!$A$14="All",F198=Dashboard!$A$14),OR(Dashboard!$A$18="All",G198=Dashboard!$A$18),OR(Dashboard!$A$22="All",I198=Dashboard!$A$22))</f>
        <v>1</v>
      </c>
    </row>
    <row r="199" spans="1:16" ht="15.75" customHeight="1">
      <c r="A199" s="4" t="s">
        <v>394</v>
      </c>
      <c r="B199" s="6">
        <v>45833</v>
      </c>
      <c r="C199" s="4">
        <v>2025</v>
      </c>
      <c r="D199" s="4">
        <v>6</v>
      </c>
      <c r="E199" s="4" t="s">
        <v>34</v>
      </c>
      <c r="F199" s="4" t="s">
        <v>5</v>
      </c>
      <c r="G199" s="4" t="s">
        <v>9</v>
      </c>
      <c r="H199" s="4" t="s">
        <v>64</v>
      </c>
      <c r="I199" s="4" t="s">
        <v>7</v>
      </c>
      <c r="J199" s="4" t="s">
        <v>292</v>
      </c>
      <c r="K199" s="4">
        <v>2</v>
      </c>
      <c r="L199" s="5">
        <v>42.11</v>
      </c>
      <c r="M199" s="5">
        <v>84.22</v>
      </c>
      <c r="N199" s="5">
        <v>40.22</v>
      </c>
      <c r="O199" s="5">
        <v>44</v>
      </c>
      <c r="P199" s="4">
        <f>--AND(OR(Dashboard!$A$10="All",C199=Dashboard!$A$10),OR(Dashboard!$A$14="All",F199=Dashboard!$A$14),OR(Dashboard!$A$18="All",G199=Dashboard!$A$18),OR(Dashboard!$A$22="All",I199=Dashboard!$A$22))</f>
        <v>1</v>
      </c>
    </row>
    <row r="200" spans="1:16" ht="15.75" customHeight="1">
      <c r="A200" s="4" t="s">
        <v>395</v>
      </c>
      <c r="B200" s="6">
        <v>45482</v>
      </c>
      <c r="C200" s="4">
        <v>2024</v>
      </c>
      <c r="D200" s="4">
        <v>7</v>
      </c>
      <c r="E200" s="4" t="s">
        <v>63</v>
      </c>
      <c r="F200" s="4" t="s">
        <v>11</v>
      </c>
      <c r="G200" s="4" t="s">
        <v>9</v>
      </c>
      <c r="H200" s="4" t="s">
        <v>35</v>
      </c>
      <c r="I200" s="4" t="s">
        <v>10</v>
      </c>
      <c r="J200" s="4" t="s">
        <v>346</v>
      </c>
      <c r="K200" s="4">
        <v>3</v>
      </c>
      <c r="L200" s="5">
        <v>64.040000000000006</v>
      </c>
      <c r="M200" s="5">
        <v>192.12</v>
      </c>
      <c r="N200" s="5">
        <v>92.13</v>
      </c>
      <c r="O200" s="5">
        <v>99.99</v>
      </c>
      <c r="P200" s="4">
        <f>--AND(OR(Dashboard!$A$10="All",C200=Dashboard!$A$10),OR(Dashboard!$A$14="All",F200=Dashboard!$A$14),OR(Dashboard!$A$18="All",G200=Dashboard!$A$18),OR(Dashboard!$A$22="All",I200=Dashboard!$A$22))</f>
        <v>1</v>
      </c>
    </row>
    <row r="201" spans="1:16" ht="15.75" customHeight="1">
      <c r="A201" s="4" t="s">
        <v>396</v>
      </c>
      <c r="B201" s="6">
        <v>45868</v>
      </c>
      <c r="C201" s="4">
        <v>2025</v>
      </c>
      <c r="D201" s="4">
        <v>7</v>
      </c>
      <c r="E201" s="4" t="s">
        <v>63</v>
      </c>
      <c r="F201" s="4" t="s">
        <v>5</v>
      </c>
      <c r="G201" s="4" t="s">
        <v>12</v>
      </c>
      <c r="H201" s="4" t="s">
        <v>58</v>
      </c>
      <c r="I201" s="4" t="s">
        <v>10</v>
      </c>
      <c r="J201" s="4" t="s">
        <v>68</v>
      </c>
      <c r="K201" s="4">
        <v>3</v>
      </c>
      <c r="L201" s="5">
        <v>322.64</v>
      </c>
      <c r="M201" s="5">
        <v>967.92</v>
      </c>
      <c r="N201" s="5">
        <v>553.79999999999995</v>
      </c>
      <c r="O201" s="5">
        <v>414.12</v>
      </c>
      <c r="P201" s="4">
        <f>--AND(OR(Dashboard!$A$10="All",C201=Dashboard!$A$10),OR(Dashboard!$A$14="All",F201=Dashboard!$A$14),OR(Dashboard!$A$18="All",G201=Dashboard!$A$18),OR(Dashboard!$A$22="All",I201=Dashboard!$A$22))</f>
        <v>1</v>
      </c>
    </row>
    <row r="202" spans="1:16" ht="15.75" customHeight="1">
      <c r="A202" s="4" t="s">
        <v>397</v>
      </c>
      <c r="B202" s="6">
        <v>45401</v>
      </c>
      <c r="C202" s="4">
        <v>2024</v>
      </c>
      <c r="D202" s="4">
        <v>4</v>
      </c>
      <c r="E202" s="4" t="s">
        <v>106</v>
      </c>
      <c r="F202" s="4" t="s">
        <v>8</v>
      </c>
      <c r="G202" s="4" t="s">
        <v>12</v>
      </c>
      <c r="H202" s="4" t="s">
        <v>92</v>
      </c>
      <c r="I202" s="4" t="s">
        <v>13</v>
      </c>
      <c r="J202" s="4" t="s">
        <v>166</v>
      </c>
      <c r="K202" s="4">
        <v>1</v>
      </c>
      <c r="L202" s="5">
        <v>263.14999999999998</v>
      </c>
      <c r="M202" s="5">
        <v>263.14999999999998</v>
      </c>
      <c r="N202" s="5">
        <v>163.92</v>
      </c>
      <c r="O202" s="5">
        <v>99.23</v>
      </c>
      <c r="P202" s="4">
        <f>--AND(OR(Dashboard!$A$10="All",C202=Dashboard!$A$10),OR(Dashboard!$A$14="All",F202=Dashboard!$A$14),OR(Dashboard!$A$18="All",G202=Dashboard!$A$18),OR(Dashboard!$A$22="All",I202=Dashboard!$A$22))</f>
        <v>1</v>
      </c>
    </row>
    <row r="203" spans="1:16" ht="15.75" customHeight="1">
      <c r="A203" s="4" t="s">
        <v>398</v>
      </c>
      <c r="B203" s="6">
        <v>45571</v>
      </c>
      <c r="C203" s="4">
        <v>2024</v>
      </c>
      <c r="D203" s="4">
        <v>10</v>
      </c>
      <c r="E203" s="4" t="s">
        <v>120</v>
      </c>
      <c r="F203" s="4" t="s">
        <v>5</v>
      </c>
      <c r="G203" s="4" t="s">
        <v>9</v>
      </c>
      <c r="H203" s="4" t="s">
        <v>110</v>
      </c>
      <c r="I203" s="4" t="s">
        <v>7</v>
      </c>
      <c r="J203" s="4" t="s">
        <v>336</v>
      </c>
      <c r="K203" s="4">
        <v>2</v>
      </c>
      <c r="L203" s="5">
        <v>67.33</v>
      </c>
      <c r="M203" s="5">
        <v>134.66</v>
      </c>
      <c r="N203" s="5">
        <v>65.739999999999995</v>
      </c>
      <c r="O203" s="5">
        <v>68.92</v>
      </c>
      <c r="P203" s="4">
        <f>--AND(OR(Dashboard!$A$10="All",C203=Dashboard!$A$10),OR(Dashboard!$A$14="All",F203=Dashboard!$A$14),OR(Dashboard!$A$18="All",G203=Dashboard!$A$18),OR(Dashboard!$A$22="All",I203=Dashboard!$A$22))</f>
        <v>1</v>
      </c>
    </row>
    <row r="204" spans="1:16" ht="15.75" customHeight="1">
      <c r="A204" s="4" t="s">
        <v>399</v>
      </c>
      <c r="B204" s="6">
        <v>45769</v>
      </c>
      <c r="C204" s="4">
        <v>2025</v>
      </c>
      <c r="D204" s="4">
        <v>4</v>
      </c>
      <c r="E204" s="4" t="s">
        <v>106</v>
      </c>
      <c r="F204" s="4" t="s">
        <v>8</v>
      </c>
      <c r="G204" s="4" t="s">
        <v>12</v>
      </c>
      <c r="H204" s="4" t="s">
        <v>58</v>
      </c>
      <c r="I204" s="4" t="s">
        <v>7</v>
      </c>
      <c r="J204" s="4" t="s">
        <v>159</v>
      </c>
      <c r="K204" s="4">
        <v>4</v>
      </c>
      <c r="L204" s="5">
        <v>167.56</v>
      </c>
      <c r="M204" s="5">
        <v>670.24</v>
      </c>
      <c r="N204" s="5">
        <v>416.67</v>
      </c>
      <c r="O204" s="5">
        <v>253.57</v>
      </c>
      <c r="P204" s="4">
        <f>--AND(OR(Dashboard!$A$10="All",C204=Dashboard!$A$10),OR(Dashboard!$A$14="All",F204=Dashboard!$A$14),OR(Dashboard!$A$18="All",G204=Dashboard!$A$18),OR(Dashboard!$A$22="All",I204=Dashboard!$A$22))</f>
        <v>1</v>
      </c>
    </row>
    <row r="205" spans="1:16" ht="15.75" customHeight="1">
      <c r="A205" s="4" t="s">
        <v>400</v>
      </c>
      <c r="B205" s="6">
        <v>46001</v>
      </c>
      <c r="C205" s="4">
        <v>2025</v>
      </c>
      <c r="D205" s="4">
        <v>12</v>
      </c>
      <c r="E205" s="4" t="s">
        <v>57</v>
      </c>
      <c r="F205" s="4" t="s">
        <v>5</v>
      </c>
      <c r="G205" s="4" t="s">
        <v>6</v>
      </c>
      <c r="H205" s="4" t="s">
        <v>98</v>
      </c>
      <c r="I205" s="4" t="s">
        <v>10</v>
      </c>
      <c r="J205" s="4" t="s">
        <v>280</v>
      </c>
      <c r="K205" s="4">
        <v>3</v>
      </c>
      <c r="L205" s="5">
        <v>161.58000000000001</v>
      </c>
      <c r="M205" s="5">
        <v>484.74</v>
      </c>
      <c r="N205" s="5">
        <v>316.14</v>
      </c>
      <c r="O205" s="5">
        <v>168.6</v>
      </c>
      <c r="P205" s="4">
        <f>--AND(OR(Dashboard!$A$10="All",C205=Dashboard!$A$10),OR(Dashboard!$A$14="All",F205=Dashboard!$A$14),OR(Dashboard!$A$18="All",G205=Dashboard!$A$18),OR(Dashboard!$A$22="All",I205=Dashboard!$A$22))</f>
        <v>1</v>
      </c>
    </row>
    <row r="206" spans="1:16" ht="15.75" customHeight="1">
      <c r="A206" s="4" t="s">
        <v>401</v>
      </c>
      <c r="B206" s="6">
        <v>45953</v>
      </c>
      <c r="C206" s="4">
        <v>2025</v>
      </c>
      <c r="D206" s="4">
        <v>10</v>
      </c>
      <c r="E206" s="4" t="s">
        <v>120</v>
      </c>
      <c r="F206" s="4" t="s">
        <v>11</v>
      </c>
      <c r="G206" s="4" t="s">
        <v>12</v>
      </c>
      <c r="H206" s="4" t="s">
        <v>86</v>
      </c>
      <c r="I206" s="4" t="s">
        <v>7</v>
      </c>
      <c r="J206" s="4" t="s">
        <v>402</v>
      </c>
      <c r="K206" s="4">
        <v>2</v>
      </c>
      <c r="L206" s="5">
        <v>133.44</v>
      </c>
      <c r="M206" s="5">
        <v>266.88</v>
      </c>
      <c r="N206" s="5">
        <v>167.37</v>
      </c>
      <c r="O206" s="5">
        <v>99.51</v>
      </c>
      <c r="P206" s="4">
        <f>--AND(OR(Dashboard!$A$10="All",C206=Dashboard!$A$10),OR(Dashboard!$A$14="All",F206=Dashboard!$A$14),OR(Dashboard!$A$18="All",G206=Dashboard!$A$18),OR(Dashboard!$A$22="All",I206=Dashboard!$A$22))</f>
        <v>1</v>
      </c>
    </row>
    <row r="207" spans="1:16" ht="15.75" customHeight="1">
      <c r="A207" s="4" t="s">
        <v>403</v>
      </c>
      <c r="B207" s="6">
        <v>45906</v>
      </c>
      <c r="C207" s="4">
        <v>2025</v>
      </c>
      <c r="D207" s="4">
        <v>9</v>
      </c>
      <c r="E207" s="4" t="s">
        <v>79</v>
      </c>
      <c r="F207" s="4" t="s">
        <v>5</v>
      </c>
      <c r="G207" s="4" t="s">
        <v>6</v>
      </c>
      <c r="H207" s="4" t="s">
        <v>54</v>
      </c>
      <c r="I207" s="4" t="s">
        <v>7</v>
      </c>
      <c r="J207" s="4" t="s">
        <v>55</v>
      </c>
      <c r="K207" s="4">
        <v>1</v>
      </c>
      <c r="L207" s="5">
        <v>197.39</v>
      </c>
      <c r="M207" s="5">
        <v>197.39</v>
      </c>
      <c r="N207" s="5">
        <v>127.16</v>
      </c>
      <c r="O207" s="5">
        <v>70.23</v>
      </c>
      <c r="P207" s="4">
        <f>--AND(OR(Dashboard!$A$10="All",C207=Dashboard!$A$10),OR(Dashboard!$A$14="All",F207=Dashboard!$A$14),OR(Dashboard!$A$18="All",G207=Dashboard!$A$18),OR(Dashboard!$A$22="All",I207=Dashboard!$A$22))</f>
        <v>1</v>
      </c>
    </row>
    <row r="208" spans="1:16" ht="15.75" customHeight="1">
      <c r="A208" s="4" t="s">
        <v>404</v>
      </c>
      <c r="B208" s="6">
        <v>45552</v>
      </c>
      <c r="C208" s="4">
        <v>2024</v>
      </c>
      <c r="D208" s="4">
        <v>9</v>
      </c>
      <c r="E208" s="4" t="s">
        <v>79</v>
      </c>
      <c r="F208" s="4" t="s">
        <v>5</v>
      </c>
      <c r="G208" s="4" t="s">
        <v>6</v>
      </c>
      <c r="H208" s="4" t="s">
        <v>54</v>
      </c>
      <c r="I208" s="4" t="s">
        <v>13</v>
      </c>
      <c r="J208" s="4" t="s">
        <v>202</v>
      </c>
      <c r="K208" s="4">
        <v>4</v>
      </c>
      <c r="L208" s="5">
        <v>167.92</v>
      </c>
      <c r="M208" s="5">
        <v>671.68</v>
      </c>
      <c r="N208" s="5">
        <v>433.81</v>
      </c>
      <c r="O208" s="5">
        <v>237.87</v>
      </c>
      <c r="P208" s="4">
        <f>--AND(OR(Dashboard!$A$10="All",C208=Dashboard!$A$10),OR(Dashboard!$A$14="All",F208=Dashboard!$A$14),OR(Dashboard!$A$18="All",G208=Dashboard!$A$18),OR(Dashboard!$A$22="All",I208=Dashboard!$A$22))</f>
        <v>1</v>
      </c>
    </row>
    <row r="209" spans="1:16" ht="15.75" customHeight="1">
      <c r="A209" s="4" t="s">
        <v>405</v>
      </c>
      <c r="B209" s="6">
        <v>45686</v>
      </c>
      <c r="C209" s="4">
        <v>2025</v>
      </c>
      <c r="D209" s="4">
        <v>1</v>
      </c>
      <c r="E209" s="4" t="s">
        <v>30</v>
      </c>
      <c r="F209" s="4" t="s">
        <v>5</v>
      </c>
      <c r="G209" s="4" t="s">
        <v>9</v>
      </c>
      <c r="H209" s="4" t="s">
        <v>35</v>
      </c>
      <c r="I209" s="4" t="s">
        <v>7</v>
      </c>
      <c r="J209" s="4" t="s">
        <v>211</v>
      </c>
      <c r="K209" s="4">
        <v>8</v>
      </c>
      <c r="L209" s="5">
        <v>34.700000000000003</v>
      </c>
      <c r="M209" s="5">
        <v>277.60000000000002</v>
      </c>
      <c r="N209" s="5">
        <v>140.26</v>
      </c>
      <c r="O209" s="5">
        <v>137.34</v>
      </c>
      <c r="P209" s="4">
        <f>--AND(OR(Dashboard!$A$10="All",C209=Dashboard!$A$10),OR(Dashboard!$A$14="All",F209=Dashboard!$A$14),OR(Dashboard!$A$18="All",G209=Dashboard!$A$18),OR(Dashboard!$A$22="All",I209=Dashboard!$A$22))</f>
        <v>1</v>
      </c>
    </row>
    <row r="210" spans="1:16" ht="15.75" customHeight="1">
      <c r="A210" s="4" t="s">
        <v>406</v>
      </c>
      <c r="B210" s="6">
        <v>45695</v>
      </c>
      <c r="C210" s="4">
        <v>2025</v>
      </c>
      <c r="D210" s="4">
        <v>2</v>
      </c>
      <c r="E210" s="4" t="s">
        <v>70</v>
      </c>
      <c r="F210" s="4" t="s">
        <v>8</v>
      </c>
      <c r="G210" s="4" t="s">
        <v>9</v>
      </c>
      <c r="H210" s="4" t="s">
        <v>142</v>
      </c>
      <c r="I210" s="4" t="s">
        <v>7</v>
      </c>
      <c r="J210" s="4" t="s">
        <v>407</v>
      </c>
      <c r="K210" s="4">
        <v>1</v>
      </c>
      <c r="L210" s="5">
        <v>30.95</v>
      </c>
      <c r="M210" s="5">
        <v>30.95</v>
      </c>
      <c r="N210" s="5">
        <v>15.47</v>
      </c>
      <c r="O210" s="5">
        <v>15.48</v>
      </c>
      <c r="P210" s="4">
        <f>--AND(OR(Dashboard!$A$10="All",C210=Dashboard!$A$10),OR(Dashboard!$A$14="All",F210=Dashboard!$A$14),OR(Dashboard!$A$18="All",G210=Dashboard!$A$18),OR(Dashboard!$A$22="All",I210=Dashboard!$A$22))</f>
        <v>1</v>
      </c>
    </row>
    <row r="211" spans="1:16" ht="15.75" customHeight="1">
      <c r="A211" s="4" t="s">
        <v>408</v>
      </c>
      <c r="B211" s="6">
        <v>45831</v>
      </c>
      <c r="C211" s="4">
        <v>2025</v>
      </c>
      <c r="D211" s="4">
        <v>6</v>
      </c>
      <c r="E211" s="4" t="s">
        <v>34</v>
      </c>
      <c r="F211" s="4" t="s">
        <v>14</v>
      </c>
      <c r="G211" s="4" t="s">
        <v>6</v>
      </c>
      <c r="H211" s="4" t="s">
        <v>80</v>
      </c>
      <c r="I211" s="4" t="s">
        <v>13</v>
      </c>
      <c r="J211" s="4" t="s">
        <v>301</v>
      </c>
      <c r="K211" s="4">
        <v>1</v>
      </c>
      <c r="L211" s="5">
        <v>79.78</v>
      </c>
      <c r="M211" s="5">
        <v>79.78</v>
      </c>
      <c r="N211" s="5">
        <v>50.68</v>
      </c>
      <c r="O211" s="5">
        <v>29.1</v>
      </c>
      <c r="P211" s="4">
        <f>--AND(OR(Dashboard!$A$10="All",C211=Dashboard!$A$10),OR(Dashboard!$A$14="All",F211=Dashboard!$A$14),OR(Dashboard!$A$18="All",G211=Dashboard!$A$18),OR(Dashboard!$A$22="All",I211=Dashboard!$A$22))</f>
        <v>1</v>
      </c>
    </row>
    <row r="212" spans="1:16" ht="15.75" customHeight="1">
      <c r="A212" s="4" t="s">
        <v>409</v>
      </c>
      <c r="B212" s="6">
        <v>45854</v>
      </c>
      <c r="C212" s="4">
        <v>2025</v>
      </c>
      <c r="D212" s="4">
        <v>7</v>
      </c>
      <c r="E212" s="4" t="s">
        <v>63</v>
      </c>
      <c r="F212" s="4" t="s">
        <v>5</v>
      </c>
      <c r="G212" s="4" t="s">
        <v>12</v>
      </c>
      <c r="H212" s="4" t="s">
        <v>127</v>
      </c>
      <c r="I212" s="4" t="s">
        <v>7</v>
      </c>
      <c r="J212" s="4" t="s">
        <v>259</v>
      </c>
      <c r="K212" s="4">
        <v>5</v>
      </c>
      <c r="L212" s="5">
        <v>126.64</v>
      </c>
      <c r="M212" s="5">
        <v>633.20000000000005</v>
      </c>
      <c r="N212" s="5">
        <v>386.93</v>
      </c>
      <c r="O212" s="5">
        <v>246.27</v>
      </c>
      <c r="P212" s="4">
        <f>--AND(OR(Dashboard!$A$10="All",C212=Dashboard!$A$10),OR(Dashboard!$A$14="All",F212=Dashboard!$A$14),OR(Dashboard!$A$18="All",G212=Dashboard!$A$18),OR(Dashboard!$A$22="All",I212=Dashboard!$A$22))</f>
        <v>1</v>
      </c>
    </row>
    <row r="213" spans="1:16" ht="15.75" customHeight="1">
      <c r="A213" s="4" t="s">
        <v>410</v>
      </c>
      <c r="B213" s="6">
        <v>45335</v>
      </c>
      <c r="C213" s="4">
        <v>2024</v>
      </c>
      <c r="D213" s="4">
        <v>2</v>
      </c>
      <c r="E213" s="4" t="s">
        <v>70</v>
      </c>
      <c r="F213" s="4" t="s">
        <v>14</v>
      </c>
      <c r="G213" s="4" t="s">
        <v>9</v>
      </c>
      <c r="H213" s="4" t="s">
        <v>110</v>
      </c>
      <c r="I213" s="4" t="s">
        <v>7</v>
      </c>
      <c r="J213" s="4" t="s">
        <v>184</v>
      </c>
      <c r="K213" s="4">
        <v>4</v>
      </c>
      <c r="L213" s="5">
        <v>39.409999999999997</v>
      </c>
      <c r="M213" s="5">
        <v>157.63999999999999</v>
      </c>
      <c r="N213" s="5">
        <v>78.52</v>
      </c>
      <c r="O213" s="5">
        <v>79.12</v>
      </c>
      <c r="P213" s="4">
        <f>--AND(OR(Dashboard!$A$10="All",C213=Dashboard!$A$10),OR(Dashboard!$A$14="All",F213=Dashboard!$A$14),OR(Dashboard!$A$18="All",G213=Dashboard!$A$18),OR(Dashboard!$A$22="All",I213=Dashboard!$A$22))</f>
        <v>1</v>
      </c>
    </row>
    <row r="214" spans="1:16" ht="15.75" customHeight="1">
      <c r="A214" s="4" t="s">
        <v>411</v>
      </c>
      <c r="B214" s="6">
        <v>45396</v>
      </c>
      <c r="C214" s="4">
        <v>2024</v>
      </c>
      <c r="D214" s="4">
        <v>4</v>
      </c>
      <c r="E214" s="4" t="s">
        <v>106</v>
      </c>
      <c r="F214" s="4" t="s">
        <v>8</v>
      </c>
      <c r="G214" s="4" t="s">
        <v>12</v>
      </c>
      <c r="H214" s="4" t="s">
        <v>86</v>
      </c>
      <c r="I214" s="4" t="s">
        <v>7</v>
      </c>
      <c r="J214" s="4" t="s">
        <v>348</v>
      </c>
      <c r="K214" s="4">
        <v>1</v>
      </c>
      <c r="L214" s="5">
        <v>195.86</v>
      </c>
      <c r="M214" s="5">
        <v>195.86</v>
      </c>
      <c r="N214" s="5">
        <v>113.46</v>
      </c>
      <c r="O214" s="5">
        <v>82.4</v>
      </c>
      <c r="P214" s="4">
        <f>--AND(OR(Dashboard!$A$10="All",C214=Dashboard!$A$10),OR(Dashboard!$A$14="All",F214=Dashboard!$A$14),OR(Dashboard!$A$18="All",G214=Dashboard!$A$18),OR(Dashboard!$A$22="All",I214=Dashboard!$A$22))</f>
        <v>1</v>
      </c>
    </row>
    <row r="215" spans="1:16" ht="15.75" customHeight="1">
      <c r="A215" s="4" t="s">
        <v>412</v>
      </c>
      <c r="B215" s="6">
        <v>45588</v>
      </c>
      <c r="C215" s="4">
        <v>2024</v>
      </c>
      <c r="D215" s="4">
        <v>10</v>
      </c>
      <c r="E215" s="4" t="s">
        <v>120</v>
      </c>
      <c r="F215" s="4" t="s">
        <v>5</v>
      </c>
      <c r="G215" s="4" t="s">
        <v>9</v>
      </c>
      <c r="H215" s="4" t="s">
        <v>64</v>
      </c>
      <c r="I215" s="4" t="s">
        <v>7</v>
      </c>
      <c r="J215" s="4" t="s">
        <v>344</v>
      </c>
      <c r="K215" s="4">
        <v>8</v>
      </c>
      <c r="L215" s="5">
        <v>38.950000000000003</v>
      </c>
      <c r="M215" s="5">
        <v>311.60000000000002</v>
      </c>
      <c r="N215" s="5">
        <v>149.26</v>
      </c>
      <c r="O215" s="5">
        <v>162.34</v>
      </c>
      <c r="P215" s="4">
        <f>--AND(OR(Dashboard!$A$10="All",C215=Dashboard!$A$10),OR(Dashboard!$A$14="All",F215=Dashboard!$A$14),OR(Dashboard!$A$18="All",G215=Dashboard!$A$18),OR(Dashboard!$A$22="All",I215=Dashboard!$A$22))</f>
        <v>1</v>
      </c>
    </row>
    <row r="216" spans="1:16" ht="15.75" customHeight="1">
      <c r="A216" s="4" t="s">
        <v>413</v>
      </c>
      <c r="B216" s="6">
        <v>45691</v>
      </c>
      <c r="C216" s="4">
        <v>2025</v>
      </c>
      <c r="D216" s="4">
        <v>2</v>
      </c>
      <c r="E216" s="4" t="s">
        <v>70</v>
      </c>
      <c r="F216" s="4" t="s">
        <v>8</v>
      </c>
      <c r="G216" s="4" t="s">
        <v>9</v>
      </c>
      <c r="H216" s="4" t="s">
        <v>110</v>
      </c>
      <c r="I216" s="4" t="s">
        <v>7</v>
      </c>
      <c r="J216" s="4" t="s">
        <v>321</v>
      </c>
      <c r="K216" s="4">
        <v>6</v>
      </c>
      <c r="L216" s="5">
        <v>59.67</v>
      </c>
      <c r="M216" s="5">
        <v>358.02</v>
      </c>
      <c r="N216" s="5">
        <v>183.88</v>
      </c>
      <c r="O216" s="5">
        <v>174.14</v>
      </c>
      <c r="P216" s="4">
        <f>--AND(OR(Dashboard!$A$10="All",C216=Dashboard!$A$10),OR(Dashboard!$A$14="All",F216=Dashboard!$A$14),OR(Dashboard!$A$18="All",G216=Dashboard!$A$18),OR(Dashboard!$A$22="All",I216=Dashboard!$A$22))</f>
        <v>1</v>
      </c>
    </row>
    <row r="217" spans="1:16" ht="15.75" customHeight="1">
      <c r="A217" s="4" t="s">
        <v>414</v>
      </c>
      <c r="B217" s="6">
        <v>45524</v>
      </c>
      <c r="C217" s="4">
        <v>2024</v>
      </c>
      <c r="D217" s="4">
        <v>8</v>
      </c>
      <c r="E217" s="4" t="s">
        <v>67</v>
      </c>
      <c r="F217" s="4" t="s">
        <v>5</v>
      </c>
      <c r="G217" s="4" t="s">
        <v>9</v>
      </c>
      <c r="H217" s="4" t="s">
        <v>64</v>
      </c>
      <c r="I217" s="4" t="s">
        <v>7</v>
      </c>
      <c r="J217" s="4" t="s">
        <v>115</v>
      </c>
      <c r="K217" s="4">
        <v>2</v>
      </c>
      <c r="L217" s="5">
        <v>26.61</v>
      </c>
      <c r="M217" s="5">
        <v>53.22</v>
      </c>
      <c r="N217" s="5">
        <v>27.45</v>
      </c>
      <c r="O217" s="5">
        <v>25.77</v>
      </c>
      <c r="P217" s="4">
        <f>--AND(OR(Dashboard!$A$10="All",C217=Dashboard!$A$10),OR(Dashboard!$A$14="All",F217=Dashboard!$A$14),OR(Dashboard!$A$18="All",G217=Dashboard!$A$18),OR(Dashboard!$A$22="All",I217=Dashboard!$A$22))</f>
        <v>1</v>
      </c>
    </row>
    <row r="218" spans="1:16" ht="15.75" customHeight="1">
      <c r="A218" s="4" t="s">
        <v>415</v>
      </c>
      <c r="B218" s="6">
        <v>45742</v>
      </c>
      <c r="C218" s="4">
        <v>2025</v>
      </c>
      <c r="D218" s="4">
        <v>3</v>
      </c>
      <c r="E218" s="4" t="s">
        <v>100</v>
      </c>
      <c r="F218" s="4" t="s">
        <v>11</v>
      </c>
      <c r="G218" s="4" t="s">
        <v>12</v>
      </c>
      <c r="H218" s="4" t="s">
        <v>127</v>
      </c>
      <c r="I218" s="4" t="s">
        <v>10</v>
      </c>
      <c r="J218" s="4" t="s">
        <v>209</v>
      </c>
      <c r="K218" s="4">
        <v>7</v>
      </c>
      <c r="L218" s="5">
        <v>112.53</v>
      </c>
      <c r="M218" s="5">
        <v>787.71</v>
      </c>
      <c r="N218" s="5">
        <v>460.22</v>
      </c>
      <c r="O218" s="5">
        <v>327.49</v>
      </c>
      <c r="P218" s="4">
        <f>--AND(OR(Dashboard!$A$10="All",C218=Dashboard!$A$10),OR(Dashboard!$A$14="All",F218=Dashboard!$A$14),OR(Dashboard!$A$18="All",G218=Dashboard!$A$18),OR(Dashboard!$A$22="All",I218=Dashboard!$A$22))</f>
        <v>1</v>
      </c>
    </row>
    <row r="219" spans="1:16" ht="15.75" customHeight="1">
      <c r="A219" s="4" t="s">
        <v>416</v>
      </c>
      <c r="B219" s="6">
        <v>45918</v>
      </c>
      <c r="C219" s="4">
        <v>2025</v>
      </c>
      <c r="D219" s="4">
        <v>9</v>
      </c>
      <c r="E219" s="4" t="s">
        <v>79</v>
      </c>
      <c r="F219" s="4" t="s">
        <v>5</v>
      </c>
      <c r="G219" s="4" t="s">
        <v>6</v>
      </c>
      <c r="H219" s="4" t="s">
        <v>54</v>
      </c>
      <c r="I219" s="4" t="s">
        <v>7</v>
      </c>
      <c r="J219" s="4" t="s">
        <v>417</v>
      </c>
      <c r="K219" s="4">
        <v>2</v>
      </c>
      <c r="L219" s="5">
        <v>94.8</v>
      </c>
      <c r="M219" s="5">
        <v>189.6</v>
      </c>
      <c r="N219" s="5">
        <v>125.86</v>
      </c>
      <c r="O219" s="5">
        <v>63.74</v>
      </c>
      <c r="P219" s="4">
        <f>--AND(OR(Dashboard!$A$10="All",C219=Dashboard!$A$10),OR(Dashboard!$A$14="All",F219=Dashboard!$A$14),OR(Dashboard!$A$18="All",G219=Dashboard!$A$18),OR(Dashboard!$A$22="All",I219=Dashboard!$A$22))</f>
        <v>1</v>
      </c>
    </row>
    <row r="220" spans="1:16" ht="15.75" customHeight="1">
      <c r="A220" s="4" t="s">
        <v>418</v>
      </c>
      <c r="B220" s="6">
        <v>45842</v>
      </c>
      <c r="C220" s="4">
        <v>2025</v>
      </c>
      <c r="D220" s="4">
        <v>7</v>
      </c>
      <c r="E220" s="4" t="s">
        <v>63</v>
      </c>
      <c r="F220" s="4" t="s">
        <v>11</v>
      </c>
      <c r="G220" s="4" t="s">
        <v>6</v>
      </c>
      <c r="H220" s="4" t="s">
        <v>54</v>
      </c>
      <c r="I220" s="4" t="s">
        <v>13</v>
      </c>
      <c r="J220" s="4" t="s">
        <v>59</v>
      </c>
      <c r="K220" s="4">
        <v>2</v>
      </c>
      <c r="L220" s="5">
        <v>224.11</v>
      </c>
      <c r="M220" s="5">
        <v>448.22</v>
      </c>
      <c r="N220" s="5">
        <v>291.01</v>
      </c>
      <c r="O220" s="5">
        <v>157.21</v>
      </c>
      <c r="P220" s="4">
        <f>--AND(OR(Dashboard!$A$10="All",C220=Dashboard!$A$10),OR(Dashboard!$A$14="All",F220=Dashboard!$A$14),OR(Dashboard!$A$18="All",G220=Dashboard!$A$18),OR(Dashboard!$A$22="All",I220=Dashboard!$A$22))</f>
        <v>1</v>
      </c>
    </row>
    <row r="221" spans="1:16" ht="15.75" customHeight="1">
      <c r="A221" s="4" t="s">
        <v>419</v>
      </c>
      <c r="B221" s="6">
        <v>45706</v>
      </c>
      <c r="C221" s="4">
        <v>2025</v>
      </c>
      <c r="D221" s="4">
        <v>2</v>
      </c>
      <c r="E221" s="4" t="s">
        <v>70</v>
      </c>
      <c r="F221" s="4" t="s">
        <v>8</v>
      </c>
      <c r="G221" s="4" t="s">
        <v>9</v>
      </c>
      <c r="H221" s="4" t="s">
        <v>64</v>
      </c>
      <c r="I221" s="4" t="s">
        <v>7</v>
      </c>
      <c r="J221" s="4" t="s">
        <v>420</v>
      </c>
      <c r="K221" s="4">
        <v>2</v>
      </c>
      <c r="L221" s="5">
        <v>58.42</v>
      </c>
      <c r="M221" s="5">
        <v>116.84</v>
      </c>
      <c r="N221" s="5">
        <v>59.96</v>
      </c>
      <c r="O221" s="5">
        <v>56.88</v>
      </c>
      <c r="P221" s="4">
        <f>--AND(OR(Dashboard!$A$10="All",C221=Dashboard!$A$10),OR(Dashboard!$A$14="All",F221=Dashboard!$A$14),OR(Dashboard!$A$18="All",G221=Dashboard!$A$18),OR(Dashboard!$A$22="All",I221=Dashboard!$A$22))</f>
        <v>1</v>
      </c>
    </row>
    <row r="222" spans="1:16" ht="15.75" customHeight="1">
      <c r="A222" s="4" t="s">
        <v>421</v>
      </c>
      <c r="B222" s="6">
        <v>45565</v>
      </c>
      <c r="C222" s="4">
        <v>2024</v>
      </c>
      <c r="D222" s="4">
        <v>9</v>
      </c>
      <c r="E222" s="4" t="s">
        <v>79</v>
      </c>
      <c r="F222" s="4" t="s">
        <v>11</v>
      </c>
      <c r="G222" s="4" t="s">
        <v>12</v>
      </c>
      <c r="H222" s="4" t="s">
        <v>58</v>
      </c>
      <c r="I222" s="4" t="s">
        <v>10</v>
      </c>
      <c r="J222" s="4" t="s">
        <v>268</v>
      </c>
      <c r="K222" s="4">
        <v>3</v>
      </c>
      <c r="L222" s="5">
        <v>233.98</v>
      </c>
      <c r="M222" s="5">
        <v>701.94</v>
      </c>
      <c r="N222" s="5">
        <v>439.62</v>
      </c>
      <c r="O222" s="5">
        <v>262.32</v>
      </c>
      <c r="P222" s="4">
        <f>--AND(OR(Dashboard!$A$10="All",C222=Dashboard!$A$10),OR(Dashboard!$A$14="All",F222=Dashboard!$A$14),OR(Dashboard!$A$18="All",G222=Dashboard!$A$18),OR(Dashboard!$A$22="All",I222=Dashboard!$A$22))</f>
        <v>1</v>
      </c>
    </row>
    <row r="223" spans="1:16" ht="15.75" customHeight="1">
      <c r="A223" s="4" t="s">
        <v>422</v>
      </c>
      <c r="B223" s="6">
        <v>45826</v>
      </c>
      <c r="C223" s="4">
        <v>2025</v>
      </c>
      <c r="D223" s="4">
        <v>6</v>
      </c>
      <c r="E223" s="4" t="s">
        <v>34</v>
      </c>
      <c r="F223" s="4" t="s">
        <v>5</v>
      </c>
      <c r="G223" s="4" t="s">
        <v>6</v>
      </c>
      <c r="H223" s="4" t="s">
        <v>136</v>
      </c>
      <c r="I223" s="4" t="s">
        <v>10</v>
      </c>
      <c r="J223" s="4" t="s">
        <v>131</v>
      </c>
      <c r="K223" s="4">
        <v>3</v>
      </c>
      <c r="L223" s="5">
        <v>125.57</v>
      </c>
      <c r="M223" s="5">
        <v>376.71</v>
      </c>
      <c r="N223" s="5">
        <v>248.24</v>
      </c>
      <c r="O223" s="5">
        <v>128.47</v>
      </c>
      <c r="P223" s="4">
        <f>--AND(OR(Dashboard!$A$10="All",C223=Dashboard!$A$10),OR(Dashboard!$A$14="All",F223=Dashboard!$A$14),OR(Dashboard!$A$18="All",G223=Dashboard!$A$18),OR(Dashboard!$A$22="All",I223=Dashboard!$A$22))</f>
        <v>1</v>
      </c>
    </row>
    <row r="224" spans="1:16" ht="15.75" customHeight="1">
      <c r="A224" s="4" t="s">
        <v>423</v>
      </c>
      <c r="B224" s="6">
        <v>45797</v>
      </c>
      <c r="C224" s="4">
        <v>2025</v>
      </c>
      <c r="D224" s="4">
        <v>5</v>
      </c>
      <c r="E224" s="4" t="s">
        <v>108</v>
      </c>
      <c r="F224" s="4" t="s">
        <v>5</v>
      </c>
      <c r="G224" s="4" t="s">
        <v>9</v>
      </c>
      <c r="H224" s="4" t="s">
        <v>142</v>
      </c>
      <c r="I224" s="4" t="s">
        <v>7</v>
      </c>
      <c r="J224" s="4" t="s">
        <v>249</v>
      </c>
      <c r="K224" s="4">
        <v>6</v>
      </c>
      <c r="L224" s="5">
        <v>56.06</v>
      </c>
      <c r="M224" s="5">
        <v>336.36</v>
      </c>
      <c r="N224" s="5">
        <v>163.63</v>
      </c>
      <c r="O224" s="5">
        <v>172.73</v>
      </c>
      <c r="P224" s="4">
        <f>--AND(OR(Dashboard!$A$10="All",C224=Dashboard!$A$10),OR(Dashboard!$A$14="All",F224=Dashboard!$A$14),OR(Dashboard!$A$18="All",G224=Dashboard!$A$18),OR(Dashboard!$A$22="All",I224=Dashboard!$A$22))</f>
        <v>1</v>
      </c>
    </row>
    <row r="225" spans="1:16" ht="15.75" customHeight="1">
      <c r="A225" s="4" t="s">
        <v>424</v>
      </c>
      <c r="B225" s="6">
        <v>45628</v>
      </c>
      <c r="C225" s="4">
        <v>2024</v>
      </c>
      <c r="D225" s="4">
        <v>12</v>
      </c>
      <c r="E225" s="4" t="s">
        <v>57</v>
      </c>
      <c r="F225" s="4" t="s">
        <v>14</v>
      </c>
      <c r="G225" s="4" t="s">
        <v>12</v>
      </c>
      <c r="H225" s="4" t="s">
        <v>58</v>
      </c>
      <c r="I225" s="4" t="s">
        <v>7</v>
      </c>
      <c r="J225" s="4" t="s">
        <v>37</v>
      </c>
      <c r="K225" s="4">
        <v>2</v>
      </c>
      <c r="L225" s="5">
        <v>221.31</v>
      </c>
      <c r="M225" s="5">
        <v>442.62</v>
      </c>
      <c r="N225" s="5">
        <v>253.67</v>
      </c>
      <c r="O225" s="5">
        <v>188.95</v>
      </c>
      <c r="P225" s="4">
        <f>--AND(OR(Dashboard!$A$10="All",C225=Dashboard!$A$10),OR(Dashboard!$A$14="All",F225=Dashboard!$A$14),OR(Dashboard!$A$18="All",G225=Dashboard!$A$18),OR(Dashboard!$A$22="All",I225=Dashboard!$A$22))</f>
        <v>1</v>
      </c>
    </row>
    <row r="226" spans="1:16" ht="15.75" customHeight="1">
      <c r="A226" s="4" t="s">
        <v>425</v>
      </c>
      <c r="B226" s="6">
        <v>45960</v>
      </c>
      <c r="C226" s="4">
        <v>2025</v>
      </c>
      <c r="D226" s="4">
        <v>10</v>
      </c>
      <c r="E226" s="4" t="s">
        <v>120</v>
      </c>
      <c r="F226" s="4" t="s">
        <v>11</v>
      </c>
      <c r="G226" s="4" t="s">
        <v>12</v>
      </c>
      <c r="H226" s="4" t="s">
        <v>124</v>
      </c>
      <c r="I226" s="4" t="s">
        <v>10</v>
      </c>
      <c r="J226" s="4" t="s">
        <v>276</v>
      </c>
      <c r="K226" s="4">
        <v>2</v>
      </c>
      <c r="L226" s="5">
        <v>290.98</v>
      </c>
      <c r="M226" s="5">
        <v>581.96</v>
      </c>
      <c r="N226" s="5">
        <v>350.55</v>
      </c>
      <c r="O226" s="5">
        <v>231.41</v>
      </c>
      <c r="P226" s="4">
        <f>--AND(OR(Dashboard!$A$10="All",C226=Dashboard!$A$10),OR(Dashboard!$A$14="All",F226=Dashboard!$A$14),OR(Dashboard!$A$18="All",G226=Dashboard!$A$18),OR(Dashboard!$A$22="All",I226=Dashboard!$A$22))</f>
        <v>1</v>
      </c>
    </row>
    <row r="227" spans="1:16" ht="15.75" customHeight="1">
      <c r="A227" s="4" t="s">
        <v>426</v>
      </c>
      <c r="B227" s="6">
        <v>45860</v>
      </c>
      <c r="C227" s="4">
        <v>2025</v>
      </c>
      <c r="D227" s="4">
        <v>7</v>
      </c>
      <c r="E227" s="4" t="s">
        <v>63</v>
      </c>
      <c r="F227" s="4" t="s">
        <v>8</v>
      </c>
      <c r="G227" s="4" t="s">
        <v>9</v>
      </c>
      <c r="H227" s="4" t="s">
        <v>71</v>
      </c>
      <c r="I227" s="4" t="s">
        <v>7</v>
      </c>
      <c r="J227" s="4" t="s">
        <v>146</v>
      </c>
      <c r="K227" s="4">
        <v>1</v>
      </c>
      <c r="L227" s="5">
        <v>36.83</v>
      </c>
      <c r="M227" s="5">
        <v>36.83</v>
      </c>
      <c r="N227" s="5">
        <v>18.29</v>
      </c>
      <c r="O227" s="5">
        <v>18.54</v>
      </c>
      <c r="P227" s="4">
        <f>--AND(OR(Dashboard!$A$10="All",C227=Dashboard!$A$10),OR(Dashboard!$A$14="All",F227=Dashboard!$A$14),OR(Dashboard!$A$18="All",G227=Dashboard!$A$18),OR(Dashboard!$A$22="All",I227=Dashboard!$A$22))</f>
        <v>1</v>
      </c>
    </row>
    <row r="228" spans="1:16" ht="15.75" customHeight="1">
      <c r="A228" s="4" t="s">
        <v>427</v>
      </c>
      <c r="B228" s="6">
        <v>45359</v>
      </c>
      <c r="C228" s="4">
        <v>2024</v>
      </c>
      <c r="D228" s="4">
        <v>3</v>
      </c>
      <c r="E228" s="4" t="s">
        <v>100</v>
      </c>
      <c r="F228" s="4" t="s">
        <v>5</v>
      </c>
      <c r="G228" s="4" t="s">
        <v>9</v>
      </c>
      <c r="H228" s="4" t="s">
        <v>64</v>
      </c>
      <c r="I228" s="4" t="s">
        <v>10</v>
      </c>
      <c r="J228" s="4" t="s">
        <v>292</v>
      </c>
      <c r="K228" s="4">
        <v>4</v>
      </c>
      <c r="L228" s="5">
        <v>23.69</v>
      </c>
      <c r="M228" s="5">
        <v>94.76</v>
      </c>
      <c r="N228" s="5">
        <v>46.77</v>
      </c>
      <c r="O228" s="5">
        <v>47.99</v>
      </c>
      <c r="P228" s="4">
        <f>--AND(OR(Dashboard!$A$10="All",C228=Dashboard!$A$10),OR(Dashboard!$A$14="All",F228=Dashboard!$A$14),OR(Dashboard!$A$18="All",G228=Dashboard!$A$18),OR(Dashboard!$A$22="All",I228=Dashboard!$A$22))</f>
        <v>1</v>
      </c>
    </row>
    <row r="229" spans="1:16" ht="15.75" customHeight="1">
      <c r="A229" s="4" t="s">
        <v>428</v>
      </c>
      <c r="B229" s="6">
        <v>46020</v>
      </c>
      <c r="C229" s="4">
        <v>2025</v>
      </c>
      <c r="D229" s="4">
        <v>12</v>
      </c>
      <c r="E229" s="4" t="s">
        <v>57</v>
      </c>
      <c r="F229" s="4" t="s">
        <v>5</v>
      </c>
      <c r="G229" s="4" t="s">
        <v>9</v>
      </c>
      <c r="H229" s="4" t="s">
        <v>35</v>
      </c>
      <c r="I229" s="4" t="s">
        <v>7</v>
      </c>
      <c r="J229" s="4" t="s">
        <v>111</v>
      </c>
      <c r="K229" s="4">
        <v>6</v>
      </c>
      <c r="L229" s="5">
        <v>27.6</v>
      </c>
      <c r="M229" s="5">
        <v>165.6</v>
      </c>
      <c r="N229" s="5">
        <v>86.59</v>
      </c>
      <c r="O229" s="5">
        <v>79.010000000000005</v>
      </c>
      <c r="P229" s="4">
        <f>--AND(OR(Dashboard!$A$10="All",C229=Dashboard!$A$10),OR(Dashboard!$A$14="All",F229=Dashboard!$A$14),OR(Dashboard!$A$18="All",G229=Dashboard!$A$18),OR(Dashboard!$A$22="All",I229=Dashboard!$A$22))</f>
        <v>1</v>
      </c>
    </row>
    <row r="230" spans="1:16" ht="15.75" customHeight="1">
      <c r="A230" s="4" t="s">
        <v>429</v>
      </c>
      <c r="B230" s="6">
        <v>45618</v>
      </c>
      <c r="C230" s="4">
        <v>2024</v>
      </c>
      <c r="D230" s="4">
        <v>11</v>
      </c>
      <c r="E230" s="4" t="s">
        <v>89</v>
      </c>
      <c r="F230" s="4" t="s">
        <v>11</v>
      </c>
      <c r="G230" s="4" t="s">
        <v>12</v>
      </c>
      <c r="H230" s="4" t="s">
        <v>86</v>
      </c>
      <c r="I230" s="4" t="s">
        <v>7</v>
      </c>
      <c r="J230" s="4" t="s">
        <v>170</v>
      </c>
      <c r="K230" s="4">
        <v>1</v>
      </c>
      <c r="L230" s="5">
        <v>140.94999999999999</v>
      </c>
      <c r="M230" s="5">
        <v>140.94999999999999</v>
      </c>
      <c r="N230" s="5">
        <v>85.64</v>
      </c>
      <c r="O230" s="5">
        <v>55.31</v>
      </c>
      <c r="P230" s="4">
        <f>--AND(OR(Dashboard!$A$10="All",C230=Dashboard!$A$10),OR(Dashboard!$A$14="All",F230=Dashboard!$A$14),OR(Dashboard!$A$18="All",G230=Dashboard!$A$18),OR(Dashboard!$A$22="All",I230=Dashboard!$A$22))</f>
        <v>1</v>
      </c>
    </row>
    <row r="231" spans="1:16" ht="15.75" customHeight="1">
      <c r="A231" s="4" t="s">
        <v>430</v>
      </c>
      <c r="B231" s="6">
        <v>45524</v>
      </c>
      <c r="C231" s="4">
        <v>2024</v>
      </c>
      <c r="D231" s="4">
        <v>8</v>
      </c>
      <c r="E231" s="4" t="s">
        <v>67</v>
      </c>
      <c r="F231" s="4" t="s">
        <v>11</v>
      </c>
      <c r="G231" s="4" t="s">
        <v>6</v>
      </c>
      <c r="H231" s="4" t="s">
        <v>136</v>
      </c>
      <c r="I231" s="4" t="s">
        <v>13</v>
      </c>
      <c r="J231" s="4" t="s">
        <v>317</v>
      </c>
      <c r="K231" s="4">
        <v>1</v>
      </c>
      <c r="L231" s="5">
        <v>160.07</v>
      </c>
      <c r="M231" s="5">
        <v>160.07</v>
      </c>
      <c r="N231" s="5">
        <v>105.32</v>
      </c>
      <c r="O231" s="5">
        <v>54.75</v>
      </c>
      <c r="P231" s="4">
        <f>--AND(OR(Dashboard!$A$10="All",C231=Dashboard!$A$10),OR(Dashboard!$A$14="All",F231=Dashboard!$A$14),OR(Dashboard!$A$18="All",G231=Dashboard!$A$18),OR(Dashboard!$A$22="All",I231=Dashboard!$A$22))</f>
        <v>1</v>
      </c>
    </row>
    <row r="232" spans="1:16" ht="15.75" customHeight="1">
      <c r="A232" s="4" t="s">
        <v>431</v>
      </c>
      <c r="B232" s="6">
        <v>45768</v>
      </c>
      <c r="C232" s="4">
        <v>2025</v>
      </c>
      <c r="D232" s="4">
        <v>4</v>
      </c>
      <c r="E232" s="4" t="s">
        <v>106</v>
      </c>
      <c r="F232" s="4" t="s">
        <v>5</v>
      </c>
      <c r="G232" s="4" t="s">
        <v>6</v>
      </c>
      <c r="H232" s="4" t="s">
        <v>114</v>
      </c>
      <c r="I232" s="4" t="s">
        <v>13</v>
      </c>
      <c r="J232" s="4" t="s">
        <v>230</v>
      </c>
      <c r="K232" s="4">
        <v>1</v>
      </c>
      <c r="L232" s="5">
        <v>196.9</v>
      </c>
      <c r="M232" s="5">
        <v>196.9</v>
      </c>
      <c r="N232" s="5">
        <v>132.47999999999999</v>
      </c>
      <c r="O232" s="5">
        <v>64.42</v>
      </c>
      <c r="P232" s="4">
        <f>--AND(OR(Dashboard!$A$10="All",C232=Dashboard!$A$10),OR(Dashboard!$A$14="All",F232=Dashboard!$A$14),OR(Dashboard!$A$18="All",G232=Dashboard!$A$18),OR(Dashboard!$A$22="All",I232=Dashboard!$A$22))</f>
        <v>1</v>
      </c>
    </row>
    <row r="233" spans="1:16" ht="15.75" customHeight="1">
      <c r="A233" s="4" t="s">
        <v>432</v>
      </c>
      <c r="B233" s="6">
        <v>45555</v>
      </c>
      <c r="C233" s="4">
        <v>2024</v>
      </c>
      <c r="D233" s="4">
        <v>9</v>
      </c>
      <c r="E233" s="4" t="s">
        <v>79</v>
      </c>
      <c r="F233" s="4" t="s">
        <v>14</v>
      </c>
      <c r="G233" s="4" t="s">
        <v>12</v>
      </c>
      <c r="H233" s="4" t="s">
        <v>124</v>
      </c>
      <c r="I233" s="4" t="s">
        <v>7</v>
      </c>
      <c r="J233" s="4" t="s">
        <v>348</v>
      </c>
      <c r="K233" s="4">
        <v>2</v>
      </c>
      <c r="L233" s="5">
        <v>266.13</v>
      </c>
      <c r="M233" s="5">
        <v>532.26</v>
      </c>
      <c r="N233" s="5">
        <v>328.68</v>
      </c>
      <c r="O233" s="5">
        <v>203.58</v>
      </c>
      <c r="P233" s="4">
        <f>--AND(OR(Dashboard!$A$10="All",C233=Dashboard!$A$10),OR(Dashboard!$A$14="All",F233=Dashboard!$A$14),OR(Dashboard!$A$18="All",G233=Dashboard!$A$18),OR(Dashboard!$A$22="All",I233=Dashboard!$A$22))</f>
        <v>1</v>
      </c>
    </row>
    <row r="234" spans="1:16" ht="15.75" customHeight="1">
      <c r="A234" s="4" t="s">
        <v>433</v>
      </c>
      <c r="B234" s="6">
        <v>45438</v>
      </c>
      <c r="C234" s="4">
        <v>2024</v>
      </c>
      <c r="D234" s="4">
        <v>5</v>
      </c>
      <c r="E234" s="4" t="s">
        <v>108</v>
      </c>
      <c r="F234" s="4" t="s">
        <v>5</v>
      </c>
      <c r="G234" s="4" t="s">
        <v>6</v>
      </c>
      <c r="H234" s="4" t="s">
        <v>98</v>
      </c>
      <c r="I234" s="4" t="s">
        <v>10</v>
      </c>
      <c r="J234" s="4" t="s">
        <v>168</v>
      </c>
      <c r="K234" s="4">
        <v>5</v>
      </c>
      <c r="L234" s="5">
        <v>210.7</v>
      </c>
      <c r="M234" s="5">
        <v>1053.5</v>
      </c>
      <c r="N234" s="5">
        <v>716.4</v>
      </c>
      <c r="O234" s="5">
        <v>337.1</v>
      </c>
      <c r="P234" s="4">
        <f>--AND(OR(Dashboard!$A$10="All",C234=Dashboard!$A$10),OR(Dashboard!$A$14="All",F234=Dashboard!$A$14),OR(Dashboard!$A$18="All",G234=Dashboard!$A$18),OR(Dashboard!$A$22="All",I234=Dashboard!$A$22))</f>
        <v>1</v>
      </c>
    </row>
    <row r="235" spans="1:16" ht="15.75" customHeight="1">
      <c r="A235" s="4" t="s">
        <v>434</v>
      </c>
      <c r="B235" s="6">
        <v>45415</v>
      </c>
      <c r="C235" s="4">
        <v>2024</v>
      </c>
      <c r="D235" s="4">
        <v>5</v>
      </c>
      <c r="E235" s="4" t="s">
        <v>108</v>
      </c>
      <c r="F235" s="4" t="s">
        <v>8</v>
      </c>
      <c r="G235" s="4" t="s">
        <v>9</v>
      </c>
      <c r="H235" s="4" t="s">
        <v>110</v>
      </c>
      <c r="I235" s="4" t="s">
        <v>7</v>
      </c>
      <c r="J235" s="4" t="s">
        <v>118</v>
      </c>
      <c r="K235" s="4">
        <v>2</v>
      </c>
      <c r="L235" s="5">
        <v>44.75</v>
      </c>
      <c r="M235" s="5">
        <v>89.5</v>
      </c>
      <c r="N235" s="5">
        <v>44.85</v>
      </c>
      <c r="O235" s="5">
        <v>44.65</v>
      </c>
      <c r="P235" s="4">
        <f>--AND(OR(Dashboard!$A$10="All",C235=Dashboard!$A$10),OR(Dashboard!$A$14="All",F235=Dashboard!$A$14),OR(Dashboard!$A$18="All",G235=Dashboard!$A$18),OR(Dashboard!$A$22="All",I235=Dashboard!$A$22))</f>
        <v>1</v>
      </c>
    </row>
    <row r="236" spans="1:16" ht="15.75" customHeight="1">
      <c r="A236" s="4" t="s">
        <v>435</v>
      </c>
      <c r="B236" s="6">
        <v>45413</v>
      </c>
      <c r="C236" s="4">
        <v>2024</v>
      </c>
      <c r="D236" s="4">
        <v>5</v>
      </c>
      <c r="E236" s="4" t="s">
        <v>108</v>
      </c>
      <c r="F236" s="4" t="s">
        <v>5</v>
      </c>
      <c r="G236" s="4" t="s">
        <v>9</v>
      </c>
      <c r="H236" s="4" t="s">
        <v>64</v>
      </c>
      <c r="I236" s="4" t="s">
        <v>13</v>
      </c>
      <c r="J236" s="4" t="s">
        <v>149</v>
      </c>
      <c r="K236" s="4">
        <v>7</v>
      </c>
      <c r="L236" s="5">
        <v>23.79</v>
      </c>
      <c r="M236" s="5">
        <v>166.53</v>
      </c>
      <c r="N236" s="5">
        <v>82.65</v>
      </c>
      <c r="O236" s="5">
        <v>83.88</v>
      </c>
      <c r="P236" s="4">
        <f>--AND(OR(Dashboard!$A$10="All",C236=Dashboard!$A$10),OR(Dashboard!$A$14="All",F236=Dashboard!$A$14),OR(Dashboard!$A$18="All",G236=Dashboard!$A$18),OR(Dashboard!$A$22="All",I236=Dashboard!$A$22))</f>
        <v>1</v>
      </c>
    </row>
    <row r="237" spans="1:16" ht="15.75" customHeight="1">
      <c r="A237" s="4" t="s">
        <v>436</v>
      </c>
      <c r="B237" s="6">
        <v>45466</v>
      </c>
      <c r="C237" s="4">
        <v>2024</v>
      </c>
      <c r="D237" s="4">
        <v>6</v>
      </c>
      <c r="E237" s="4" t="s">
        <v>34</v>
      </c>
      <c r="F237" s="4" t="s">
        <v>14</v>
      </c>
      <c r="G237" s="4" t="s">
        <v>9</v>
      </c>
      <c r="H237" s="4" t="s">
        <v>71</v>
      </c>
      <c r="I237" s="4" t="s">
        <v>7</v>
      </c>
      <c r="J237" s="4" t="s">
        <v>301</v>
      </c>
      <c r="K237" s="4">
        <v>4</v>
      </c>
      <c r="L237" s="5">
        <v>63.55</v>
      </c>
      <c r="M237" s="5">
        <v>254.2</v>
      </c>
      <c r="N237" s="5">
        <v>127.63</v>
      </c>
      <c r="O237" s="5">
        <v>126.57</v>
      </c>
      <c r="P237" s="4">
        <f>--AND(OR(Dashboard!$A$10="All",C237=Dashboard!$A$10),OR(Dashboard!$A$14="All",F237=Dashboard!$A$14),OR(Dashboard!$A$18="All",G237=Dashboard!$A$18),OR(Dashboard!$A$22="All",I237=Dashboard!$A$22))</f>
        <v>1</v>
      </c>
    </row>
    <row r="238" spans="1:16" ht="15.75" customHeight="1">
      <c r="A238" s="4" t="s">
        <v>437</v>
      </c>
      <c r="B238" s="6">
        <v>45652</v>
      </c>
      <c r="C238" s="4">
        <v>2024</v>
      </c>
      <c r="D238" s="4">
        <v>12</v>
      </c>
      <c r="E238" s="4" t="s">
        <v>57</v>
      </c>
      <c r="F238" s="4" t="s">
        <v>8</v>
      </c>
      <c r="G238" s="4" t="s">
        <v>6</v>
      </c>
      <c r="H238" s="4" t="s">
        <v>114</v>
      </c>
      <c r="I238" s="4" t="s">
        <v>7</v>
      </c>
      <c r="J238" s="4" t="s">
        <v>289</v>
      </c>
      <c r="K238" s="4">
        <v>11</v>
      </c>
      <c r="L238" s="5">
        <v>87.79</v>
      </c>
      <c r="M238" s="5">
        <v>965.69</v>
      </c>
      <c r="N238" s="5">
        <v>637.19000000000005</v>
      </c>
      <c r="O238" s="5">
        <v>328.5</v>
      </c>
      <c r="P238" s="4">
        <f>--AND(OR(Dashboard!$A$10="All",C238=Dashboard!$A$10),OR(Dashboard!$A$14="All",F238=Dashboard!$A$14),OR(Dashboard!$A$18="All",G238=Dashboard!$A$18),OR(Dashboard!$A$22="All",I238=Dashboard!$A$22))</f>
        <v>1</v>
      </c>
    </row>
    <row r="239" spans="1:16" ht="15.75" customHeight="1">
      <c r="A239" s="4" t="s">
        <v>438</v>
      </c>
      <c r="B239" s="6">
        <v>45707</v>
      </c>
      <c r="C239" s="4">
        <v>2025</v>
      </c>
      <c r="D239" s="4">
        <v>2</v>
      </c>
      <c r="E239" s="4" t="s">
        <v>70</v>
      </c>
      <c r="F239" s="4" t="s">
        <v>14</v>
      </c>
      <c r="G239" s="4" t="s">
        <v>9</v>
      </c>
      <c r="H239" s="4" t="s">
        <v>64</v>
      </c>
      <c r="I239" s="4" t="s">
        <v>10</v>
      </c>
      <c r="J239" s="4" t="s">
        <v>301</v>
      </c>
      <c r="K239" s="4">
        <v>3</v>
      </c>
      <c r="L239" s="5">
        <v>41.2</v>
      </c>
      <c r="M239" s="5">
        <v>123.6</v>
      </c>
      <c r="N239" s="5">
        <v>64.099999999999994</v>
      </c>
      <c r="O239" s="5">
        <v>59.5</v>
      </c>
      <c r="P239" s="4">
        <f>--AND(OR(Dashboard!$A$10="All",C239=Dashboard!$A$10),OR(Dashboard!$A$14="All",F239=Dashboard!$A$14),OR(Dashboard!$A$18="All",G239=Dashboard!$A$18),OR(Dashboard!$A$22="All",I239=Dashboard!$A$22))</f>
        <v>1</v>
      </c>
    </row>
    <row r="240" spans="1:16" ht="15.75" customHeight="1">
      <c r="A240" s="4" t="s">
        <v>439</v>
      </c>
      <c r="B240" s="6">
        <v>45998</v>
      </c>
      <c r="C240" s="4">
        <v>2025</v>
      </c>
      <c r="D240" s="4">
        <v>12</v>
      </c>
      <c r="E240" s="4" t="s">
        <v>57</v>
      </c>
      <c r="F240" s="4" t="s">
        <v>5</v>
      </c>
      <c r="G240" s="4" t="s">
        <v>6</v>
      </c>
      <c r="H240" s="4" t="s">
        <v>114</v>
      </c>
      <c r="I240" s="4" t="s">
        <v>7</v>
      </c>
      <c r="J240" s="4" t="s">
        <v>247</v>
      </c>
      <c r="K240" s="4">
        <v>2</v>
      </c>
      <c r="L240" s="5">
        <v>175.61</v>
      </c>
      <c r="M240" s="5">
        <v>351.22</v>
      </c>
      <c r="N240" s="5">
        <v>221.52</v>
      </c>
      <c r="O240" s="5">
        <v>129.69999999999999</v>
      </c>
      <c r="P240" s="4">
        <f>--AND(OR(Dashboard!$A$10="All",C240=Dashboard!$A$10),OR(Dashboard!$A$14="All",F240=Dashboard!$A$14),OR(Dashboard!$A$18="All",G240=Dashboard!$A$18),OR(Dashboard!$A$22="All",I240=Dashboard!$A$22))</f>
        <v>1</v>
      </c>
    </row>
    <row r="241" spans="1:16" ht="15.75" customHeight="1">
      <c r="A241" s="4" t="s">
        <v>440</v>
      </c>
      <c r="B241" s="6">
        <v>45777</v>
      </c>
      <c r="C241" s="4">
        <v>2025</v>
      </c>
      <c r="D241" s="4">
        <v>4</v>
      </c>
      <c r="E241" s="4" t="s">
        <v>106</v>
      </c>
      <c r="F241" s="4" t="s">
        <v>8</v>
      </c>
      <c r="G241" s="4" t="s">
        <v>9</v>
      </c>
      <c r="H241" s="4" t="s">
        <v>71</v>
      </c>
      <c r="I241" s="4" t="s">
        <v>7</v>
      </c>
      <c r="J241" s="4" t="s">
        <v>164</v>
      </c>
      <c r="K241" s="4">
        <v>1</v>
      </c>
      <c r="L241" s="5">
        <v>40.9</v>
      </c>
      <c r="M241" s="5">
        <v>40.9</v>
      </c>
      <c r="N241" s="5">
        <v>20.170000000000002</v>
      </c>
      <c r="O241" s="5">
        <v>20.73</v>
      </c>
      <c r="P241" s="4">
        <f>--AND(OR(Dashboard!$A$10="All",C241=Dashboard!$A$10),OR(Dashboard!$A$14="All",F241=Dashboard!$A$14),OR(Dashboard!$A$18="All",G241=Dashboard!$A$18),OR(Dashboard!$A$22="All",I241=Dashboard!$A$22))</f>
        <v>1</v>
      </c>
    </row>
    <row r="242" spans="1:16" ht="15.75" customHeight="1">
      <c r="A242" s="4" t="s">
        <v>441</v>
      </c>
      <c r="B242" s="6">
        <v>45897</v>
      </c>
      <c r="C242" s="4">
        <v>2025</v>
      </c>
      <c r="D242" s="4">
        <v>8</v>
      </c>
      <c r="E242" s="4" t="s">
        <v>67</v>
      </c>
      <c r="F242" s="4" t="s">
        <v>14</v>
      </c>
      <c r="G242" s="4" t="s">
        <v>12</v>
      </c>
      <c r="H242" s="4" t="s">
        <v>127</v>
      </c>
      <c r="I242" s="4" t="s">
        <v>10</v>
      </c>
      <c r="J242" s="4" t="s">
        <v>111</v>
      </c>
      <c r="K242" s="4">
        <v>4</v>
      </c>
      <c r="L242" s="5">
        <v>140.85</v>
      </c>
      <c r="M242" s="5">
        <v>563.4</v>
      </c>
      <c r="N242" s="5">
        <v>321.87</v>
      </c>
      <c r="O242" s="5">
        <v>241.53</v>
      </c>
      <c r="P242" s="4">
        <f>--AND(OR(Dashboard!$A$10="All",C242=Dashboard!$A$10),OR(Dashboard!$A$14="All",F242=Dashboard!$A$14),OR(Dashboard!$A$18="All",G242=Dashboard!$A$18),OR(Dashboard!$A$22="All",I242=Dashboard!$A$22))</f>
        <v>1</v>
      </c>
    </row>
    <row r="243" spans="1:16" ht="15.75" customHeight="1">
      <c r="A243" s="4" t="s">
        <v>442</v>
      </c>
      <c r="B243" s="6">
        <v>45510</v>
      </c>
      <c r="C243" s="4">
        <v>2024</v>
      </c>
      <c r="D243" s="4">
        <v>8</v>
      </c>
      <c r="E243" s="4" t="s">
        <v>67</v>
      </c>
      <c r="F243" s="4" t="s">
        <v>5</v>
      </c>
      <c r="G243" s="4" t="s">
        <v>6</v>
      </c>
      <c r="H243" s="4" t="s">
        <v>54</v>
      </c>
      <c r="I243" s="4" t="s">
        <v>7</v>
      </c>
      <c r="J243" s="4" t="s">
        <v>162</v>
      </c>
      <c r="K243" s="4">
        <v>5</v>
      </c>
      <c r="L243" s="5">
        <v>185.66</v>
      </c>
      <c r="M243" s="5">
        <v>928.3</v>
      </c>
      <c r="N243" s="5">
        <v>623.30999999999995</v>
      </c>
      <c r="O243" s="5">
        <v>304.99</v>
      </c>
      <c r="P243" s="4">
        <f>--AND(OR(Dashboard!$A$10="All",C243=Dashboard!$A$10),OR(Dashboard!$A$14="All",F243=Dashboard!$A$14),OR(Dashboard!$A$18="All",G243=Dashboard!$A$18),OR(Dashboard!$A$22="All",I243=Dashboard!$A$22))</f>
        <v>1</v>
      </c>
    </row>
    <row r="244" spans="1:16" ht="15.75" customHeight="1">
      <c r="A244" s="4" t="s">
        <v>443</v>
      </c>
      <c r="B244" s="6">
        <v>45777</v>
      </c>
      <c r="C244" s="4">
        <v>2025</v>
      </c>
      <c r="D244" s="4">
        <v>4</v>
      </c>
      <c r="E244" s="4" t="s">
        <v>106</v>
      </c>
      <c r="F244" s="4" t="s">
        <v>11</v>
      </c>
      <c r="G244" s="4" t="s">
        <v>6</v>
      </c>
      <c r="H244" s="4" t="s">
        <v>98</v>
      </c>
      <c r="I244" s="4" t="s">
        <v>13</v>
      </c>
      <c r="J244" s="4" t="s">
        <v>420</v>
      </c>
      <c r="K244" s="4">
        <v>1</v>
      </c>
      <c r="L244" s="5">
        <v>118.66</v>
      </c>
      <c r="M244" s="5">
        <v>118.66</v>
      </c>
      <c r="N244" s="5">
        <v>76.239999999999995</v>
      </c>
      <c r="O244" s="5">
        <v>42.42</v>
      </c>
      <c r="P244" s="4">
        <f>--AND(OR(Dashboard!$A$10="All",C244=Dashboard!$A$10),OR(Dashboard!$A$14="All",F244=Dashboard!$A$14),OR(Dashboard!$A$18="All",G244=Dashboard!$A$18),OR(Dashboard!$A$22="All",I244=Dashboard!$A$22))</f>
        <v>1</v>
      </c>
    </row>
    <row r="245" spans="1:16" ht="15.75" customHeight="1">
      <c r="A245" s="4" t="s">
        <v>444</v>
      </c>
      <c r="B245" s="6">
        <v>45385</v>
      </c>
      <c r="C245" s="4">
        <v>2024</v>
      </c>
      <c r="D245" s="4">
        <v>4</v>
      </c>
      <c r="E245" s="4" t="s">
        <v>106</v>
      </c>
      <c r="F245" s="4" t="s">
        <v>8</v>
      </c>
      <c r="G245" s="4" t="s">
        <v>12</v>
      </c>
      <c r="H245" s="4" t="s">
        <v>86</v>
      </c>
      <c r="I245" s="4" t="s">
        <v>7</v>
      </c>
      <c r="J245" s="4" t="s">
        <v>179</v>
      </c>
      <c r="K245" s="4">
        <v>5</v>
      </c>
      <c r="L245" s="5">
        <v>176.31</v>
      </c>
      <c r="M245" s="5">
        <v>881.55</v>
      </c>
      <c r="N245" s="5">
        <v>530.29999999999995</v>
      </c>
      <c r="O245" s="5">
        <v>351.25</v>
      </c>
      <c r="P245" s="4">
        <f>--AND(OR(Dashboard!$A$10="All",C245=Dashboard!$A$10),OR(Dashboard!$A$14="All",F245=Dashboard!$A$14),OR(Dashboard!$A$18="All",G245=Dashboard!$A$18),OR(Dashboard!$A$22="All",I245=Dashboard!$A$22))</f>
        <v>1</v>
      </c>
    </row>
    <row r="246" spans="1:16" ht="15.75" customHeight="1">
      <c r="A246" s="4" t="s">
        <v>445</v>
      </c>
      <c r="B246" s="6">
        <v>45615</v>
      </c>
      <c r="C246" s="4">
        <v>2024</v>
      </c>
      <c r="D246" s="4">
        <v>11</v>
      </c>
      <c r="E246" s="4" t="s">
        <v>89</v>
      </c>
      <c r="F246" s="4" t="s">
        <v>8</v>
      </c>
      <c r="G246" s="4" t="s">
        <v>9</v>
      </c>
      <c r="H246" s="4" t="s">
        <v>110</v>
      </c>
      <c r="I246" s="4" t="s">
        <v>7</v>
      </c>
      <c r="J246" s="4" t="s">
        <v>168</v>
      </c>
      <c r="K246" s="4">
        <v>6</v>
      </c>
      <c r="L246" s="5">
        <v>66.260000000000005</v>
      </c>
      <c r="M246" s="5">
        <v>397.56</v>
      </c>
      <c r="N246" s="5">
        <v>192.16</v>
      </c>
      <c r="O246" s="5">
        <v>205.4</v>
      </c>
      <c r="P246" s="4">
        <f>--AND(OR(Dashboard!$A$10="All",C246=Dashboard!$A$10),OR(Dashboard!$A$14="All",F246=Dashboard!$A$14),OR(Dashboard!$A$18="All",G246=Dashboard!$A$18),OR(Dashboard!$A$22="All",I246=Dashboard!$A$22))</f>
        <v>1</v>
      </c>
    </row>
    <row r="247" spans="1:16" ht="15.75" customHeight="1">
      <c r="A247" s="4" t="s">
        <v>446</v>
      </c>
      <c r="B247" s="6">
        <v>45850</v>
      </c>
      <c r="C247" s="4">
        <v>2025</v>
      </c>
      <c r="D247" s="4">
        <v>7</v>
      </c>
      <c r="E247" s="4" t="s">
        <v>63</v>
      </c>
      <c r="F247" s="4" t="s">
        <v>5</v>
      </c>
      <c r="G247" s="4" t="s">
        <v>9</v>
      </c>
      <c r="H247" s="4" t="s">
        <v>64</v>
      </c>
      <c r="I247" s="4" t="s">
        <v>7</v>
      </c>
      <c r="J247" s="4" t="s">
        <v>166</v>
      </c>
      <c r="K247" s="4">
        <v>1</v>
      </c>
      <c r="L247" s="5">
        <v>34.64</v>
      </c>
      <c r="M247" s="5">
        <v>34.64</v>
      </c>
      <c r="N247" s="5">
        <v>16.739999999999998</v>
      </c>
      <c r="O247" s="5">
        <v>17.899999999999999</v>
      </c>
      <c r="P247" s="4">
        <f>--AND(OR(Dashboard!$A$10="All",C247=Dashboard!$A$10),OR(Dashboard!$A$14="All",F247=Dashboard!$A$14),OR(Dashboard!$A$18="All",G247=Dashboard!$A$18),OR(Dashboard!$A$22="All",I247=Dashboard!$A$22))</f>
        <v>1</v>
      </c>
    </row>
    <row r="248" spans="1:16" ht="15.75" customHeight="1">
      <c r="A248" s="4" t="s">
        <v>447</v>
      </c>
      <c r="B248" s="6">
        <v>45483</v>
      </c>
      <c r="C248" s="4">
        <v>2024</v>
      </c>
      <c r="D248" s="4">
        <v>7</v>
      </c>
      <c r="E248" s="4" t="s">
        <v>63</v>
      </c>
      <c r="F248" s="4" t="s">
        <v>8</v>
      </c>
      <c r="G248" s="4" t="s">
        <v>6</v>
      </c>
      <c r="H248" s="4" t="s">
        <v>136</v>
      </c>
      <c r="I248" s="4" t="s">
        <v>7</v>
      </c>
      <c r="J248" s="4" t="s">
        <v>259</v>
      </c>
      <c r="K248" s="4">
        <v>3</v>
      </c>
      <c r="L248" s="5">
        <v>166.28</v>
      </c>
      <c r="M248" s="5">
        <v>498.84</v>
      </c>
      <c r="N248" s="5">
        <v>328.16</v>
      </c>
      <c r="O248" s="5">
        <v>170.68</v>
      </c>
      <c r="P248" s="4">
        <f>--AND(OR(Dashboard!$A$10="All",C248=Dashboard!$A$10),OR(Dashboard!$A$14="All",F248=Dashboard!$A$14),OR(Dashboard!$A$18="All",G248=Dashboard!$A$18),OR(Dashboard!$A$22="All",I248=Dashboard!$A$22))</f>
        <v>1</v>
      </c>
    </row>
    <row r="249" spans="1:16" ht="15.75" customHeight="1">
      <c r="A249" s="4" t="s">
        <v>448</v>
      </c>
      <c r="B249" s="6">
        <v>45343</v>
      </c>
      <c r="C249" s="4">
        <v>2024</v>
      </c>
      <c r="D249" s="4">
        <v>2</v>
      </c>
      <c r="E249" s="4" t="s">
        <v>70</v>
      </c>
      <c r="F249" s="4" t="s">
        <v>5</v>
      </c>
      <c r="G249" s="4" t="s">
        <v>9</v>
      </c>
      <c r="H249" s="4" t="s">
        <v>110</v>
      </c>
      <c r="I249" s="4" t="s">
        <v>7</v>
      </c>
      <c r="J249" s="4" t="s">
        <v>344</v>
      </c>
      <c r="K249" s="4">
        <v>5</v>
      </c>
      <c r="L249" s="5">
        <v>62.95</v>
      </c>
      <c r="M249" s="5">
        <v>314.75</v>
      </c>
      <c r="N249" s="5">
        <v>158.85</v>
      </c>
      <c r="O249" s="5">
        <v>155.9</v>
      </c>
      <c r="P249" s="4">
        <f>--AND(OR(Dashboard!$A$10="All",C249=Dashboard!$A$10),OR(Dashboard!$A$14="All",F249=Dashboard!$A$14),OR(Dashboard!$A$18="All",G249=Dashboard!$A$18),OR(Dashboard!$A$22="All",I249=Dashboard!$A$22))</f>
        <v>1</v>
      </c>
    </row>
    <row r="250" spans="1:16" ht="15.75" customHeight="1">
      <c r="A250" s="4" t="s">
        <v>449</v>
      </c>
      <c r="B250" s="6">
        <v>45678</v>
      </c>
      <c r="C250" s="4">
        <v>2025</v>
      </c>
      <c r="D250" s="4">
        <v>1</v>
      </c>
      <c r="E250" s="4" t="s">
        <v>30</v>
      </c>
      <c r="F250" s="4" t="s">
        <v>5</v>
      </c>
      <c r="G250" s="4" t="s">
        <v>12</v>
      </c>
      <c r="H250" s="4" t="s">
        <v>124</v>
      </c>
      <c r="I250" s="4" t="s">
        <v>7</v>
      </c>
      <c r="J250" s="4" t="s">
        <v>346</v>
      </c>
      <c r="K250" s="4">
        <v>8</v>
      </c>
      <c r="L250" s="5">
        <v>243.18</v>
      </c>
      <c r="M250" s="5">
        <v>1945.44</v>
      </c>
      <c r="N250" s="5">
        <v>1154.25</v>
      </c>
      <c r="O250" s="5">
        <v>791.19</v>
      </c>
      <c r="P250" s="4">
        <f>--AND(OR(Dashboard!$A$10="All",C250=Dashboard!$A$10),OR(Dashboard!$A$14="All",F250=Dashboard!$A$14),OR(Dashboard!$A$18="All",G250=Dashboard!$A$18),OR(Dashboard!$A$22="All",I250=Dashboard!$A$22))</f>
        <v>1</v>
      </c>
    </row>
    <row r="251" spans="1:16" ht="15.75" customHeight="1">
      <c r="A251" s="4" t="s">
        <v>450</v>
      </c>
      <c r="B251" s="6">
        <v>45776</v>
      </c>
      <c r="C251" s="4">
        <v>2025</v>
      </c>
      <c r="D251" s="4">
        <v>4</v>
      </c>
      <c r="E251" s="4" t="s">
        <v>106</v>
      </c>
      <c r="F251" s="4" t="s">
        <v>11</v>
      </c>
      <c r="G251" s="4" t="s">
        <v>9</v>
      </c>
      <c r="H251" s="4" t="s">
        <v>64</v>
      </c>
      <c r="I251" s="4" t="s">
        <v>7</v>
      </c>
      <c r="J251" s="4" t="s">
        <v>61</v>
      </c>
      <c r="K251" s="4">
        <v>11</v>
      </c>
      <c r="L251" s="5">
        <v>67.069999999999993</v>
      </c>
      <c r="M251" s="5">
        <v>737.77</v>
      </c>
      <c r="N251" s="5">
        <v>375.28</v>
      </c>
      <c r="O251" s="5">
        <v>362.49</v>
      </c>
      <c r="P251" s="4">
        <f>--AND(OR(Dashboard!$A$10="All",C251=Dashboard!$A$10),OR(Dashboard!$A$14="All",F251=Dashboard!$A$14),OR(Dashboard!$A$18="All",G251=Dashboard!$A$18),OR(Dashboard!$A$22="All",I251=Dashboard!$A$22))</f>
        <v>1</v>
      </c>
    </row>
    <row r="252" spans="1:16" ht="15.75" customHeight="1">
      <c r="A252" s="4" t="s">
        <v>451</v>
      </c>
      <c r="B252" s="6">
        <v>45719</v>
      </c>
      <c r="C252" s="4">
        <v>2025</v>
      </c>
      <c r="D252" s="4">
        <v>3</v>
      </c>
      <c r="E252" s="4" t="s">
        <v>100</v>
      </c>
      <c r="F252" s="4" t="s">
        <v>8</v>
      </c>
      <c r="G252" s="4" t="s">
        <v>12</v>
      </c>
      <c r="H252" s="4" t="s">
        <v>58</v>
      </c>
      <c r="I252" s="4" t="s">
        <v>10</v>
      </c>
      <c r="J252" s="4" t="s">
        <v>131</v>
      </c>
      <c r="K252" s="4">
        <v>2</v>
      </c>
      <c r="L252" s="5">
        <v>172.79</v>
      </c>
      <c r="M252" s="5">
        <v>345.58</v>
      </c>
      <c r="N252" s="5">
        <v>212.83</v>
      </c>
      <c r="O252" s="5">
        <v>132.75</v>
      </c>
      <c r="P252" s="4">
        <f>--AND(OR(Dashboard!$A$10="All",C252=Dashboard!$A$10),OR(Dashboard!$A$14="All",F252=Dashboard!$A$14),OR(Dashboard!$A$18="All",G252=Dashboard!$A$18),OR(Dashboard!$A$22="All",I252=Dashboard!$A$22))</f>
        <v>1</v>
      </c>
    </row>
    <row r="253" spans="1:16" ht="15.75" customHeight="1">
      <c r="A253" s="4" t="s">
        <v>452</v>
      </c>
      <c r="B253" s="6">
        <v>45350</v>
      </c>
      <c r="C253" s="4">
        <v>2024</v>
      </c>
      <c r="D253" s="4">
        <v>2</v>
      </c>
      <c r="E253" s="4" t="s">
        <v>70</v>
      </c>
      <c r="F253" s="4" t="s">
        <v>14</v>
      </c>
      <c r="G253" s="4" t="s">
        <v>12</v>
      </c>
      <c r="H253" s="4" t="s">
        <v>124</v>
      </c>
      <c r="I253" s="4" t="s">
        <v>7</v>
      </c>
      <c r="J253" s="4" t="s">
        <v>292</v>
      </c>
      <c r="K253" s="4">
        <v>4</v>
      </c>
      <c r="L253" s="5">
        <v>168.83</v>
      </c>
      <c r="M253" s="5">
        <v>675.32</v>
      </c>
      <c r="N253" s="5">
        <v>385.91</v>
      </c>
      <c r="O253" s="5">
        <v>289.41000000000003</v>
      </c>
      <c r="P253" s="4">
        <f>--AND(OR(Dashboard!$A$10="All",C253=Dashboard!$A$10),OR(Dashboard!$A$14="All",F253=Dashboard!$A$14),OR(Dashboard!$A$18="All",G253=Dashboard!$A$18),OR(Dashboard!$A$22="All",I253=Dashboard!$A$22))</f>
        <v>1</v>
      </c>
    </row>
    <row r="254" spans="1:16" ht="15.75" customHeight="1">
      <c r="A254" s="4" t="s">
        <v>453</v>
      </c>
      <c r="B254" s="6">
        <v>45841</v>
      </c>
      <c r="C254" s="4">
        <v>2025</v>
      </c>
      <c r="D254" s="4">
        <v>7</v>
      </c>
      <c r="E254" s="4" t="s">
        <v>63</v>
      </c>
      <c r="F254" s="4" t="s">
        <v>5</v>
      </c>
      <c r="G254" s="4" t="s">
        <v>9</v>
      </c>
      <c r="H254" s="4" t="s">
        <v>35</v>
      </c>
      <c r="I254" s="4" t="s">
        <v>7</v>
      </c>
      <c r="J254" s="4" t="s">
        <v>299</v>
      </c>
      <c r="K254" s="4">
        <v>1</v>
      </c>
      <c r="L254" s="5">
        <v>39.51</v>
      </c>
      <c r="M254" s="5">
        <v>39.51</v>
      </c>
      <c r="N254" s="5">
        <v>20.25</v>
      </c>
      <c r="O254" s="5">
        <v>19.260000000000002</v>
      </c>
      <c r="P254" s="4">
        <f>--AND(OR(Dashboard!$A$10="All",C254=Dashboard!$A$10),OR(Dashboard!$A$14="All",F254=Dashboard!$A$14),OR(Dashboard!$A$18="All",G254=Dashboard!$A$18),OR(Dashboard!$A$22="All",I254=Dashboard!$A$22))</f>
        <v>1</v>
      </c>
    </row>
    <row r="255" spans="1:16" ht="15.75" customHeight="1">
      <c r="A255" s="4" t="s">
        <v>454</v>
      </c>
      <c r="B255" s="6">
        <v>45977</v>
      </c>
      <c r="C255" s="4">
        <v>2025</v>
      </c>
      <c r="D255" s="4">
        <v>11</v>
      </c>
      <c r="E255" s="4" t="s">
        <v>89</v>
      </c>
      <c r="F255" s="4" t="s">
        <v>5</v>
      </c>
      <c r="G255" s="4" t="s">
        <v>12</v>
      </c>
      <c r="H255" s="4" t="s">
        <v>58</v>
      </c>
      <c r="I255" s="4" t="s">
        <v>7</v>
      </c>
      <c r="J255" s="4" t="s">
        <v>455</v>
      </c>
      <c r="K255" s="4">
        <v>5</v>
      </c>
      <c r="L255" s="5">
        <v>231.46</v>
      </c>
      <c r="M255" s="5">
        <v>1157.3</v>
      </c>
      <c r="N255" s="5">
        <v>704.07</v>
      </c>
      <c r="O255" s="5">
        <v>453.23</v>
      </c>
      <c r="P255" s="4">
        <f>--AND(OR(Dashboard!$A$10="All",C255=Dashboard!$A$10),OR(Dashboard!$A$14="All",F255=Dashboard!$A$14),OR(Dashboard!$A$18="All",G255=Dashboard!$A$18),OR(Dashboard!$A$22="All",I255=Dashboard!$A$22))</f>
        <v>1</v>
      </c>
    </row>
    <row r="256" spans="1:16" ht="15.75" customHeight="1">
      <c r="A256" s="4" t="s">
        <v>456</v>
      </c>
      <c r="B256" s="6">
        <v>45492</v>
      </c>
      <c r="C256" s="4">
        <v>2024</v>
      </c>
      <c r="D256" s="4">
        <v>7</v>
      </c>
      <c r="E256" s="4" t="s">
        <v>63</v>
      </c>
      <c r="F256" s="4" t="s">
        <v>8</v>
      </c>
      <c r="G256" s="4" t="s">
        <v>6</v>
      </c>
      <c r="H256" s="4" t="s">
        <v>54</v>
      </c>
      <c r="I256" s="4" t="s">
        <v>7</v>
      </c>
      <c r="J256" s="4" t="s">
        <v>289</v>
      </c>
      <c r="K256" s="4">
        <v>3</v>
      </c>
      <c r="L256" s="5">
        <v>101.09</v>
      </c>
      <c r="M256" s="5">
        <v>303.27</v>
      </c>
      <c r="N256" s="5">
        <v>195.83</v>
      </c>
      <c r="O256" s="5">
        <v>107.44</v>
      </c>
      <c r="P256" s="4">
        <f>--AND(OR(Dashboard!$A$10="All",C256=Dashboard!$A$10),OR(Dashboard!$A$14="All",F256=Dashboard!$A$14),OR(Dashboard!$A$18="All",G256=Dashboard!$A$18),OR(Dashboard!$A$22="All",I256=Dashboard!$A$22))</f>
        <v>1</v>
      </c>
    </row>
    <row r="257" spans="1:16" ht="15.75" customHeight="1">
      <c r="A257" s="4" t="s">
        <v>457</v>
      </c>
      <c r="B257" s="6">
        <v>46019</v>
      </c>
      <c r="C257" s="4">
        <v>2025</v>
      </c>
      <c r="D257" s="4">
        <v>12</v>
      </c>
      <c r="E257" s="4" t="s">
        <v>57</v>
      </c>
      <c r="F257" s="4" t="s">
        <v>5</v>
      </c>
      <c r="G257" s="4" t="s">
        <v>9</v>
      </c>
      <c r="H257" s="4" t="s">
        <v>142</v>
      </c>
      <c r="I257" s="4" t="s">
        <v>7</v>
      </c>
      <c r="J257" s="4" t="s">
        <v>209</v>
      </c>
      <c r="K257" s="4">
        <v>1</v>
      </c>
      <c r="L257" s="5">
        <v>44.85</v>
      </c>
      <c r="M257" s="5">
        <v>44.85</v>
      </c>
      <c r="N257" s="5">
        <v>21.78</v>
      </c>
      <c r="O257" s="5">
        <v>23.07</v>
      </c>
      <c r="P257" s="4">
        <f>--AND(OR(Dashboard!$A$10="All",C257=Dashboard!$A$10),OR(Dashboard!$A$14="All",F257=Dashboard!$A$14),OR(Dashboard!$A$18="All",G257=Dashboard!$A$18),OR(Dashboard!$A$22="All",I257=Dashboard!$A$22))</f>
        <v>1</v>
      </c>
    </row>
    <row r="258" spans="1:16" ht="15.75" customHeight="1">
      <c r="A258" s="4" t="s">
        <v>458</v>
      </c>
      <c r="B258" s="6">
        <v>45760</v>
      </c>
      <c r="C258" s="4">
        <v>2025</v>
      </c>
      <c r="D258" s="4">
        <v>4</v>
      </c>
      <c r="E258" s="4" t="s">
        <v>106</v>
      </c>
      <c r="F258" s="4" t="s">
        <v>5</v>
      </c>
      <c r="G258" s="4" t="s">
        <v>9</v>
      </c>
      <c r="H258" s="4" t="s">
        <v>110</v>
      </c>
      <c r="I258" s="4" t="s">
        <v>10</v>
      </c>
      <c r="J258" s="4" t="s">
        <v>170</v>
      </c>
      <c r="K258" s="4">
        <v>1</v>
      </c>
      <c r="L258" s="5">
        <v>62.31</v>
      </c>
      <c r="M258" s="5">
        <v>62.31</v>
      </c>
      <c r="N258" s="5">
        <v>31.28</v>
      </c>
      <c r="O258" s="5">
        <v>31.03</v>
      </c>
      <c r="P258" s="4">
        <f>--AND(OR(Dashboard!$A$10="All",C258=Dashboard!$A$10),OR(Dashboard!$A$14="All",F258=Dashboard!$A$14),OR(Dashboard!$A$18="All",G258=Dashboard!$A$18),OR(Dashboard!$A$22="All",I258=Dashboard!$A$22))</f>
        <v>1</v>
      </c>
    </row>
    <row r="259" spans="1:16" ht="15.75" customHeight="1">
      <c r="A259" s="4" t="s">
        <v>459</v>
      </c>
      <c r="B259" s="6">
        <v>45545</v>
      </c>
      <c r="C259" s="4">
        <v>2024</v>
      </c>
      <c r="D259" s="4">
        <v>9</v>
      </c>
      <c r="E259" s="4" t="s">
        <v>79</v>
      </c>
      <c r="F259" s="4" t="s">
        <v>5</v>
      </c>
      <c r="G259" s="4" t="s">
        <v>9</v>
      </c>
      <c r="H259" s="4" t="s">
        <v>110</v>
      </c>
      <c r="I259" s="4" t="s">
        <v>13</v>
      </c>
      <c r="J259" s="4" t="s">
        <v>460</v>
      </c>
      <c r="K259" s="4">
        <v>4</v>
      </c>
      <c r="L259" s="5">
        <v>37.520000000000003</v>
      </c>
      <c r="M259" s="5">
        <v>150.08000000000001</v>
      </c>
      <c r="N259" s="5">
        <v>74.55</v>
      </c>
      <c r="O259" s="5">
        <v>75.53</v>
      </c>
      <c r="P259" s="4">
        <f>--AND(OR(Dashboard!$A$10="All",C259=Dashboard!$A$10),OR(Dashboard!$A$14="All",F259=Dashboard!$A$14),OR(Dashboard!$A$18="All",G259=Dashboard!$A$18),OR(Dashboard!$A$22="All",I259=Dashboard!$A$22))</f>
        <v>1</v>
      </c>
    </row>
    <row r="260" spans="1:16" ht="15.75" customHeight="1">
      <c r="A260" s="4" t="s">
        <v>461</v>
      </c>
      <c r="B260" s="6">
        <v>45799</v>
      </c>
      <c r="C260" s="4">
        <v>2025</v>
      </c>
      <c r="D260" s="4">
        <v>5</v>
      </c>
      <c r="E260" s="4" t="s">
        <v>108</v>
      </c>
      <c r="F260" s="4" t="s">
        <v>11</v>
      </c>
      <c r="G260" s="4" t="s">
        <v>9</v>
      </c>
      <c r="H260" s="4" t="s">
        <v>35</v>
      </c>
      <c r="I260" s="4" t="s">
        <v>7</v>
      </c>
      <c r="J260" s="4" t="s">
        <v>94</v>
      </c>
      <c r="K260" s="4">
        <v>1</v>
      </c>
      <c r="L260" s="5">
        <v>38.1</v>
      </c>
      <c r="M260" s="5">
        <v>38.1</v>
      </c>
      <c r="N260" s="5">
        <v>19.93</v>
      </c>
      <c r="O260" s="5">
        <v>18.170000000000002</v>
      </c>
      <c r="P260" s="4">
        <f>--AND(OR(Dashboard!$A$10="All",C260=Dashboard!$A$10),OR(Dashboard!$A$14="All",F260=Dashboard!$A$14),OR(Dashboard!$A$18="All",G260=Dashboard!$A$18),OR(Dashboard!$A$22="All",I260=Dashboard!$A$22))</f>
        <v>1</v>
      </c>
    </row>
    <row r="261" spans="1:16" ht="15.75" customHeight="1">
      <c r="A261" s="4" t="s">
        <v>462</v>
      </c>
      <c r="B261" s="6">
        <v>45935</v>
      </c>
      <c r="C261" s="4">
        <v>2025</v>
      </c>
      <c r="D261" s="4">
        <v>10</v>
      </c>
      <c r="E261" s="4" t="s">
        <v>120</v>
      </c>
      <c r="F261" s="4" t="s">
        <v>5</v>
      </c>
      <c r="G261" s="4" t="s">
        <v>6</v>
      </c>
      <c r="H261" s="4" t="s">
        <v>98</v>
      </c>
      <c r="I261" s="4" t="s">
        <v>7</v>
      </c>
      <c r="J261" s="4" t="s">
        <v>115</v>
      </c>
      <c r="K261" s="4">
        <v>5</v>
      </c>
      <c r="L261" s="5">
        <v>129.19999999999999</v>
      </c>
      <c r="M261" s="5">
        <v>646</v>
      </c>
      <c r="N261" s="5">
        <v>445.07</v>
      </c>
      <c r="O261" s="5">
        <v>200.93</v>
      </c>
      <c r="P261" s="4">
        <f>--AND(OR(Dashboard!$A$10="All",C261=Dashboard!$A$10),OR(Dashboard!$A$14="All",F261=Dashboard!$A$14),OR(Dashboard!$A$18="All",G261=Dashboard!$A$18),OR(Dashboard!$A$22="All",I261=Dashboard!$A$22))</f>
        <v>1</v>
      </c>
    </row>
    <row r="262" spans="1:16" ht="15.75" customHeight="1">
      <c r="A262" s="4" t="s">
        <v>463</v>
      </c>
      <c r="B262" s="6">
        <v>45697</v>
      </c>
      <c r="C262" s="4">
        <v>2025</v>
      </c>
      <c r="D262" s="4">
        <v>2</v>
      </c>
      <c r="E262" s="4" t="s">
        <v>70</v>
      </c>
      <c r="F262" s="4" t="s">
        <v>8</v>
      </c>
      <c r="G262" s="4" t="s">
        <v>12</v>
      </c>
      <c r="H262" s="4" t="s">
        <v>58</v>
      </c>
      <c r="I262" s="4" t="s">
        <v>13</v>
      </c>
      <c r="J262" s="4" t="s">
        <v>348</v>
      </c>
      <c r="K262" s="4">
        <v>4</v>
      </c>
      <c r="L262" s="5">
        <v>236.87</v>
      </c>
      <c r="M262" s="5">
        <v>947.48</v>
      </c>
      <c r="N262" s="5">
        <v>567.59</v>
      </c>
      <c r="O262" s="5">
        <v>379.89</v>
      </c>
      <c r="P262" s="4">
        <f>--AND(OR(Dashboard!$A$10="All",C262=Dashboard!$A$10),OR(Dashboard!$A$14="All",F262=Dashboard!$A$14),OR(Dashboard!$A$18="All",G262=Dashboard!$A$18),OR(Dashboard!$A$22="All",I262=Dashboard!$A$22))</f>
        <v>1</v>
      </c>
    </row>
    <row r="263" spans="1:16" ht="15.75" customHeight="1">
      <c r="A263" s="4" t="s">
        <v>464</v>
      </c>
      <c r="B263" s="6">
        <v>45630</v>
      </c>
      <c r="C263" s="4">
        <v>2024</v>
      </c>
      <c r="D263" s="4">
        <v>12</v>
      </c>
      <c r="E263" s="4" t="s">
        <v>57</v>
      </c>
      <c r="F263" s="4" t="s">
        <v>5</v>
      </c>
      <c r="G263" s="4" t="s">
        <v>9</v>
      </c>
      <c r="H263" s="4" t="s">
        <v>71</v>
      </c>
      <c r="I263" s="4" t="s">
        <v>7</v>
      </c>
      <c r="J263" s="4" t="s">
        <v>263</v>
      </c>
      <c r="K263" s="4">
        <v>12</v>
      </c>
      <c r="L263" s="5">
        <v>63.95</v>
      </c>
      <c r="M263" s="5">
        <v>767.4</v>
      </c>
      <c r="N263" s="5">
        <v>376.86</v>
      </c>
      <c r="O263" s="5">
        <v>390.54</v>
      </c>
      <c r="P263" s="4">
        <f>--AND(OR(Dashboard!$A$10="All",C263=Dashboard!$A$10),OR(Dashboard!$A$14="All",F263=Dashboard!$A$14),OR(Dashboard!$A$18="All",G263=Dashboard!$A$18),OR(Dashboard!$A$22="All",I263=Dashboard!$A$22))</f>
        <v>1</v>
      </c>
    </row>
    <row r="264" spans="1:16" ht="15.75" customHeight="1">
      <c r="A264" s="4" t="s">
        <v>465</v>
      </c>
      <c r="B264" s="6">
        <v>45682</v>
      </c>
      <c r="C264" s="4">
        <v>2025</v>
      </c>
      <c r="D264" s="4">
        <v>1</v>
      </c>
      <c r="E264" s="4" t="s">
        <v>30</v>
      </c>
      <c r="F264" s="4" t="s">
        <v>5</v>
      </c>
      <c r="G264" s="4" t="s">
        <v>12</v>
      </c>
      <c r="H264" s="4" t="s">
        <v>124</v>
      </c>
      <c r="I264" s="4" t="s">
        <v>7</v>
      </c>
      <c r="J264" s="4" t="s">
        <v>301</v>
      </c>
      <c r="K264" s="4">
        <v>4</v>
      </c>
      <c r="L264" s="5">
        <v>123.31</v>
      </c>
      <c r="M264" s="5">
        <v>493.24</v>
      </c>
      <c r="N264" s="5">
        <v>300.29000000000002</v>
      </c>
      <c r="O264" s="5">
        <v>192.95</v>
      </c>
      <c r="P264" s="4">
        <f>--AND(OR(Dashboard!$A$10="All",C264=Dashboard!$A$10),OR(Dashboard!$A$14="All",F264=Dashboard!$A$14),OR(Dashboard!$A$18="All",G264=Dashboard!$A$18),OR(Dashboard!$A$22="All",I264=Dashboard!$A$22))</f>
        <v>1</v>
      </c>
    </row>
    <row r="265" spans="1:16" ht="15.75" customHeight="1">
      <c r="A265" s="4" t="s">
        <v>466</v>
      </c>
      <c r="B265" s="6">
        <v>45642</v>
      </c>
      <c r="C265" s="4">
        <v>2024</v>
      </c>
      <c r="D265" s="4">
        <v>12</v>
      </c>
      <c r="E265" s="4" t="s">
        <v>57</v>
      </c>
      <c r="F265" s="4" t="s">
        <v>5</v>
      </c>
      <c r="G265" s="4" t="s">
        <v>9</v>
      </c>
      <c r="H265" s="4" t="s">
        <v>110</v>
      </c>
      <c r="I265" s="4" t="s">
        <v>7</v>
      </c>
      <c r="J265" s="4" t="s">
        <v>261</v>
      </c>
      <c r="K265" s="4">
        <v>3</v>
      </c>
      <c r="L265" s="5">
        <v>59.41</v>
      </c>
      <c r="M265" s="5">
        <v>178.23</v>
      </c>
      <c r="N265" s="5">
        <v>86.5</v>
      </c>
      <c r="O265" s="5">
        <v>91.73</v>
      </c>
      <c r="P265" s="4">
        <f>--AND(OR(Dashboard!$A$10="All",C265=Dashboard!$A$10),OR(Dashboard!$A$14="All",F265=Dashboard!$A$14),OR(Dashboard!$A$18="All",G265=Dashboard!$A$18),OR(Dashboard!$A$22="All",I265=Dashboard!$A$22))</f>
        <v>1</v>
      </c>
    </row>
    <row r="266" spans="1:16" ht="15.75" customHeight="1">
      <c r="A266" s="4" t="s">
        <v>467</v>
      </c>
      <c r="B266" s="6">
        <v>45575</v>
      </c>
      <c r="C266" s="4">
        <v>2024</v>
      </c>
      <c r="D266" s="4">
        <v>10</v>
      </c>
      <c r="E266" s="4" t="s">
        <v>120</v>
      </c>
      <c r="F266" s="4" t="s">
        <v>11</v>
      </c>
      <c r="G266" s="4" t="s">
        <v>9</v>
      </c>
      <c r="H266" s="4" t="s">
        <v>35</v>
      </c>
      <c r="I266" s="4" t="s">
        <v>7</v>
      </c>
      <c r="J266" s="4" t="s">
        <v>216</v>
      </c>
      <c r="K266" s="4">
        <v>4</v>
      </c>
      <c r="L266" s="5">
        <v>44.83</v>
      </c>
      <c r="M266" s="5">
        <v>179.32</v>
      </c>
      <c r="N266" s="5">
        <v>90.61</v>
      </c>
      <c r="O266" s="5">
        <v>88.71</v>
      </c>
      <c r="P266" s="4">
        <f>--AND(OR(Dashboard!$A$10="All",C266=Dashboard!$A$10),OR(Dashboard!$A$14="All",F266=Dashboard!$A$14),OR(Dashboard!$A$18="All",G266=Dashboard!$A$18),OR(Dashboard!$A$22="All",I266=Dashboard!$A$22))</f>
        <v>1</v>
      </c>
    </row>
    <row r="267" spans="1:16" ht="15.75" customHeight="1">
      <c r="A267" s="4" t="s">
        <v>468</v>
      </c>
      <c r="B267" s="6">
        <v>45838</v>
      </c>
      <c r="C267" s="4">
        <v>2025</v>
      </c>
      <c r="D267" s="4">
        <v>6</v>
      </c>
      <c r="E267" s="4" t="s">
        <v>34</v>
      </c>
      <c r="F267" s="4" t="s">
        <v>5</v>
      </c>
      <c r="G267" s="4" t="s">
        <v>9</v>
      </c>
      <c r="H267" s="4" t="s">
        <v>64</v>
      </c>
      <c r="I267" s="4" t="s">
        <v>7</v>
      </c>
      <c r="J267" s="4" t="s">
        <v>94</v>
      </c>
      <c r="K267" s="4">
        <v>2</v>
      </c>
      <c r="L267" s="5">
        <v>59.93</v>
      </c>
      <c r="M267" s="5">
        <v>119.86</v>
      </c>
      <c r="N267" s="5">
        <v>58.26</v>
      </c>
      <c r="O267" s="5">
        <v>61.6</v>
      </c>
      <c r="P267" s="4">
        <f>--AND(OR(Dashboard!$A$10="All",C267=Dashboard!$A$10),OR(Dashboard!$A$14="All",F267=Dashboard!$A$14),OR(Dashboard!$A$18="All",G267=Dashboard!$A$18),OR(Dashboard!$A$22="All",I267=Dashboard!$A$22))</f>
        <v>1</v>
      </c>
    </row>
    <row r="268" spans="1:16" ht="15.75" customHeight="1">
      <c r="A268" s="4" t="s">
        <v>469</v>
      </c>
      <c r="B268" s="6">
        <v>45354</v>
      </c>
      <c r="C268" s="4">
        <v>2024</v>
      </c>
      <c r="D268" s="4">
        <v>3</v>
      </c>
      <c r="E268" s="4" t="s">
        <v>100</v>
      </c>
      <c r="F268" s="4" t="s">
        <v>8</v>
      </c>
      <c r="G268" s="4" t="s">
        <v>6</v>
      </c>
      <c r="H268" s="4" t="s">
        <v>98</v>
      </c>
      <c r="I268" s="4" t="s">
        <v>13</v>
      </c>
      <c r="J268" s="4" t="s">
        <v>181</v>
      </c>
      <c r="K268" s="4">
        <v>1</v>
      </c>
      <c r="L268" s="5">
        <v>76.16</v>
      </c>
      <c r="M268" s="5">
        <v>76.16</v>
      </c>
      <c r="N268" s="5">
        <v>52.48</v>
      </c>
      <c r="O268" s="5">
        <v>23.68</v>
      </c>
      <c r="P268" s="4">
        <f>--AND(OR(Dashboard!$A$10="All",C268=Dashboard!$A$10),OR(Dashboard!$A$14="All",F268=Dashboard!$A$14),OR(Dashboard!$A$18="All",G268=Dashboard!$A$18),OR(Dashboard!$A$22="All",I268=Dashboard!$A$22))</f>
        <v>1</v>
      </c>
    </row>
    <row r="269" spans="1:16" ht="15.75" customHeight="1">
      <c r="A269" s="4" t="s">
        <v>470</v>
      </c>
      <c r="B269" s="6">
        <v>45865</v>
      </c>
      <c r="C269" s="4">
        <v>2025</v>
      </c>
      <c r="D269" s="4">
        <v>7</v>
      </c>
      <c r="E269" s="4" t="s">
        <v>63</v>
      </c>
      <c r="F269" s="4" t="s">
        <v>5</v>
      </c>
      <c r="G269" s="4" t="s">
        <v>12</v>
      </c>
      <c r="H269" s="4" t="s">
        <v>127</v>
      </c>
      <c r="I269" s="4" t="s">
        <v>7</v>
      </c>
      <c r="J269" s="4" t="s">
        <v>186</v>
      </c>
      <c r="K269" s="4">
        <v>6</v>
      </c>
      <c r="L269" s="5">
        <v>243.64</v>
      </c>
      <c r="M269" s="5">
        <v>1461.84</v>
      </c>
      <c r="N269" s="5">
        <v>895.52</v>
      </c>
      <c r="O269" s="5">
        <v>566.32000000000005</v>
      </c>
      <c r="P269" s="4">
        <f>--AND(OR(Dashboard!$A$10="All",C269=Dashboard!$A$10),OR(Dashboard!$A$14="All",F269=Dashboard!$A$14),OR(Dashboard!$A$18="All",G269=Dashboard!$A$18),OR(Dashboard!$A$22="All",I269=Dashboard!$A$22))</f>
        <v>1</v>
      </c>
    </row>
    <row r="270" spans="1:16" ht="15.75" customHeight="1">
      <c r="A270" s="4" t="s">
        <v>471</v>
      </c>
      <c r="B270" s="6">
        <v>45592</v>
      </c>
      <c r="C270" s="4">
        <v>2024</v>
      </c>
      <c r="D270" s="4">
        <v>10</v>
      </c>
      <c r="E270" s="4" t="s">
        <v>120</v>
      </c>
      <c r="F270" s="4" t="s">
        <v>5</v>
      </c>
      <c r="G270" s="4" t="s">
        <v>9</v>
      </c>
      <c r="H270" s="4" t="s">
        <v>35</v>
      </c>
      <c r="I270" s="4" t="s">
        <v>10</v>
      </c>
      <c r="J270" s="4" t="s">
        <v>249</v>
      </c>
      <c r="K270" s="4">
        <v>1</v>
      </c>
      <c r="L270" s="5">
        <v>65.959999999999994</v>
      </c>
      <c r="M270" s="5">
        <v>65.959999999999994</v>
      </c>
      <c r="N270" s="5">
        <v>32.64</v>
      </c>
      <c r="O270" s="5">
        <v>33.32</v>
      </c>
      <c r="P270" s="4">
        <f>--AND(OR(Dashboard!$A$10="All",C270=Dashboard!$A$10),OR(Dashboard!$A$14="All",F270=Dashboard!$A$14),OR(Dashboard!$A$18="All",G270=Dashboard!$A$18),OR(Dashboard!$A$22="All",I270=Dashboard!$A$22))</f>
        <v>1</v>
      </c>
    </row>
    <row r="271" spans="1:16" ht="15.75" customHeight="1">
      <c r="A271" s="4" t="s">
        <v>472</v>
      </c>
      <c r="B271" s="6">
        <v>45725</v>
      </c>
      <c r="C271" s="4">
        <v>2025</v>
      </c>
      <c r="D271" s="4">
        <v>3</v>
      </c>
      <c r="E271" s="4" t="s">
        <v>100</v>
      </c>
      <c r="F271" s="4" t="s">
        <v>5</v>
      </c>
      <c r="G271" s="4" t="s">
        <v>9</v>
      </c>
      <c r="H271" s="4" t="s">
        <v>35</v>
      </c>
      <c r="I271" s="4" t="s">
        <v>10</v>
      </c>
      <c r="J271" s="4" t="s">
        <v>128</v>
      </c>
      <c r="K271" s="4">
        <v>1</v>
      </c>
      <c r="L271" s="5">
        <v>41.69</v>
      </c>
      <c r="M271" s="5">
        <v>41.69</v>
      </c>
      <c r="N271" s="5">
        <v>21.8</v>
      </c>
      <c r="O271" s="5">
        <v>19.89</v>
      </c>
      <c r="P271" s="4">
        <f>--AND(OR(Dashboard!$A$10="All",C271=Dashboard!$A$10),OR(Dashboard!$A$14="All",F271=Dashboard!$A$14),OR(Dashboard!$A$18="All",G271=Dashboard!$A$18),OR(Dashboard!$A$22="All",I271=Dashboard!$A$22))</f>
        <v>1</v>
      </c>
    </row>
    <row r="272" spans="1:16" ht="15.75" customHeight="1">
      <c r="A272" s="4" t="s">
        <v>473</v>
      </c>
      <c r="B272" s="6">
        <v>45420</v>
      </c>
      <c r="C272" s="4">
        <v>2024</v>
      </c>
      <c r="D272" s="4">
        <v>5</v>
      </c>
      <c r="E272" s="4" t="s">
        <v>108</v>
      </c>
      <c r="F272" s="4" t="s">
        <v>5</v>
      </c>
      <c r="G272" s="4" t="s">
        <v>6</v>
      </c>
      <c r="H272" s="4" t="s">
        <v>54</v>
      </c>
      <c r="I272" s="4" t="s">
        <v>7</v>
      </c>
      <c r="J272" s="4" t="s">
        <v>115</v>
      </c>
      <c r="K272" s="4">
        <v>2</v>
      </c>
      <c r="L272" s="5">
        <v>149.93</v>
      </c>
      <c r="M272" s="5">
        <v>299.86</v>
      </c>
      <c r="N272" s="5">
        <v>205.54</v>
      </c>
      <c r="O272" s="5">
        <v>94.32</v>
      </c>
      <c r="P272" s="4">
        <f>--AND(OR(Dashboard!$A$10="All",C272=Dashboard!$A$10),OR(Dashboard!$A$14="All",F272=Dashboard!$A$14),OR(Dashboard!$A$18="All",G272=Dashboard!$A$18),OR(Dashboard!$A$22="All",I272=Dashboard!$A$22))</f>
        <v>1</v>
      </c>
    </row>
    <row r="273" spans="1:16" ht="15.75" customHeight="1">
      <c r="A273" s="4" t="s">
        <v>474</v>
      </c>
      <c r="B273" s="6">
        <v>45713</v>
      </c>
      <c r="C273" s="4">
        <v>2025</v>
      </c>
      <c r="D273" s="4">
        <v>2</v>
      </c>
      <c r="E273" s="4" t="s">
        <v>70</v>
      </c>
      <c r="F273" s="4" t="s">
        <v>11</v>
      </c>
      <c r="G273" s="4" t="s">
        <v>9</v>
      </c>
      <c r="H273" s="4" t="s">
        <v>64</v>
      </c>
      <c r="I273" s="4" t="s">
        <v>7</v>
      </c>
      <c r="J273" s="4" t="s">
        <v>191</v>
      </c>
      <c r="K273" s="4">
        <v>4</v>
      </c>
      <c r="L273" s="5">
        <v>58.7</v>
      </c>
      <c r="M273" s="5">
        <v>234.8</v>
      </c>
      <c r="N273" s="5">
        <v>120.8</v>
      </c>
      <c r="O273" s="5">
        <v>114</v>
      </c>
      <c r="P273" s="4">
        <f>--AND(OR(Dashboard!$A$10="All",C273=Dashboard!$A$10),OR(Dashboard!$A$14="All",F273=Dashboard!$A$14),OR(Dashboard!$A$18="All",G273=Dashboard!$A$18),OR(Dashboard!$A$22="All",I273=Dashboard!$A$22))</f>
        <v>1</v>
      </c>
    </row>
    <row r="274" spans="1:16" ht="15.75" customHeight="1">
      <c r="A274" s="4" t="s">
        <v>475</v>
      </c>
      <c r="B274" s="6">
        <v>45526</v>
      </c>
      <c r="C274" s="4">
        <v>2024</v>
      </c>
      <c r="D274" s="4">
        <v>8</v>
      </c>
      <c r="E274" s="4" t="s">
        <v>67</v>
      </c>
      <c r="F274" s="4" t="s">
        <v>8</v>
      </c>
      <c r="G274" s="4" t="s">
        <v>12</v>
      </c>
      <c r="H274" s="4" t="s">
        <v>124</v>
      </c>
      <c r="I274" s="4" t="s">
        <v>10</v>
      </c>
      <c r="J274" s="4" t="s">
        <v>344</v>
      </c>
      <c r="K274" s="4">
        <v>8</v>
      </c>
      <c r="L274" s="5">
        <v>223.8</v>
      </c>
      <c r="M274" s="5">
        <v>1790.4</v>
      </c>
      <c r="N274" s="5">
        <v>1116.94</v>
      </c>
      <c r="O274" s="5">
        <v>673.46</v>
      </c>
      <c r="P274" s="4">
        <f>--AND(OR(Dashboard!$A$10="All",C274=Dashboard!$A$10),OR(Dashboard!$A$14="All",F274=Dashboard!$A$14),OR(Dashboard!$A$18="All",G274=Dashboard!$A$18),OR(Dashboard!$A$22="All",I274=Dashboard!$A$22))</f>
        <v>1</v>
      </c>
    </row>
    <row r="275" spans="1:16" ht="15.75" customHeight="1">
      <c r="A275" s="4" t="s">
        <v>476</v>
      </c>
      <c r="B275" s="6">
        <v>45939</v>
      </c>
      <c r="C275" s="4">
        <v>2025</v>
      </c>
      <c r="D275" s="4">
        <v>10</v>
      </c>
      <c r="E275" s="4" t="s">
        <v>120</v>
      </c>
      <c r="F275" s="4" t="s">
        <v>11</v>
      </c>
      <c r="G275" s="4" t="s">
        <v>12</v>
      </c>
      <c r="H275" s="4" t="s">
        <v>127</v>
      </c>
      <c r="I275" s="4" t="s">
        <v>10</v>
      </c>
      <c r="J275" s="4" t="s">
        <v>218</v>
      </c>
      <c r="K275" s="4">
        <v>1</v>
      </c>
      <c r="L275" s="5">
        <v>260.08999999999997</v>
      </c>
      <c r="M275" s="5">
        <v>260.08999999999997</v>
      </c>
      <c r="N275" s="5">
        <v>148.58000000000001</v>
      </c>
      <c r="O275" s="5">
        <v>111.51</v>
      </c>
      <c r="P275" s="4">
        <f>--AND(OR(Dashboard!$A$10="All",C275=Dashboard!$A$10),OR(Dashboard!$A$14="All",F275=Dashboard!$A$14),OR(Dashboard!$A$18="All",G275=Dashboard!$A$18),OR(Dashboard!$A$22="All",I275=Dashboard!$A$22))</f>
        <v>1</v>
      </c>
    </row>
    <row r="276" spans="1:16" ht="15.75" customHeight="1">
      <c r="A276" s="4" t="s">
        <v>477</v>
      </c>
      <c r="B276" s="6">
        <v>45513</v>
      </c>
      <c r="C276" s="4">
        <v>2024</v>
      </c>
      <c r="D276" s="4">
        <v>8</v>
      </c>
      <c r="E276" s="4" t="s">
        <v>67</v>
      </c>
      <c r="F276" s="4" t="s">
        <v>11</v>
      </c>
      <c r="G276" s="4" t="s">
        <v>12</v>
      </c>
      <c r="H276" s="4" t="s">
        <v>58</v>
      </c>
      <c r="I276" s="4" t="s">
        <v>7</v>
      </c>
      <c r="J276" s="4" t="s">
        <v>420</v>
      </c>
      <c r="K276" s="4">
        <v>8</v>
      </c>
      <c r="L276" s="5">
        <v>193.8</v>
      </c>
      <c r="M276" s="5">
        <v>1550.4</v>
      </c>
      <c r="N276" s="5">
        <v>943.79</v>
      </c>
      <c r="O276" s="5">
        <v>606.61</v>
      </c>
      <c r="P276" s="4">
        <f>--AND(OR(Dashboard!$A$10="All",C276=Dashboard!$A$10),OR(Dashboard!$A$14="All",F276=Dashboard!$A$14),OR(Dashboard!$A$18="All",G276=Dashboard!$A$18),OR(Dashboard!$A$22="All",I276=Dashboard!$A$22))</f>
        <v>1</v>
      </c>
    </row>
    <row r="277" spans="1:16" ht="15.75" customHeight="1">
      <c r="A277" s="4" t="s">
        <v>478</v>
      </c>
      <c r="B277" s="6">
        <v>45478</v>
      </c>
      <c r="C277" s="4">
        <v>2024</v>
      </c>
      <c r="D277" s="4">
        <v>7</v>
      </c>
      <c r="E277" s="4" t="s">
        <v>63</v>
      </c>
      <c r="F277" s="4" t="s">
        <v>5</v>
      </c>
      <c r="G277" s="4" t="s">
        <v>12</v>
      </c>
      <c r="H277" s="4" t="s">
        <v>86</v>
      </c>
      <c r="I277" s="4" t="s">
        <v>10</v>
      </c>
      <c r="J277" s="4" t="s">
        <v>128</v>
      </c>
      <c r="K277" s="4">
        <v>3</v>
      </c>
      <c r="L277" s="5">
        <v>138.38</v>
      </c>
      <c r="M277" s="5">
        <v>415.14</v>
      </c>
      <c r="N277" s="5">
        <v>259.93</v>
      </c>
      <c r="O277" s="5">
        <v>155.21</v>
      </c>
      <c r="P277" s="4">
        <f>--AND(OR(Dashboard!$A$10="All",C277=Dashboard!$A$10),OR(Dashboard!$A$14="All",F277=Dashboard!$A$14),OR(Dashboard!$A$18="All",G277=Dashboard!$A$18),OR(Dashboard!$A$22="All",I277=Dashboard!$A$22))</f>
        <v>1</v>
      </c>
    </row>
    <row r="278" spans="1:16" ht="15.75" customHeight="1">
      <c r="A278" s="4" t="s">
        <v>479</v>
      </c>
      <c r="B278" s="6">
        <v>45440</v>
      </c>
      <c r="C278" s="4">
        <v>2024</v>
      </c>
      <c r="D278" s="4">
        <v>5</v>
      </c>
      <c r="E278" s="4" t="s">
        <v>108</v>
      </c>
      <c r="F278" s="4" t="s">
        <v>5</v>
      </c>
      <c r="G278" s="4" t="s">
        <v>12</v>
      </c>
      <c r="H278" s="4" t="s">
        <v>124</v>
      </c>
      <c r="I278" s="4" t="s">
        <v>7</v>
      </c>
      <c r="J278" s="4" t="s">
        <v>55</v>
      </c>
      <c r="K278" s="4">
        <v>4</v>
      </c>
      <c r="L278" s="5">
        <v>204.53</v>
      </c>
      <c r="M278" s="5">
        <v>818.12</v>
      </c>
      <c r="N278" s="5">
        <v>488.1</v>
      </c>
      <c r="O278" s="5">
        <v>330.02</v>
      </c>
      <c r="P278" s="4">
        <f>--AND(OR(Dashboard!$A$10="All",C278=Dashboard!$A$10),OR(Dashboard!$A$14="All",F278=Dashboard!$A$14),OR(Dashboard!$A$18="All",G278=Dashboard!$A$18),OR(Dashboard!$A$22="All",I278=Dashboard!$A$22))</f>
        <v>1</v>
      </c>
    </row>
    <row r="279" spans="1:16" ht="15.75" customHeight="1">
      <c r="A279" s="4" t="s">
        <v>480</v>
      </c>
      <c r="B279" s="6">
        <v>45835</v>
      </c>
      <c r="C279" s="4">
        <v>2025</v>
      </c>
      <c r="D279" s="4">
        <v>6</v>
      </c>
      <c r="E279" s="4" t="s">
        <v>34</v>
      </c>
      <c r="F279" s="4" t="s">
        <v>11</v>
      </c>
      <c r="G279" s="4" t="s">
        <v>12</v>
      </c>
      <c r="H279" s="4" t="s">
        <v>127</v>
      </c>
      <c r="I279" s="4" t="s">
        <v>7</v>
      </c>
      <c r="J279" s="4" t="s">
        <v>317</v>
      </c>
      <c r="K279" s="4">
        <v>4</v>
      </c>
      <c r="L279" s="5">
        <v>278.24</v>
      </c>
      <c r="M279" s="5">
        <v>1112.96</v>
      </c>
      <c r="N279" s="5">
        <v>664.07</v>
      </c>
      <c r="O279" s="5">
        <v>448.89</v>
      </c>
      <c r="P279" s="4">
        <f>--AND(OR(Dashboard!$A$10="All",C279=Dashboard!$A$10),OR(Dashboard!$A$14="All",F279=Dashboard!$A$14),OR(Dashboard!$A$18="All",G279=Dashboard!$A$18),OR(Dashboard!$A$22="All",I279=Dashboard!$A$22))</f>
        <v>1</v>
      </c>
    </row>
    <row r="280" spans="1:16" ht="15.75" customHeight="1">
      <c r="A280" s="4" t="s">
        <v>481</v>
      </c>
      <c r="B280" s="6">
        <v>45441</v>
      </c>
      <c r="C280" s="4">
        <v>2024</v>
      </c>
      <c r="D280" s="4">
        <v>5</v>
      </c>
      <c r="E280" s="4" t="s">
        <v>108</v>
      </c>
      <c r="F280" s="4" t="s">
        <v>8</v>
      </c>
      <c r="G280" s="4" t="s">
        <v>9</v>
      </c>
      <c r="H280" s="4" t="s">
        <v>64</v>
      </c>
      <c r="I280" s="4" t="s">
        <v>7</v>
      </c>
      <c r="J280" s="4" t="s">
        <v>146</v>
      </c>
      <c r="K280" s="4">
        <v>1</v>
      </c>
      <c r="L280" s="5">
        <v>61.6</v>
      </c>
      <c r="M280" s="5">
        <v>61.6</v>
      </c>
      <c r="N280" s="5">
        <v>31.13</v>
      </c>
      <c r="O280" s="5">
        <v>30.47</v>
      </c>
      <c r="P280" s="4">
        <f>--AND(OR(Dashboard!$A$10="All",C280=Dashboard!$A$10),OR(Dashboard!$A$14="All",F280=Dashboard!$A$14),OR(Dashboard!$A$18="All",G280=Dashboard!$A$18),OR(Dashboard!$A$22="All",I280=Dashboard!$A$22))</f>
        <v>1</v>
      </c>
    </row>
    <row r="281" spans="1:16" ht="15.75" customHeight="1">
      <c r="A281" s="4" t="s">
        <v>482</v>
      </c>
      <c r="B281" s="6">
        <v>45894</v>
      </c>
      <c r="C281" s="4">
        <v>2025</v>
      </c>
      <c r="D281" s="4">
        <v>8</v>
      </c>
      <c r="E281" s="4" t="s">
        <v>67</v>
      </c>
      <c r="F281" s="4" t="s">
        <v>5</v>
      </c>
      <c r="G281" s="4" t="s">
        <v>9</v>
      </c>
      <c r="H281" s="4" t="s">
        <v>64</v>
      </c>
      <c r="I281" s="4" t="s">
        <v>7</v>
      </c>
      <c r="J281" s="4" t="s">
        <v>153</v>
      </c>
      <c r="K281" s="4">
        <v>2</v>
      </c>
      <c r="L281" s="5">
        <v>26.07</v>
      </c>
      <c r="M281" s="5">
        <v>52.14</v>
      </c>
      <c r="N281" s="5">
        <v>24.97</v>
      </c>
      <c r="O281" s="5">
        <v>27.17</v>
      </c>
      <c r="P281" s="4">
        <f>--AND(OR(Dashboard!$A$10="All",C281=Dashboard!$A$10),OR(Dashboard!$A$14="All",F281=Dashboard!$A$14),OR(Dashboard!$A$18="All",G281=Dashboard!$A$18),OR(Dashboard!$A$22="All",I281=Dashboard!$A$22))</f>
        <v>1</v>
      </c>
    </row>
    <row r="282" spans="1:16" ht="15.75" customHeight="1">
      <c r="A282" s="4" t="s">
        <v>483</v>
      </c>
      <c r="B282" s="6">
        <v>45760</v>
      </c>
      <c r="C282" s="4">
        <v>2025</v>
      </c>
      <c r="D282" s="4">
        <v>4</v>
      </c>
      <c r="E282" s="4" t="s">
        <v>106</v>
      </c>
      <c r="F282" s="4" t="s">
        <v>5</v>
      </c>
      <c r="G282" s="4" t="s">
        <v>6</v>
      </c>
      <c r="H282" s="4" t="s">
        <v>98</v>
      </c>
      <c r="I282" s="4" t="s">
        <v>7</v>
      </c>
      <c r="J282" s="4" t="s">
        <v>381</v>
      </c>
      <c r="K282" s="4">
        <v>11</v>
      </c>
      <c r="L282" s="5">
        <v>107.04</v>
      </c>
      <c r="M282" s="5">
        <v>1177.44</v>
      </c>
      <c r="N282" s="5">
        <v>799.59</v>
      </c>
      <c r="O282" s="5">
        <v>377.85</v>
      </c>
      <c r="P282" s="4">
        <f>--AND(OR(Dashboard!$A$10="All",C282=Dashboard!$A$10),OR(Dashboard!$A$14="All",F282=Dashboard!$A$14),OR(Dashboard!$A$18="All",G282=Dashboard!$A$18),OR(Dashboard!$A$22="All",I282=Dashboard!$A$22))</f>
        <v>1</v>
      </c>
    </row>
    <row r="283" spans="1:16" ht="15.75" customHeight="1">
      <c r="A283" s="4" t="s">
        <v>484</v>
      </c>
      <c r="B283" s="6">
        <v>45347</v>
      </c>
      <c r="C283" s="4">
        <v>2024</v>
      </c>
      <c r="D283" s="4">
        <v>2</v>
      </c>
      <c r="E283" s="4" t="s">
        <v>70</v>
      </c>
      <c r="F283" s="4" t="s">
        <v>8</v>
      </c>
      <c r="G283" s="4" t="s">
        <v>6</v>
      </c>
      <c r="H283" s="4" t="s">
        <v>114</v>
      </c>
      <c r="I283" s="4" t="s">
        <v>7</v>
      </c>
      <c r="J283" s="4" t="s">
        <v>485</v>
      </c>
      <c r="K283" s="4">
        <v>3</v>
      </c>
      <c r="L283" s="5">
        <v>212.4</v>
      </c>
      <c r="M283" s="5">
        <v>637.20000000000005</v>
      </c>
      <c r="N283" s="5">
        <v>420.12</v>
      </c>
      <c r="O283" s="5">
        <v>217.08</v>
      </c>
      <c r="P283" s="4">
        <f>--AND(OR(Dashboard!$A$10="All",C283=Dashboard!$A$10),OR(Dashboard!$A$14="All",F283=Dashboard!$A$14),OR(Dashboard!$A$18="All",G283=Dashboard!$A$18),OR(Dashboard!$A$22="All",I283=Dashboard!$A$22))</f>
        <v>1</v>
      </c>
    </row>
    <row r="284" spans="1:16" ht="15.75" customHeight="1">
      <c r="A284" s="4" t="s">
        <v>486</v>
      </c>
      <c r="B284" s="6">
        <v>45940</v>
      </c>
      <c r="C284" s="4">
        <v>2025</v>
      </c>
      <c r="D284" s="4">
        <v>10</v>
      </c>
      <c r="E284" s="4" t="s">
        <v>120</v>
      </c>
      <c r="F284" s="4" t="s">
        <v>11</v>
      </c>
      <c r="G284" s="4" t="s">
        <v>6</v>
      </c>
      <c r="H284" s="4" t="s">
        <v>54</v>
      </c>
      <c r="I284" s="4" t="s">
        <v>7</v>
      </c>
      <c r="J284" s="4" t="s">
        <v>455</v>
      </c>
      <c r="K284" s="4">
        <v>2</v>
      </c>
      <c r="L284" s="5">
        <v>146.30000000000001</v>
      </c>
      <c r="M284" s="5">
        <v>292.60000000000002</v>
      </c>
      <c r="N284" s="5">
        <v>184.06</v>
      </c>
      <c r="O284" s="5">
        <v>108.54</v>
      </c>
      <c r="P284" s="4">
        <f>--AND(OR(Dashboard!$A$10="All",C284=Dashboard!$A$10),OR(Dashboard!$A$14="All",F284=Dashboard!$A$14),OR(Dashboard!$A$18="All",G284=Dashboard!$A$18),OR(Dashboard!$A$22="All",I284=Dashboard!$A$22))</f>
        <v>1</v>
      </c>
    </row>
    <row r="285" spans="1:16" ht="15.75" customHeight="1">
      <c r="A285" s="4" t="s">
        <v>487</v>
      </c>
      <c r="B285" s="6">
        <v>45859</v>
      </c>
      <c r="C285" s="4">
        <v>2025</v>
      </c>
      <c r="D285" s="4">
        <v>7</v>
      </c>
      <c r="E285" s="4" t="s">
        <v>63</v>
      </c>
      <c r="F285" s="4" t="s">
        <v>11</v>
      </c>
      <c r="G285" s="4" t="s">
        <v>6</v>
      </c>
      <c r="H285" s="4" t="s">
        <v>80</v>
      </c>
      <c r="I285" s="4" t="s">
        <v>7</v>
      </c>
      <c r="J285" s="4" t="s">
        <v>216</v>
      </c>
      <c r="K285" s="4">
        <v>4</v>
      </c>
      <c r="L285" s="5">
        <v>202.17</v>
      </c>
      <c r="M285" s="5">
        <v>808.68</v>
      </c>
      <c r="N285" s="5">
        <v>507.16</v>
      </c>
      <c r="O285" s="5">
        <v>301.52</v>
      </c>
      <c r="P285" s="4">
        <f>--AND(OR(Dashboard!$A$10="All",C285=Dashboard!$A$10),OR(Dashboard!$A$14="All",F285=Dashboard!$A$14),OR(Dashboard!$A$18="All",G285=Dashboard!$A$18),OR(Dashboard!$A$22="All",I285=Dashboard!$A$22))</f>
        <v>1</v>
      </c>
    </row>
    <row r="286" spans="1:16" ht="15.75" customHeight="1">
      <c r="A286" s="4" t="s">
        <v>488</v>
      </c>
      <c r="B286" s="6">
        <v>45427</v>
      </c>
      <c r="C286" s="4">
        <v>2024</v>
      </c>
      <c r="D286" s="4">
        <v>5</v>
      </c>
      <c r="E286" s="4" t="s">
        <v>108</v>
      </c>
      <c r="F286" s="4" t="s">
        <v>8</v>
      </c>
      <c r="G286" s="4" t="s">
        <v>9</v>
      </c>
      <c r="H286" s="4" t="s">
        <v>142</v>
      </c>
      <c r="I286" s="4" t="s">
        <v>10</v>
      </c>
      <c r="J286" s="4" t="s">
        <v>373</v>
      </c>
      <c r="K286" s="4">
        <v>3</v>
      </c>
      <c r="L286" s="5">
        <v>45.94</v>
      </c>
      <c r="M286" s="5">
        <v>137.82</v>
      </c>
      <c r="N286" s="5">
        <v>67.5</v>
      </c>
      <c r="O286" s="5">
        <v>70.319999999999993</v>
      </c>
      <c r="P286" s="4">
        <f>--AND(OR(Dashboard!$A$10="All",C286=Dashboard!$A$10),OR(Dashboard!$A$14="All",F286=Dashboard!$A$14),OR(Dashboard!$A$18="All",G286=Dashboard!$A$18),OR(Dashboard!$A$22="All",I286=Dashboard!$A$22))</f>
        <v>1</v>
      </c>
    </row>
    <row r="287" spans="1:16" ht="15.75" customHeight="1">
      <c r="A287" s="4" t="s">
        <v>489</v>
      </c>
      <c r="B287" s="6">
        <v>45514</v>
      </c>
      <c r="C287" s="4">
        <v>2024</v>
      </c>
      <c r="D287" s="4">
        <v>8</v>
      </c>
      <c r="E287" s="4" t="s">
        <v>67</v>
      </c>
      <c r="F287" s="4" t="s">
        <v>8</v>
      </c>
      <c r="G287" s="4" t="s">
        <v>12</v>
      </c>
      <c r="H287" s="4" t="s">
        <v>86</v>
      </c>
      <c r="I287" s="4" t="s">
        <v>7</v>
      </c>
      <c r="J287" s="4" t="s">
        <v>87</v>
      </c>
      <c r="K287" s="4">
        <v>1</v>
      </c>
      <c r="L287" s="5">
        <v>127.26</v>
      </c>
      <c r="M287" s="5">
        <v>127.26</v>
      </c>
      <c r="N287" s="5">
        <v>73.709999999999994</v>
      </c>
      <c r="O287" s="5">
        <v>53.55</v>
      </c>
      <c r="P287" s="4">
        <f>--AND(OR(Dashboard!$A$10="All",C287=Dashboard!$A$10),OR(Dashboard!$A$14="All",F287=Dashboard!$A$14),OR(Dashboard!$A$18="All",G287=Dashboard!$A$18),OR(Dashboard!$A$22="All",I287=Dashboard!$A$22))</f>
        <v>1</v>
      </c>
    </row>
    <row r="288" spans="1:16" ht="15.75" customHeight="1">
      <c r="A288" s="4" t="s">
        <v>490</v>
      </c>
      <c r="B288" s="6">
        <v>45863</v>
      </c>
      <c r="C288" s="4">
        <v>2025</v>
      </c>
      <c r="D288" s="4">
        <v>7</v>
      </c>
      <c r="E288" s="4" t="s">
        <v>63</v>
      </c>
      <c r="F288" s="4" t="s">
        <v>8</v>
      </c>
      <c r="G288" s="4" t="s">
        <v>6</v>
      </c>
      <c r="H288" s="4" t="s">
        <v>54</v>
      </c>
      <c r="I288" s="4" t="s">
        <v>10</v>
      </c>
      <c r="J288" s="4" t="s">
        <v>491</v>
      </c>
      <c r="K288" s="4">
        <v>2</v>
      </c>
      <c r="L288" s="5">
        <v>114.14</v>
      </c>
      <c r="M288" s="5">
        <v>228.28</v>
      </c>
      <c r="N288" s="5">
        <v>144.1</v>
      </c>
      <c r="O288" s="5">
        <v>84.18</v>
      </c>
      <c r="P288" s="4">
        <f>--AND(OR(Dashboard!$A$10="All",C288=Dashboard!$A$10),OR(Dashboard!$A$14="All",F288=Dashboard!$A$14),OR(Dashboard!$A$18="All",G288=Dashboard!$A$18),OR(Dashboard!$A$22="All",I288=Dashboard!$A$22))</f>
        <v>1</v>
      </c>
    </row>
    <row r="289" spans="1:16" ht="15.75" customHeight="1">
      <c r="A289" s="4" t="s">
        <v>492</v>
      </c>
      <c r="B289" s="6">
        <v>45893</v>
      </c>
      <c r="C289" s="4">
        <v>2025</v>
      </c>
      <c r="D289" s="4">
        <v>8</v>
      </c>
      <c r="E289" s="4" t="s">
        <v>67</v>
      </c>
      <c r="F289" s="4" t="s">
        <v>5</v>
      </c>
      <c r="G289" s="4" t="s">
        <v>6</v>
      </c>
      <c r="H289" s="4" t="s">
        <v>114</v>
      </c>
      <c r="I289" s="4" t="s">
        <v>10</v>
      </c>
      <c r="J289" s="4" t="s">
        <v>207</v>
      </c>
      <c r="K289" s="4">
        <v>5</v>
      </c>
      <c r="L289" s="5">
        <v>219.12</v>
      </c>
      <c r="M289" s="5">
        <v>1095.5999999999999</v>
      </c>
      <c r="N289" s="5">
        <v>731.06</v>
      </c>
      <c r="O289" s="5">
        <v>364.54</v>
      </c>
      <c r="P289" s="4">
        <f>--AND(OR(Dashboard!$A$10="All",C289=Dashboard!$A$10),OR(Dashboard!$A$14="All",F289=Dashboard!$A$14),OR(Dashboard!$A$18="All",G289=Dashboard!$A$18),OR(Dashboard!$A$22="All",I289=Dashboard!$A$22))</f>
        <v>1</v>
      </c>
    </row>
    <row r="290" spans="1:16" ht="15.75" customHeight="1">
      <c r="A290" s="4" t="s">
        <v>493</v>
      </c>
      <c r="B290" s="6">
        <v>45659</v>
      </c>
      <c r="C290" s="4">
        <v>2025</v>
      </c>
      <c r="D290" s="4">
        <v>1</v>
      </c>
      <c r="E290" s="4" t="s">
        <v>30</v>
      </c>
      <c r="F290" s="4" t="s">
        <v>5</v>
      </c>
      <c r="G290" s="4" t="s">
        <v>12</v>
      </c>
      <c r="H290" s="4" t="s">
        <v>92</v>
      </c>
      <c r="I290" s="4" t="s">
        <v>13</v>
      </c>
      <c r="J290" s="4" t="s">
        <v>494</v>
      </c>
      <c r="K290" s="4">
        <v>2</v>
      </c>
      <c r="L290" s="5">
        <v>313.69</v>
      </c>
      <c r="M290" s="5">
        <v>627.38</v>
      </c>
      <c r="N290" s="5">
        <v>366.42</v>
      </c>
      <c r="O290" s="5">
        <v>260.95999999999998</v>
      </c>
      <c r="P290" s="4">
        <f>--AND(OR(Dashboard!$A$10="All",C290=Dashboard!$A$10),OR(Dashboard!$A$14="All",F290=Dashboard!$A$14),OR(Dashboard!$A$18="All",G290=Dashboard!$A$18),OR(Dashboard!$A$22="All",I290=Dashboard!$A$22))</f>
        <v>1</v>
      </c>
    </row>
    <row r="291" spans="1:16" ht="15.75" customHeight="1">
      <c r="A291" s="4" t="s">
        <v>495</v>
      </c>
      <c r="B291" s="6">
        <v>45977</v>
      </c>
      <c r="C291" s="4">
        <v>2025</v>
      </c>
      <c r="D291" s="4">
        <v>11</v>
      </c>
      <c r="E291" s="4" t="s">
        <v>89</v>
      </c>
      <c r="F291" s="4" t="s">
        <v>8</v>
      </c>
      <c r="G291" s="4" t="s">
        <v>12</v>
      </c>
      <c r="H291" s="4" t="s">
        <v>92</v>
      </c>
      <c r="I291" s="4" t="s">
        <v>7</v>
      </c>
      <c r="J291" s="4" t="s">
        <v>205</v>
      </c>
      <c r="K291" s="4">
        <v>6</v>
      </c>
      <c r="L291" s="5">
        <v>288.07</v>
      </c>
      <c r="M291" s="5">
        <v>1728.42</v>
      </c>
      <c r="N291" s="5">
        <v>1031.05</v>
      </c>
      <c r="O291" s="5">
        <v>697.37</v>
      </c>
      <c r="P291" s="4">
        <f>--AND(OR(Dashboard!$A$10="All",C291=Dashboard!$A$10),OR(Dashboard!$A$14="All",F291=Dashboard!$A$14),OR(Dashboard!$A$18="All",G291=Dashboard!$A$18),OR(Dashboard!$A$22="All",I291=Dashboard!$A$22))</f>
        <v>1</v>
      </c>
    </row>
    <row r="292" spans="1:16" ht="15.75" customHeight="1">
      <c r="A292" s="4" t="s">
        <v>496</v>
      </c>
      <c r="B292" s="6">
        <v>45949</v>
      </c>
      <c r="C292" s="4">
        <v>2025</v>
      </c>
      <c r="D292" s="4">
        <v>10</v>
      </c>
      <c r="E292" s="4" t="s">
        <v>120</v>
      </c>
      <c r="F292" s="4" t="s">
        <v>5</v>
      </c>
      <c r="G292" s="4" t="s">
        <v>12</v>
      </c>
      <c r="H292" s="4" t="s">
        <v>86</v>
      </c>
      <c r="I292" s="4" t="s">
        <v>13</v>
      </c>
      <c r="J292" s="4" t="s">
        <v>125</v>
      </c>
      <c r="K292" s="4">
        <v>7</v>
      </c>
      <c r="L292" s="5">
        <v>277.38</v>
      </c>
      <c r="M292" s="5">
        <v>1941.66</v>
      </c>
      <c r="N292" s="5">
        <v>1150.3</v>
      </c>
      <c r="O292" s="5">
        <v>791.36</v>
      </c>
      <c r="P292" s="4">
        <f>--AND(OR(Dashboard!$A$10="All",C292=Dashboard!$A$10),OR(Dashboard!$A$14="All",F292=Dashboard!$A$14),OR(Dashboard!$A$18="All",G292=Dashboard!$A$18),OR(Dashboard!$A$22="All",I292=Dashboard!$A$22))</f>
        <v>1</v>
      </c>
    </row>
    <row r="293" spans="1:16" ht="15.75" customHeight="1">
      <c r="A293" s="4" t="s">
        <v>497</v>
      </c>
      <c r="B293" s="6">
        <v>45738</v>
      </c>
      <c r="C293" s="4">
        <v>2025</v>
      </c>
      <c r="D293" s="4">
        <v>3</v>
      </c>
      <c r="E293" s="4" t="s">
        <v>100</v>
      </c>
      <c r="F293" s="4" t="s">
        <v>14</v>
      </c>
      <c r="G293" s="4" t="s">
        <v>9</v>
      </c>
      <c r="H293" s="4" t="s">
        <v>71</v>
      </c>
      <c r="I293" s="4" t="s">
        <v>7</v>
      </c>
      <c r="J293" s="4" t="s">
        <v>125</v>
      </c>
      <c r="K293" s="4">
        <v>4</v>
      </c>
      <c r="L293" s="5">
        <v>54.39</v>
      </c>
      <c r="M293" s="5">
        <v>217.56</v>
      </c>
      <c r="N293" s="5">
        <v>109.75</v>
      </c>
      <c r="O293" s="5">
        <v>107.81</v>
      </c>
      <c r="P293" s="4">
        <f>--AND(OR(Dashboard!$A$10="All",C293=Dashboard!$A$10),OR(Dashboard!$A$14="All",F293=Dashboard!$A$14),OR(Dashboard!$A$18="All",G293=Dashboard!$A$18),OR(Dashboard!$A$22="All",I293=Dashboard!$A$22))</f>
        <v>1</v>
      </c>
    </row>
    <row r="294" spans="1:16" ht="15.75" customHeight="1">
      <c r="A294" s="4" t="s">
        <v>498</v>
      </c>
      <c r="B294" s="6">
        <v>45534</v>
      </c>
      <c r="C294" s="4">
        <v>2024</v>
      </c>
      <c r="D294" s="4">
        <v>8</v>
      </c>
      <c r="E294" s="4" t="s">
        <v>67</v>
      </c>
      <c r="F294" s="4" t="s">
        <v>5</v>
      </c>
      <c r="G294" s="4" t="s">
        <v>6</v>
      </c>
      <c r="H294" s="4" t="s">
        <v>54</v>
      </c>
      <c r="I294" s="4" t="s">
        <v>7</v>
      </c>
      <c r="J294" s="4" t="s">
        <v>249</v>
      </c>
      <c r="K294" s="4">
        <v>3</v>
      </c>
      <c r="L294" s="5">
        <v>153.52000000000001</v>
      </c>
      <c r="M294" s="5">
        <v>460.56</v>
      </c>
      <c r="N294" s="5">
        <v>296.98</v>
      </c>
      <c r="O294" s="5">
        <v>163.58000000000001</v>
      </c>
      <c r="P294" s="4">
        <f>--AND(OR(Dashboard!$A$10="All",C294=Dashboard!$A$10),OR(Dashboard!$A$14="All",F294=Dashboard!$A$14),OR(Dashboard!$A$18="All",G294=Dashboard!$A$18),OR(Dashboard!$A$22="All",I294=Dashboard!$A$22))</f>
        <v>1</v>
      </c>
    </row>
    <row r="295" spans="1:16" ht="15.75" customHeight="1">
      <c r="A295" s="4" t="s">
        <v>499</v>
      </c>
      <c r="B295" s="6">
        <v>45694</v>
      </c>
      <c r="C295" s="4">
        <v>2025</v>
      </c>
      <c r="D295" s="4">
        <v>2</v>
      </c>
      <c r="E295" s="4" t="s">
        <v>70</v>
      </c>
      <c r="F295" s="4" t="s">
        <v>14</v>
      </c>
      <c r="G295" s="4" t="s">
        <v>12</v>
      </c>
      <c r="H295" s="4" t="s">
        <v>86</v>
      </c>
      <c r="I295" s="4" t="s">
        <v>7</v>
      </c>
      <c r="J295" s="4" t="s">
        <v>299</v>
      </c>
      <c r="K295" s="4">
        <v>4</v>
      </c>
      <c r="L295" s="5">
        <v>155.51</v>
      </c>
      <c r="M295" s="5">
        <v>622.04</v>
      </c>
      <c r="N295" s="5">
        <v>367.87</v>
      </c>
      <c r="O295" s="5">
        <v>254.17</v>
      </c>
      <c r="P295" s="4">
        <f>--AND(OR(Dashboard!$A$10="All",C295=Dashboard!$A$10),OR(Dashboard!$A$14="All",F295=Dashboard!$A$14),OR(Dashboard!$A$18="All",G295=Dashboard!$A$18),OR(Dashboard!$A$22="All",I295=Dashboard!$A$22))</f>
        <v>1</v>
      </c>
    </row>
    <row r="296" spans="1:16" ht="15.75" customHeight="1">
      <c r="A296" s="4" t="s">
        <v>500</v>
      </c>
      <c r="B296" s="6">
        <v>45408</v>
      </c>
      <c r="C296" s="4">
        <v>2024</v>
      </c>
      <c r="D296" s="4">
        <v>4</v>
      </c>
      <c r="E296" s="4" t="s">
        <v>106</v>
      </c>
      <c r="F296" s="4" t="s">
        <v>5</v>
      </c>
      <c r="G296" s="4" t="s">
        <v>9</v>
      </c>
      <c r="H296" s="4" t="s">
        <v>64</v>
      </c>
      <c r="I296" s="4" t="s">
        <v>10</v>
      </c>
      <c r="J296" s="4" t="s">
        <v>186</v>
      </c>
      <c r="K296" s="4">
        <v>2</v>
      </c>
      <c r="L296" s="5">
        <v>48.43</v>
      </c>
      <c r="M296" s="5">
        <v>96.86</v>
      </c>
      <c r="N296" s="5">
        <v>48.86</v>
      </c>
      <c r="O296" s="5">
        <v>48</v>
      </c>
      <c r="P296" s="4">
        <f>--AND(OR(Dashboard!$A$10="All",C296=Dashboard!$A$10),OR(Dashboard!$A$14="All",F296=Dashboard!$A$14),OR(Dashboard!$A$18="All",G296=Dashboard!$A$18),OR(Dashboard!$A$22="All",I296=Dashboard!$A$22))</f>
        <v>1</v>
      </c>
    </row>
    <row r="297" spans="1:16" ht="15.75" customHeight="1">
      <c r="A297" s="4" t="s">
        <v>501</v>
      </c>
      <c r="B297" s="6">
        <v>45468</v>
      </c>
      <c r="C297" s="4">
        <v>2024</v>
      </c>
      <c r="D297" s="4">
        <v>6</v>
      </c>
      <c r="E297" s="4" t="s">
        <v>34</v>
      </c>
      <c r="F297" s="4" t="s">
        <v>5</v>
      </c>
      <c r="G297" s="4" t="s">
        <v>6</v>
      </c>
      <c r="H297" s="4" t="s">
        <v>136</v>
      </c>
      <c r="I297" s="4" t="s">
        <v>10</v>
      </c>
      <c r="J297" s="4" t="s">
        <v>268</v>
      </c>
      <c r="K297" s="4">
        <v>2</v>
      </c>
      <c r="L297" s="5">
        <v>209.59</v>
      </c>
      <c r="M297" s="5">
        <v>419.18</v>
      </c>
      <c r="N297" s="5">
        <v>274.38</v>
      </c>
      <c r="O297" s="5">
        <v>144.80000000000001</v>
      </c>
      <c r="P297" s="4">
        <f>--AND(OR(Dashboard!$A$10="All",C297=Dashboard!$A$10),OR(Dashboard!$A$14="All",F297=Dashboard!$A$14),OR(Dashboard!$A$18="All",G297=Dashboard!$A$18),OR(Dashboard!$A$22="All",I297=Dashboard!$A$22))</f>
        <v>1</v>
      </c>
    </row>
    <row r="298" spans="1:16" ht="15.75" customHeight="1">
      <c r="A298" s="4" t="s">
        <v>502</v>
      </c>
      <c r="B298" s="6">
        <v>45929</v>
      </c>
      <c r="C298" s="4">
        <v>2025</v>
      </c>
      <c r="D298" s="4">
        <v>9</v>
      </c>
      <c r="E298" s="4" t="s">
        <v>79</v>
      </c>
      <c r="F298" s="4" t="s">
        <v>11</v>
      </c>
      <c r="G298" s="4" t="s">
        <v>9</v>
      </c>
      <c r="H298" s="4" t="s">
        <v>142</v>
      </c>
      <c r="I298" s="4" t="s">
        <v>10</v>
      </c>
      <c r="J298" s="4" t="s">
        <v>214</v>
      </c>
      <c r="K298" s="4">
        <v>4</v>
      </c>
      <c r="L298" s="5">
        <v>35.96</v>
      </c>
      <c r="M298" s="5">
        <v>143.84</v>
      </c>
      <c r="N298" s="5">
        <v>74.17</v>
      </c>
      <c r="O298" s="5">
        <v>69.67</v>
      </c>
      <c r="P298" s="4">
        <f>--AND(OR(Dashboard!$A$10="All",C298=Dashboard!$A$10),OR(Dashboard!$A$14="All",F298=Dashboard!$A$14),OR(Dashboard!$A$18="All",G298=Dashboard!$A$18),OR(Dashboard!$A$22="All",I298=Dashboard!$A$22))</f>
        <v>1</v>
      </c>
    </row>
    <row r="299" spans="1:16" ht="15.75" customHeight="1">
      <c r="A299" s="4" t="s">
        <v>503</v>
      </c>
      <c r="B299" s="6">
        <v>45555</v>
      </c>
      <c r="C299" s="4">
        <v>2024</v>
      </c>
      <c r="D299" s="4">
        <v>9</v>
      </c>
      <c r="E299" s="4" t="s">
        <v>79</v>
      </c>
      <c r="F299" s="4" t="s">
        <v>5</v>
      </c>
      <c r="G299" s="4" t="s">
        <v>6</v>
      </c>
      <c r="H299" s="4" t="s">
        <v>136</v>
      </c>
      <c r="I299" s="4" t="s">
        <v>7</v>
      </c>
      <c r="J299" s="4" t="s">
        <v>336</v>
      </c>
      <c r="K299" s="4">
        <v>2</v>
      </c>
      <c r="L299" s="5">
        <v>193.46</v>
      </c>
      <c r="M299" s="5">
        <v>386.92</v>
      </c>
      <c r="N299" s="5">
        <v>266.23</v>
      </c>
      <c r="O299" s="5">
        <v>120.69</v>
      </c>
      <c r="P299" s="4">
        <f>--AND(OR(Dashboard!$A$10="All",C299=Dashboard!$A$10),OR(Dashboard!$A$14="All",F299=Dashboard!$A$14),OR(Dashboard!$A$18="All",G299=Dashboard!$A$18),OR(Dashboard!$A$22="All",I299=Dashboard!$A$22))</f>
        <v>1</v>
      </c>
    </row>
    <row r="300" spans="1:16" ht="15.75" customHeight="1">
      <c r="A300" s="4" t="s">
        <v>504</v>
      </c>
      <c r="B300" s="6">
        <v>45955</v>
      </c>
      <c r="C300" s="4">
        <v>2025</v>
      </c>
      <c r="D300" s="4">
        <v>10</v>
      </c>
      <c r="E300" s="4" t="s">
        <v>120</v>
      </c>
      <c r="F300" s="4" t="s">
        <v>5</v>
      </c>
      <c r="G300" s="4" t="s">
        <v>12</v>
      </c>
      <c r="H300" s="4" t="s">
        <v>124</v>
      </c>
      <c r="I300" s="4" t="s">
        <v>7</v>
      </c>
      <c r="J300" s="4" t="s">
        <v>297</v>
      </c>
      <c r="K300" s="4">
        <v>1</v>
      </c>
      <c r="L300" s="5">
        <v>302.44</v>
      </c>
      <c r="M300" s="5">
        <v>302.44</v>
      </c>
      <c r="N300" s="5">
        <v>177.51</v>
      </c>
      <c r="O300" s="5">
        <v>124.93</v>
      </c>
      <c r="P300" s="4">
        <f>--AND(OR(Dashboard!$A$10="All",C300=Dashboard!$A$10),OR(Dashboard!$A$14="All",F300=Dashboard!$A$14),OR(Dashboard!$A$18="All",G300=Dashboard!$A$18),OR(Dashboard!$A$22="All",I300=Dashboard!$A$22))</f>
        <v>1</v>
      </c>
    </row>
    <row r="301" spans="1:16" ht="15.75" customHeight="1">
      <c r="A301" s="4" t="s">
        <v>505</v>
      </c>
      <c r="B301" s="6">
        <v>45950</v>
      </c>
      <c r="C301" s="4">
        <v>2025</v>
      </c>
      <c r="D301" s="4">
        <v>10</v>
      </c>
      <c r="E301" s="4" t="s">
        <v>120</v>
      </c>
      <c r="F301" s="4" t="s">
        <v>5</v>
      </c>
      <c r="G301" s="4" t="s">
        <v>12</v>
      </c>
      <c r="H301" s="4" t="s">
        <v>92</v>
      </c>
      <c r="I301" s="4" t="s">
        <v>7</v>
      </c>
      <c r="J301" s="4" t="s">
        <v>125</v>
      </c>
      <c r="K301" s="4">
        <v>5</v>
      </c>
      <c r="L301" s="5">
        <v>239.5</v>
      </c>
      <c r="M301" s="5">
        <v>1197.5</v>
      </c>
      <c r="N301" s="5">
        <v>746.02</v>
      </c>
      <c r="O301" s="5">
        <v>451.48</v>
      </c>
      <c r="P301" s="4">
        <f>--AND(OR(Dashboard!$A$10="All",C301=Dashboard!$A$10),OR(Dashboard!$A$14="All",F301=Dashboard!$A$14),OR(Dashboard!$A$18="All",G301=Dashboard!$A$18),OR(Dashboard!$A$22="All",I301=Dashboard!$A$22))</f>
        <v>1</v>
      </c>
    </row>
    <row r="302" spans="1:16" ht="15.75" customHeight="1">
      <c r="A302" s="4" t="s">
        <v>506</v>
      </c>
      <c r="B302" s="6">
        <v>45861</v>
      </c>
      <c r="C302" s="4">
        <v>2025</v>
      </c>
      <c r="D302" s="4">
        <v>7</v>
      </c>
      <c r="E302" s="4" t="s">
        <v>63</v>
      </c>
      <c r="F302" s="4" t="s">
        <v>8</v>
      </c>
      <c r="G302" s="4" t="s">
        <v>6</v>
      </c>
      <c r="H302" s="4" t="s">
        <v>54</v>
      </c>
      <c r="I302" s="4" t="s">
        <v>7</v>
      </c>
      <c r="J302" s="4" t="s">
        <v>128</v>
      </c>
      <c r="K302" s="4">
        <v>1</v>
      </c>
      <c r="L302" s="5">
        <v>132.53</v>
      </c>
      <c r="M302" s="5">
        <v>132.53</v>
      </c>
      <c r="N302" s="5">
        <v>84.17</v>
      </c>
      <c r="O302" s="5">
        <v>48.36</v>
      </c>
      <c r="P302" s="4">
        <f>--AND(OR(Dashboard!$A$10="All",C302=Dashboard!$A$10),OR(Dashboard!$A$14="All",F302=Dashboard!$A$14),OR(Dashboard!$A$18="All",G302=Dashboard!$A$18),OR(Dashboard!$A$22="All",I302=Dashboard!$A$22))</f>
        <v>1</v>
      </c>
    </row>
    <row r="303" spans="1:16" ht="15.75" customHeight="1">
      <c r="A303" s="4" t="s">
        <v>507</v>
      </c>
      <c r="B303" s="6">
        <v>45445</v>
      </c>
      <c r="C303" s="4">
        <v>2024</v>
      </c>
      <c r="D303" s="4">
        <v>6</v>
      </c>
      <c r="E303" s="4" t="s">
        <v>34</v>
      </c>
      <c r="F303" s="4" t="s">
        <v>11</v>
      </c>
      <c r="G303" s="4" t="s">
        <v>12</v>
      </c>
      <c r="H303" s="4" t="s">
        <v>86</v>
      </c>
      <c r="I303" s="4" t="s">
        <v>7</v>
      </c>
      <c r="J303" s="4" t="s">
        <v>311</v>
      </c>
      <c r="K303" s="4">
        <v>3</v>
      </c>
      <c r="L303" s="5">
        <v>272.72000000000003</v>
      </c>
      <c r="M303" s="5">
        <v>818.16</v>
      </c>
      <c r="N303" s="5">
        <v>502.02</v>
      </c>
      <c r="O303" s="5">
        <v>316.14</v>
      </c>
      <c r="P303" s="4">
        <f>--AND(OR(Dashboard!$A$10="All",C303=Dashboard!$A$10),OR(Dashboard!$A$14="All",F303=Dashboard!$A$14),OR(Dashboard!$A$18="All",G303=Dashboard!$A$18),OR(Dashboard!$A$22="All",I303=Dashboard!$A$22))</f>
        <v>1</v>
      </c>
    </row>
    <row r="304" spans="1:16" ht="15.75" customHeight="1">
      <c r="A304" s="4" t="s">
        <v>508</v>
      </c>
      <c r="B304" s="6">
        <v>45626</v>
      </c>
      <c r="C304" s="4">
        <v>2024</v>
      </c>
      <c r="D304" s="4">
        <v>11</v>
      </c>
      <c r="E304" s="4" t="s">
        <v>89</v>
      </c>
      <c r="F304" s="4" t="s">
        <v>5</v>
      </c>
      <c r="G304" s="4" t="s">
        <v>9</v>
      </c>
      <c r="H304" s="4" t="s">
        <v>142</v>
      </c>
      <c r="I304" s="4" t="s">
        <v>7</v>
      </c>
      <c r="J304" s="4" t="s">
        <v>232</v>
      </c>
      <c r="K304" s="4">
        <v>2</v>
      </c>
      <c r="L304" s="5">
        <v>61.61</v>
      </c>
      <c r="M304" s="5">
        <v>123.22</v>
      </c>
      <c r="N304" s="5">
        <v>59.02</v>
      </c>
      <c r="O304" s="5">
        <v>64.2</v>
      </c>
      <c r="P304" s="4">
        <f>--AND(OR(Dashboard!$A$10="All",C304=Dashboard!$A$10),OR(Dashboard!$A$14="All",F304=Dashboard!$A$14),OR(Dashboard!$A$18="All",G304=Dashboard!$A$18),OR(Dashboard!$A$22="All",I304=Dashboard!$A$22))</f>
        <v>1</v>
      </c>
    </row>
    <row r="305" spans="1:16" ht="15.75" customHeight="1">
      <c r="A305" s="4" t="s">
        <v>509</v>
      </c>
      <c r="B305" s="6">
        <v>45666</v>
      </c>
      <c r="C305" s="4">
        <v>2025</v>
      </c>
      <c r="D305" s="4">
        <v>1</v>
      </c>
      <c r="E305" s="4" t="s">
        <v>30</v>
      </c>
      <c r="F305" s="4" t="s">
        <v>5</v>
      </c>
      <c r="G305" s="4" t="s">
        <v>9</v>
      </c>
      <c r="H305" s="4" t="s">
        <v>110</v>
      </c>
      <c r="I305" s="4" t="s">
        <v>7</v>
      </c>
      <c r="J305" s="4" t="s">
        <v>393</v>
      </c>
      <c r="K305" s="4">
        <v>7</v>
      </c>
      <c r="L305" s="5">
        <v>63.95</v>
      </c>
      <c r="M305" s="5">
        <v>447.65</v>
      </c>
      <c r="N305" s="5">
        <v>229.77</v>
      </c>
      <c r="O305" s="5">
        <v>217.88</v>
      </c>
      <c r="P305" s="4">
        <f>--AND(OR(Dashboard!$A$10="All",C305=Dashboard!$A$10),OR(Dashboard!$A$14="All",F305=Dashboard!$A$14),OR(Dashboard!$A$18="All",G305=Dashboard!$A$18),OR(Dashboard!$A$22="All",I305=Dashboard!$A$22))</f>
        <v>1</v>
      </c>
    </row>
    <row r="306" spans="1:16" ht="15.75" customHeight="1">
      <c r="A306" s="4" t="s">
        <v>510</v>
      </c>
      <c r="B306" s="6">
        <v>45495</v>
      </c>
      <c r="C306" s="4">
        <v>2024</v>
      </c>
      <c r="D306" s="4">
        <v>7</v>
      </c>
      <c r="E306" s="4" t="s">
        <v>63</v>
      </c>
      <c r="F306" s="4" t="s">
        <v>8</v>
      </c>
      <c r="G306" s="4" t="s">
        <v>12</v>
      </c>
      <c r="H306" s="4" t="s">
        <v>124</v>
      </c>
      <c r="I306" s="4" t="s">
        <v>13</v>
      </c>
      <c r="J306" s="4" t="s">
        <v>68</v>
      </c>
      <c r="K306" s="4">
        <v>3</v>
      </c>
      <c r="L306" s="5">
        <v>200.06</v>
      </c>
      <c r="M306" s="5">
        <v>600.17999999999995</v>
      </c>
      <c r="N306" s="5">
        <v>368.54</v>
      </c>
      <c r="O306" s="5">
        <v>231.64</v>
      </c>
      <c r="P306" s="4">
        <f>--AND(OR(Dashboard!$A$10="All",C306=Dashboard!$A$10),OR(Dashboard!$A$14="All",F306=Dashboard!$A$14),OR(Dashboard!$A$18="All",G306=Dashboard!$A$18),OR(Dashboard!$A$22="All",I306=Dashboard!$A$22))</f>
        <v>1</v>
      </c>
    </row>
    <row r="307" spans="1:16" ht="15.75" customHeight="1">
      <c r="A307" s="4" t="s">
        <v>511</v>
      </c>
      <c r="B307" s="6">
        <v>45704</v>
      </c>
      <c r="C307" s="4">
        <v>2025</v>
      </c>
      <c r="D307" s="4">
        <v>2</v>
      </c>
      <c r="E307" s="4" t="s">
        <v>70</v>
      </c>
      <c r="F307" s="4" t="s">
        <v>5</v>
      </c>
      <c r="G307" s="4" t="s">
        <v>12</v>
      </c>
      <c r="H307" s="4" t="s">
        <v>86</v>
      </c>
      <c r="I307" s="4" t="s">
        <v>7</v>
      </c>
      <c r="J307" s="4" t="s">
        <v>72</v>
      </c>
      <c r="K307" s="4">
        <v>5</v>
      </c>
      <c r="L307" s="5">
        <v>133.43</v>
      </c>
      <c r="M307" s="5">
        <v>667.15</v>
      </c>
      <c r="N307" s="5">
        <v>399.98</v>
      </c>
      <c r="O307" s="5">
        <v>267.17</v>
      </c>
      <c r="P307" s="4">
        <f>--AND(OR(Dashboard!$A$10="All",C307=Dashboard!$A$10),OR(Dashboard!$A$14="All",F307=Dashboard!$A$14),OR(Dashboard!$A$18="All",G307=Dashboard!$A$18),OR(Dashboard!$A$22="All",I307=Dashboard!$A$22))</f>
        <v>1</v>
      </c>
    </row>
    <row r="308" spans="1:16" ht="15.75" customHeight="1">
      <c r="A308" s="4" t="s">
        <v>512</v>
      </c>
      <c r="B308" s="6">
        <v>45787</v>
      </c>
      <c r="C308" s="4">
        <v>2025</v>
      </c>
      <c r="D308" s="4">
        <v>5</v>
      </c>
      <c r="E308" s="4" t="s">
        <v>108</v>
      </c>
      <c r="F308" s="4" t="s">
        <v>11</v>
      </c>
      <c r="G308" s="4" t="s">
        <v>6</v>
      </c>
      <c r="H308" s="4" t="s">
        <v>80</v>
      </c>
      <c r="I308" s="4" t="s">
        <v>7</v>
      </c>
      <c r="J308" s="4" t="s">
        <v>153</v>
      </c>
      <c r="K308" s="4">
        <v>8</v>
      </c>
      <c r="L308" s="5">
        <v>93.96</v>
      </c>
      <c r="M308" s="5">
        <v>751.68</v>
      </c>
      <c r="N308" s="5">
        <v>504.65</v>
      </c>
      <c r="O308" s="5">
        <v>247.03</v>
      </c>
      <c r="P308" s="4">
        <f>--AND(OR(Dashboard!$A$10="All",C308=Dashboard!$A$10),OR(Dashboard!$A$14="All",F308=Dashboard!$A$14),OR(Dashboard!$A$18="All",G308=Dashboard!$A$18),OR(Dashboard!$A$22="All",I308=Dashboard!$A$22))</f>
        <v>1</v>
      </c>
    </row>
    <row r="309" spans="1:16" ht="15.75" customHeight="1">
      <c r="A309" s="4" t="s">
        <v>513</v>
      </c>
      <c r="B309" s="6">
        <v>45417</v>
      </c>
      <c r="C309" s="4">
        <v>2024</v>
      </c>
      <c r="D309" s="4">
        <v>5</v>
      </c>
      <c r="E309" s="4" t="s">
        <v>108</v>
      </c>
      <c r="F309" s="4" t="s">
        <v>14</v>
      </c>
      <c r="G309" s="4" t="s">
        <v>9</v>
      </c>
      <c r="H309" s="4" t="s">
        <v>71</v>
      </c>
      <c r="I309" s="4" t="s">
        <v>10</v>
      </c>
      <c r="J309" s="4" t="s">
        <v>189</v>
      </c>
      <c r="K309" s="4">
        <v>6</v>
      </c>
      <c r="L309" s="5">
        <v>35.57</v>
      </c>
      <c r="M309" s="5">
        <v>213.42</v>
      </c>
      <c r="N309" s="5">
        <v>105.6</v>
      </c>
      <c r="O309" s="5">
        <v>107.82</v>
      </c>
      <c r="P309" s="4">
        <f>--AND(OR(Dashboard!$A$10="All",C309=Dashboard!$A$10),OR(Dashboard!$A$14="All",F309=Dashboard!$A$14),OR(Dashboard!$A$18="All",G309=Dashboard!$A$18),OR(Dashboard!$A$22="All",I309=Dashboard!$A$22))</f>
        <v>1</v>
      </c>
    </row>
    <row r="310" spans="1:16" ht="15.75" customHeight="1">
      <c r="A310" s="4" t="s">
        <v>514</v>
      </c>
      <c r="B310" s="6">
        <v>45412</v>
      </c>
      <c r="C310" s="4">
        <v>2024</v>
      </c>
      <c r="D310" s="4">
        <v>4</v>
      </c>
      <c r="E310" s="4" t="s">
        <v>106</v>
      </c>
      <c r="F310" s="4" t="s">
        <v>8</v>
      </c>
      <c r="G310" s="4" t="s">
        <v>12</v>
      </c>
      <c r="H310" s="4" t="s">
        <v>92</v>
      </c>
      <c r="I310" s="4" t="s">
        <v>7</v>
      </c>
      <c r="J310" s="4" t="s">
        <v>289</v>
      </c>
      <c r="K310" s="4">
        <v>4</v>
      </c>
      <c r="L310" s="5">
        <v>275.02999999999997</v>
      </c>
      <c r="M310" s="5">
        <v>1100.1199999999999</v>
      </c>
      <c r="N310" s="5">
        <v>675.73</v>
      </c>
      <c r="O310" s="5">
        <v>424.39</v>
      </c>
      <c r="P310" s="4">
        <f>--AND(OR(Dashboard!$A$10="All",C310=Dashboard!$A$10),OR(Dashboard!$A$14="All",F310=Dashboard!$A$14),OR(Dashboard!$A$18="All",G310=Dashboard!$A$18),OR(Dashboard!$A$22="All",I310=Dashboard!$A$22))</f>
        <v>1</v>
      </c>
    </row>
    <row r="311" spans="1:16" ht="15.75" customHeight="1">
      <c r="A311" s="4" t="s">
        <v>515</v>
      </c>
      <c r="B311" s="6">
        <v>45484</v>
      </c>
      <c r="C311" s="4">
        <v>2024</v>
      </c>
      <c r="D311" s="4">
        <v>7</v>
      </c>
      <c r="E311" s="4" t="s">
        <v>63</v>
      </c>
      <c r="F311" s="4" t="s">
        <v>5</v>
      </c>
      <c r="G311" s="4" t="s">
        <v>6</v>
      </c>
      <c r="H311" s="4" t="s">
        <v>114</v>
      </c>
      <c r="I311" s="4" t="s">
        <v>7</v>
      </c>
      <c r="J311" s="4" t="s">
        <v>195</v>
      </c>
      <c r="K311" s="4">
        <v>8</v>
      </c>
      <c r="L311" s="5">
        <v>76.540000000000006</v>
      </c>
      <c r="M311" s="5">
        <v>612.32000000000005</v>
      </c>
      <c r="N311" s="5">
        <v>388.99</v>
      </c>
      <c r="O311" s="5">
        <v>223.33</v>
      </c>
      <c r="P311" s="4">
        <f>--AND(OR(Dashboard!$A$10="All",C311=Dashboard!$A$10),OR(Dashboard!$A$14="All",F311=Dashboard!$A$14),OR(Dashboard!$A$18="All",G311=Dashboard!$A$18),OR(Dashboard!$A$22="All",I311=Dashboard!$A$22))</f>
        <v>1</v>
      </c>
    </row>
    <row r="312" spans="1:16" ht="15.75" customHeight="1">
      <c r="A312" s="4" t="s">
        <v>516</v>
      </c>
      <c r="B312" s="6">
        <v>45562</v>
      </c>
      <c r="C312" s="4">
        <v>2024</v>
      </c>
      <c r="D312" s="4">
        <v>9</v>
      </c>
      <c r="E312" s="4" t="s">
        <v>79</v>
      </c>
      <c r="F312" s="4" t="s">
        <v>11</v>
      </c>
      <c r="G312" s="4" t="s">
        <v>9</v>
      </c>
      <c r="H312" s="4" t="s">
        <v>71</v>
      </c>
      <c r="I312" s="4" t="s">
        <v>10</v>
      </c>
      <c r="J312" s="4" t="s">
        <v>81</v>
      </c>
      <c r="K312" s="4">
        <v>2</v>
      </c>
      <c r="L312" s="5">
        <v>36.43</v>
      </c>
      <c r="M312" s="5">
        <v>72.86</v>
      </c>
      <c r="N312" s="5">
        <v>37.590000000000003</v>
      </c>
      <c r="O312" s="5">
        <v>35.270000000000003</v>
      </c>
      <c r="P312" s="4">
        <f>--AND(OR(Dashboard!$A$10="All",C312=Dashboard!$A$10),OR(Dashboard!$A$14="All",F312=Dashboard!$A$14),OR(Dashboard!$A$18="All",G312=Dashboard!$A$18),OR(Dashboard!$A$22="All",I312=Dashboard!$A$22))</f>
        <v>1</v>
      </c>
    </row>
    <row r="313" spans="1:16" ht="15.75" customHeight="1">
      <c r="A313" s="4" t="s">
        <v>517</v>
      </c>
      <c r="B313" s="6">
        <v>45858</v>
      </c>
      <c r="C313" s="4">
        <v>2025</v>
      </c>
      <c r="D313" s="4">
        <v>7</v>
      </c>
      <c r="E313" s="4" t="s">
        <v>63</v>
      </c>
      <c r="F313" s="4" t="s">
        <v>5</v>
      </c>
      <c r="G313" s="4" t="s">
        <v>6</v>
      </c>
      <c r="H313" s="4" t="s">
        <v>80</v>
      </c>
      <c r="I313" s="4" t="s">
        <v>7</v>
      </c>
      <c r="J313" s="4" t="s">
        <v>402</v>
      </c>
      <c r="K313" s="4">
        <v>2</v>
      </c>
      <c r="L313" s="5">
        <v>128.63999999999999</v>
      </c>
      <c r="M313" s="5">
        <v>257.27999999999997</v>
      </c>
      <c r="N313" s="5">
        <v>178</v>
      </c>
      <c r="O313" s="5">
        <v>79.28</v>
      </c>
      <c r="P313" s="4">
        <f>--AND(OR(Dashboard!$A$10="All",C313=Dashboard!$A$10),OR(Dashboard!$A$14="All",F313=Dashboard!$A$14),OR(Dashboard!$A$18="All",G313=Dashboard!$A$18),OR(Dashboard!$A$22="All",I313=Dashboard!$A$22))</f>
        <v>1</v>
      </c>
    </row>
    <row r="314" spans="1:16" ht="15.75" customHeight="1">
      <c r="A314" s="4" t="s">
        <v>518</v>
      </c>
      <c r="B314" s="6">
        <v>45738</v>
      </c>
      <c r="C314" s="4">
        <v>2025</v>
      </c>
      <c r="D314" s="4">
        <v>3</v>
      </c>
      <c r="E314" s="4" t="s">
        <v>100</v>
      </c>
      <c r="F314" s="4" t="s">
        <v>8</v>
      </c>
      <c r="G314" s="4" t="s">
        <v>6</v>
      </c>
      <c r="H314" s="4" t="s">
        <v>114</v>
      </c>
      <c r="I314" s="4" t="s">
        <v>10</v>
      </c>
      <c r="J314" s="4" t="s">
        <v>336</v>
      </c>
      <c r="K314" s="4">
        <v>2</v>
      </c>
      <c r="L314" s="5">
        <v>170.62</v>
      </c>
      <c r="M314" s="5">
        <v>341.24</v>
      </c>
      <c r="N314" s="5">
        <v>224.09</v>
      </c>
      <c r="O314" s="5">
        <v>117.15</v>
      </c>
      <c r="P314" s="4">
        <f>--AND(OR(Dashboard!$A$10="All",C314=Dashboard!$A$10),OR(Dashboard!$A$14="All",F314=Dashboard!$A$14),OR(Dashboard!$A$18="All",G314=Dashboard!$A$18),OR(Dashboard!$A$22="All",I314=Dashboard!$A$22))</f>
        <v>1</v>
      </c>
    </row>
    <row r="315" spans="1:16" ht="15.75" customHeight="1">
      <c r="A315" s="4" t="s">
        <v>519</v>
      </c>
      <c r="B315" s="6">
        <v>45671</v>
      </c>
      <c r="C315" s="4">
        <v>2025</v>
      </c>
      <c r="D315" s="4">
        <v>1</v>
      </c>
      <c r="E315" s="4" t="s">
        <v>30</v>
      </c>
      <c r="F315" s="4" t="s">
        <v>5</v>
      </c>
      <c r="G315" s="4" t="s">
        <v>9</v>
      </c>
      <c r="H315" s="4" t="s">
        <v>71</v>
      </c>
      <c r="I315" s="4" t="s">
        <v>7</v>
      </c>
      <c r="J315" s="4" t="s">
        <v>326</v>
      </c>
      <c r="K315" s="4">
        <v>1</v>
      </c>
      <c r="L315" s="5">
        <v>58.87</v>
      </c>
      <c r="M315" s="5">
        <v>58.87</v>
      </c>
      <c r="N315" s="5">
        <v>29.99</v>
      </c>
      <c r="O315" s="5">
        <v>28.88</v>
      </c>
      <c r="P315" s="4">
        <f>--AND(OR(Dashboard!$A$10="All",C315=Dashboard!$A$10),OR(Dashboard!$A$14="All",F315=Dashboard!$A$14),OR(Dashboard!$A$18="All",G315=Dashboard!$A$18),OR(Dashboard!$A$22="All",I315=Dashboard!$A$22))</f>
        <v>1</v>
      </c>
    </row>
    <row r="316" spans="1:16" ht="15.75" customHeight="1">
      <c r="A316" s="4" t="s">
        <v>520</v>
      </c>
      <c r="B316" s="6">
        <v>45387</v>
      </c>
      <c r="C316" s="4">
        <v>2024</v>
      </c>
      <c r="D316" s="4">
        <v>4</v>
      </c>
      <c r="E316" s="4" t="s">
        <v>106</v>
      </c>
      <c r="F316" s="4" t="s">
        <v>5</v>
      </c>
      <c r="G316" s="4" t="s">
        <v>12</v>
      </c>
      <c r="H316" s="4" t="s">
        <v>58</v>
      </c>
      <c r="I316" s="4" t="s">
        <v>7</v>
      </c>
      <c r="J316" s="4" t="s">
        <v>326</v>
      </c>
      <c r="K316" s="4">
        <v>5</v>
      </c>
      <c r="L316" s="5">
        <v>245.95</v>
      </c>
      <c r="M316" s="5">
        <v>1229.75</v>
      </c>
      <c r="N316" s="5">
        <v>739.56</v>
      </c>
      <c r="O316" s="5">
        <v>490.19</v>
      </c>
      <c r="P316" s="4">
        <f>--AND(OR(Dashboard!$A$10="All",C316=Dashboard!$A$10),OR(Dashboard!$A$14="All",F316=Dashboard!$A$14),OR(Dashboard!$A$18="All",G316=Dashboard!$A$18),OR(Dashboard!$A$22="All",I316=Dashboard!$A$22))</f>
        <v>1</v>
      </c>
    </row>
    <row r="317" spans="1:16" ht="15.75" customHeight="1">
      <c r="A317" s="4" t="s">
        <v>521</v>
      </c>
      <c r="B317" s="6">
        <v>45754</v>
      </c>
      <c r="C317" s="4">
        <v>2025</v>
      </c>
      <c r="D317" s="4">
        <v>4</v>
      </c>
      <c r="E317" s="4" t="s">
        <v>106</v>
      </c>
      <c r="F317" s="4" t="s">
        <v>11</v>
      </c>
      <c r="G317" s="4" t="s">
        <v>9</v>
      </c>
      <c r="H317" s="4" t="s">
        <v>64</v>
      </c>
      <c r="I317" s="4" t="s">
        <v>7</v>
      </c>
      <c r="J317" s="4" t="s">
        <v>168</v>
      </c>
      <c r="K317" s="4">
        <v>5</v>
      </c>
      <c r="L317" s="5">
        <v>64.81</v>
      </c>
      <c r="M317" s="5">
        <v>324.05</v>
      </c>
      <c r="N317" s="5">
        <v>154.35</v>
      </c>
      <c r="O317" s="5">
        <v>169.7</v>
      </c>
      <c r="P317" s="4">
        <f>--AND(OR(Dashboard!$A$10="All",C317=Dashboard!$A$10),OR(Dashboard!$A$14="All",F317=Dashboard!$A$14),OR(Dashboard!$A$18="All",G317=Dashboard!$A$18),OR(Dashboard!$A$22="All",I317=Dashboard!$A$22))</f>
        <v>1</v>
      </c>
    </row>
    <row r="318" spans="1:16" ht="15.75" customHeight="1">
      <c r="A318" s="4" t="s">
        <v>522</v>
      </c>
      <c r="B318" s="6">
        <v>45401</v>
      </c>
      <c r="C318" s="4">
        <v>2024</v>
      </c>
      <c r="D318" s="4">
        <v>4</v>
      </c>
      <c r="E318" s="4" t="s">
        <v>106</v>
      </c>
      <c r="F318" s="4" t="s">
        <v>5</v>
      </c>
      <c r="G318" s="4" t="s">
        <v>12</v>
      </c>
      <c r="H318" s="4" t="s">
        <v>124</v>
      </c>
      <c r="I318" s="4" t="s">
        <v>10</v>
      </c>
      <c r="J318" s="4" t="s">
        <v>164</v>
      </c>
      <c r="K318" s="4">
        <v>9</v>
      </c>
      <c r="L318" s="5">
        <v>259.79000000000002</v>
      </c>
      <c r="M318" s="5">
        <v>2338.11</v>
      </c>
      <c r="N318" s="5">
        <v>1443.29</v>
      </c>
      <c r="O318" s="5">
        <v>894.82</v>
      </c>
      <c r="P318" s="4">
        <f>--AND(OR(Dashboard!$A$10="All",C318=Dashboard!$A$10),OR(Dashboard!$A$14="All",F318=Dashboard!$A$14),OR(Dashboard!$A$18="All",G318=Dashboard!$A$18),OR(Dashboard!$A$22="All",I318=Dashboard!$A$22))</f>
        <v>1</v>
      </c>
    </row>
    <row r="319" spans="1:16" ht="15.75" customHeight="1">
      <c r="A319" s="4" t="s">
        <v>523</v>
      </c>
      <c r="B319" s="6">
        <v>45507</v>
      </c>
      <c r="C319" s="4">
        <v>2024</v>
      </c>
      <c r="D319" s="4">
        <v>8</v>
      </c>
      <c r="E319" s="4" t="s">
        <v>67</v>
      </c>
      <c r="F319" s="4" t="s">
        <v>5</v>
      </c>
      <c r="G319" s="4" t="s">
        <v>12</v>
      </c>
      <c r="H319" s="4" t="s">
        <v>127</v>
      </c>
      <c r="I319" s="4" t="s">
        <v>7</v>
      </c>
      <c r="J319" s="4" t="s">
        <v>214</v>
      </c>
      <c r="K319" s="4">
        <v>1</v>
      </c>
      <c r="L319" s="5">
        <v>306.47000000000003</v>
      </c>
      <c r="M319" s="5">
        <v>306.47000000000003</v>
      </c>
      <c r="N319" s="5">
        <v>190.94</v>
      </c>
      <c r="O319" s="5">
        <v>115.53</v>
      </c>
      <c r="P319" s="4">
        <f>--AND(OR(Dashboard!$A$10="All",C319=Dashboard!$A$10),OR(Dashboard!$A$14="All",F319=Dashboard!$A$14),OR(Dashboard!$A$18="All",G319=Dashboard!$A$18),OR(Dashboard!$A$22="All",I319=Dashboard!$A$22))</f>
        <v>1</v>
      </c>
    </row>
    <row r="320" spans="1:16" ht="15.75" customHeight="1">
      <c r="A320" s="4" t="s">
        <v>524</v>
      </c>
      <c r="B320" s="6">
        <v>45907</v>
      </c>
      <c r="C320" s="4">
        <v>2025</v>
      </c>
      <c r="D320" s="4">
        <v>9</v>
      </c>
      <c r="E320" s="4" t="s">
        <v>79</v>
      </c>
      <c r="F320" s="4" t="s">
        <v>8</v>
      </c>
      <c r="G320" s="4" t="s">
        <v>9</v>
      </c>
      <c r="H320" s="4" t="s">
        <v>142</v>
      </c>
      <c r="I320" s="4" t="s">
        <v>13</v>
      </c>
      <c r="J320" s="4" t="s">
        <v>333</v>
      </c>
      <c r="K320" s="4">
        <v>4</v>
      </c>
      <c r="L320" s="5">
        <v>24.26</v>
      </c>
      <c r="M320" s="5">
        <v>97.04</v>
      </c>
      <c r="N320" s="5">
        <v>47.25</v>
      </c>
      <c r="O320" s="5">
        <v>49.79</v>
      </c>
      <c r="P320" s="4">
        <f>--AND(OR(Dashboard!$A$10="All",C320=Dashboard!$A$10),OR(Dashboard!$A$14="All",F320=Dashboard!$A$14),OR(Dashboard!$A$18="All",G320=Dashboard!$A$18),OR(Dashboard!$A$22="All",I320=Dashboard!$A$22))</f>
        <v>1</v>
      </c>
    </row>
    <row r="321" spans="1:16" ht="15.75" customHeight="1">
      <c r="A321" s="4" t="s">
        <v>525</v>
      </c>
      <c r="B321" s="6">
        <v>45584</v>
      </c>
      <c r="C321" s="4">
        <v>2024</v>
      </c>
      <c r="D321" s="4">
        <v>10</v>
      </c>
      <c r="E321" s="4" t="s">
        <v>120</v>
      </c>
      <c r="F321" s="4" t="s">
        <v>5</v>
      </c>
      <c r="G321" s="4" t="s">
        <v>12</v>
      </c>
      <c r="H321" s="4" t="s">
        <v>127</v>
      </c>
      <c r="I321" s="4" t="s">
        <v>7</v>
      </c>
      <c r="J321" s="4" t="s">
        <v>121</v>
      </c>
      <c r="K321" s="4">
        <v>2</v>
      </c>
      <c r="L321" s="5">
        <v>320.8</v>
      </c>
      <c r="M321" s="5">
        <v>641.6</v>
      </c>
      <c r="N321" s="5">
        <v>382.52</v>
      </c>
      <c r="O321" s="5">
        <v>259.08</v>
      </c>
      <c r="P321" s="4">
        <f>--AND(OR(Dashboard!$A$10="All",C321=Dashboard!$A$10),OR(Dashboard!$A$14="All",F321=Dashboard!$A$14),OR(Dashboard!$A$18="All",G321=Dashboard!$A$18),OR(Dashboard!$A$22="All",I321=Dashboard!$A$22))</f>
        <v>1</v>
      </c>
    </row>
    <row r="322" spans="1:16" ht="15.75" customHeight="1">
      <c r="A322" s="4" t="s">
        <v>526</v>
      </c>
      <c r="B322" s="6">
        <v>46005</v>
      </c>
      <c r="C322" s="4">
        <v>2025</v>
      </c>
      <c r="D322" s="4">
        <v>12</v>
      </c>
      <c r="E322" s="4" t="s">
        <v>57</v>
      </c>
      <c r="F322" s="4" t="s">
        <v>5</v>
      </c>
      <c r="G322" s="4" t="s">
        <v>6</v>
      </c>
      <c r="H322" s="4" t="s">
        <v>136</v>
      </c>
      <c r="I322" s="4" t="s">
        <v>10</v>
      </c>
      <c r="J322" s="4" t="s">
        <v>373</v>
      </c>
      <c r="K322" s="4">
        <v>1</v>
      </c>
      <c r="L322" s="5">
        <v>138.04</v>
      </c>
      <c r="M322" s="5">
        <v>138.04</v>
      </c>
      <c r="N322" s="5">
        <v>92.1</v>
      </c>
      <c r="O322" s="5">
        <v>45.94</v>
      </c>
      <c r="P322" s="4">
        <f>--AND(OR(Dashboard!$A$10="All",C322=Dashboard!$A$10),OR(Dashboard!$A$14="All",F322=Dashboard!$A$14),OR(Dashboard!$A$18="All",G322=Dashboard!$A$18),OR(Dashboard!$A$22="All",I322=Dashboard!$A$22))</f>
        <v>1</v>
      </c>
    </row>
    <row r="323" spans="1:16" ht="15.75" customHeight="1">
      <c r="A323" s="4" t="s">
        <v>527</v>
      </c>
      <c r="B323" s="6">
        <v>45518</v>
      </c>
      <c r="C323" s="4">
        <v>2024</v>
      </c>
      <c r="D323" s="4">
        <v>8</v>
      </c>
      <c r="E323" s="4" t="s">
        <v>67</v>
      </c>
      <c r="F323" s="4" t="s">
        <v>8</v>
      </c>
      <c r="G323" s="4" t="s">
        <v>6</v>
      </c>
      <c r="H323" s="4" t="s">
        <v>54</v>
      </c>
      <c r="I323" s="4" t="s">
        <v>7</v>
      </c>
      <c r="J323" s="4" t="s">
        <v>528</v>
      </c>
      <c r="K323" s="4">
        <v>2</v>
      </c>
      <c r="L323" s="5">
        <v>169.82</v>
      </c>
      <c r="M323" s="5">
        <v>339.64</v>
      </c>
      <c r="N323" s="5">
        <v>231.27</v>
      </c>
      <c r="O323" s="5">
        <v>108.37</v>
      </c>
      <c r="P323" s="4">
        <f>--AND(OR(Dashboard!$A$10="All",C323=Dashboard!$A$10),OR(Dashboard!$A$14="All",F323=Dashboard!$A$14),OR(Dashboard!$A$18="All",G323=Dashboard!$A$18),OR(Dashboard!$A$22="All",I323=Dashboard!$A$22))</f>
        <v>1</v>
      </c>
    </row>
    <row r="324" spans="1:16" ht="15.75" customHeight="1">
      <c r="A324" s="4" t="s">
        <v>529</v>
      </c>
      <c r="B324" s="6">
        <v>45605</v>
      </c>
      <c r="C324" s="4">
        <v>2024</v>
      </c>
      <c r="D324" s="4">
        <v>11</v>
      </c>
      <c r="E324" s="4" t="s">
        <v>89</v>
      </c>
      <c r="F324" s="4" t="s">
        <v>5</v>
      </c>
      <c r="G324" s="4" t="s">
        <v>12</v>
      </c>
      <c r="H324" s="4" t="s">
        <v>92</v>
      </c>
      <c r="I324" s="4" t="s">
        <v>7</v>
      </c>
      <c r="J324" s="4" t="s">
        <v>270</v>
      </c>
      <c r="K324" s="4">
        <v>1</v>
      </c>
      <c r="L324" s="5">
        <v>296.52999999999997</v>
      </c>
      <c r="M324" s="5">
        <v>296.52999999999997</v>
      </c>
      <c r="N324" s="5">
        <v>170.7</v>
      </c>
      <c r="O324" s="5">
        <v>125.83</v>
      </c>
      <c r="P324" s="4">
        <f>--AND(OR(Dashboard!$A$10="All",C324=Dashboard!$A$10),OR(Dashboard!$A$14="All",F324=Dashboard!$A$14),OR(Dashboard!$A$18="All",G324=Dashboard!$A$18),OR(Dashboard!$A$22="All",I324=Dashboard!$A$22))</f>
        <v>1</v>
      </c>
    </row>
    <row r="325" spans="1:16" ht="15.75" customHeight="1">
      <c r="A325" s="4" t="s">
        <v>530</v>
      </c>
      <c r="B325" s="6">
        <v>45312</v>
      </c>
      <c r="C325" s="4">
        <v>2024</v>
      </c>
      <c r="D325" s="4">
        <v>1</v>
      </c>
      <c r="E325" s="4" t="s">
        <v>30</v>
      </c>
      <c r="F325" s="4" t="s">
        <v>5</v>
      </c>
      <c r="G325" s="4" t="s">
        <v>6</v>
      </c>
      <c r="H325" s="4" t="s">
        <v>54</v>
      </c>
      <c r="I325" s="4" t="s">
        <v>10</v>
      </c>
      <c r="J325" s="4" t="s">
        <v>146</v>
      </c>
      <c r="K325" s="4">
        <v>8</v>
      </c>
      <c r="L325" s="5">
        <v>210.5</v>
      </c>
      <c r="M325" s="5">
        <v>1684</v>
      </c>
      <c r="N325" s="5">
        <v>1099.51</v>
      </c>
      <c r="O325" s="5">
        <v>584.49</v>
      </c>
      <c r="P325" s="4">
        <f>--AND(OR(Dashboard!$A$10="All",C325=Dashboard!$A$10),OR(Dashboard!$A$14="All",F325=Dashboard!$A$14),OR(Dashboard!$A$18="All",G325=Dashboard!$A$18),OR(Dashboard!$A$22="All",I325=Dashboard!$A$22))</f>
        <v>1</v>
      </c>
    </row>
    <row r="326" spans="1:16" ht="15.75" customHeight="1">
      <c r="A326" s="4" t="s">
        <v>531</v>
      </c>
      <c r="B326" s="6">
        <v>45971</v>
      </c>
      <c r="C326" s="4">
        <v>2025</v>
      </c>
      <c r="D326" s="4">
        <v>11</v>
      </c>
      <c r="E326" s="4" t="s">
        <v>89</v>
      </c>
      <c r="F326" s="4" t="s">
        <v>5</v>
      </c>
      <c r="G326" s="4" t="s">
        <v>12</v>
      </c>
      <c r="H326" s="4" t="s">
        <v>124</v>
      </c>
      <c r="I326" s="4" t="s">
        <v>7</v>
      </c>
      <c r="J326" s="4" t="s">
        <v>532</v>
      </c>
      <c r="K326" s="4">
        <v>1</v>
      </c>
      <c r="L326" s="5">
        <v>251.73</v>
      </c>
      <c r="M326" s="5">
        <v>251.73</v>
      </c>
      <c r="N326" s="5">
        <v>146.59</v>
      </c>
      <c r="O326" s="5">
        <v>105.14</v>
      </c>
      <c r="P326" s="4">
        <f>--AND(OR(Dashboard!$A$10="All",C326=Dashboard!$A$10),OR(Dashboard!$A$14="All",F326=Dashboard!$A$14),OR(Dashboard!$A$18="All",G326=Dashboard!$A$18),OR(Dashboard!$A$22="All",I326=Dashboard!$A$22))</f>
        <v>1</v>
      </c>
    </row>
    <row r="327" spans="1:16" ht="15.75" customHeight="1">
      <c r="A327" s="4" t="s">
        <v>533</v>
      </c>
      <c r="B327" s="6">
        <v>45875</v>
      </c>
      <c r="C327" s="4">
        <v>2025</v>
      </c>
      <c r="D327" s="4">
        <v>8</v>
      </c>
      <c r="E327" s="4" t="s">
        <v>67</v>
      </c>
      <c r="F327" s="4" t="s">
        <v>5</v>
      </c>
      <c r="G327" s="4" t="s">
        <v>12</v>
      </c>
      <c r="H327" s="4" t="s">
        <v>92</v>
      </c>
      <c r="I327" s="4" t="s">
        <v>7</v>
      </c>
      <c r="J327" s="4" t="s">
        <v>199</v>
      </c>
      <c r="K327" s="4">
        <v>11</v>
      </c>
      <c r="L327" s="5">
        <v>283.63</v>
      </c>
      <c r="M327" s="5">
        <v>3119.93</v>
      </c>
      <c r="N327" s="5">
        <v>1894.38</v>
      </c>
      <c r="O327" s="5">
        <v>1225.55</v>
      </c>
      <c r="P327" s="4">
        <f>--AND(OR(Dashboard!$A$10="All",C327=Dashboard!$A$10),OR(Dashboard!$A$14="All",F327=Dashboard!$A$14),OR(Dashboard!$A$18="All",G327=Dashboard!$A$18),OR(Dashboard!$A$22="All",I327=Dashboard!$A$22))</f>
        <v>1</v>
      </c>
    </row>
    <row r="328" spans="1:16" ht="15.75" customHeight="1">
      <c r="A328" s="4" t="s">
        <v>534</v>
      </c>
      <c r="B328" s="6">
        <v>45908</v>
      </c>
      <c r="C328" s="4">
        <v>2025</v>
      </c>
      <c r="D328" s="4">
        <v>9</v>
      </c>
      <c r="E328" s="4" t="s">
        <v>79</v>
      </c>
      <c r="F328" s="4" t="s">
        <v>8</v>
      </c>
      <c r="G328" s="4" t="s">
        <v>12</v>
      </c>
      <c r="H328" s="4" t="s">
        <v>58</v>
      </c>
      <c r="I328" s="4" t="s">
        <v>7</v>
      </c>
      <c r="J328" s="4" t="s">
        <v>144</v>
      </c>
      <c r="K328" s="4">
        <v>2</v>
      </c>
      <c r="L328" s="5">
        <v>176.66</v>
      </c>
      <c r="M328" s="5">
        <v>353.32</v>
      </c>
      <c r="N328" s="5">
        <v>207.05</v>
      </c>
      <c r="O328" s="5">
        <v>146.27000000000001</v>
      </c>
      <c r="P328" s="4">
        <f>--AND(OR(Dashboard!$A$10="All",C328=Dashboard!$A$10),OR(Dashboard!$A$14="All",F328=Dashboard!$A$14),OR(Dashboard!$A$18="All",G328=Dashboard!$A$18),OR(Dashboard!$A$22="All",I328=Dashboard!$A$22))</f>
        <v>1</v>
      </c>
    </row>
    <row r="329" spans="1:16" ht="15.75" customHeight="1">
      <c r="A329" s="4" t="s">
        <v>535</v>
      </c>
      <c r="B329" s="6">
        <v>45893</v>
      </c>
      <c r="C329" s="4">
        <v>2025</v>
      </c>
      <c r="D329" s="4">
        <v>8</v>
      </c>
      <c r="E329" s="4" t="s">
        <v>67</v>
      </c>
      <c r="F329" s="4" t="s">
        <v>5</v>
      </c>
      <c r="G329" s="4" t="s">
        <v>9</v>
      </c>
      <c r="H329" s="4" t="s">
        <v>71</v>
      </c>
      <c r="I329" s="4" t="s">
        <v>10</v>
      </c>
      <c r="J329" s="4" t="s">
        <v>177</v>
      </c>
      <c r="K329" s="4">
        <v>11</v>
      </c>
      <c r="L329" s="5">
        <v>41.29</v>
      </c>
      <c r="M329" s="5">
        <v>454.19</v>
      </c>
      <c r="N329" s="5">
        <v>238.36</v>
      </c>
      <c r="O329" s="5">
        <v>215.83</v>
      </c>
      <c r="P329" s="4">
        <f>--AND(OR(Dashboard!$A$10="All",C329=Dashboard!$A$10),OR(Dashboard!$A$14="All",F329=Dashboard!$A$14),OR(Dashboard!$A$18="All",G329=Dashboard!$A$18),OR(Dashboard!$A$22="All",I329=Dashboard!$A$22))</f>
        <v>1</v>
      </c>
    </row>
    <row r="330" spans="1:16" ht="15.75" customHeight="1">
      <c r="A330" s="4" t="s">
        <v>536</v>
      </c>
      <c r="B330" s="6">
        <v>45900</v>
      </c>
      <c r="C330" s="4">
        <v>2025</v>
      </c>
      <c r="D330" s="4">
        <v>8</v>
      </c>
      <c r="E330" s="4" t="s">
        <v>67</v>
      </c>
      <c r="F330" s="4" t="s">
        <v>5</v>
      </c>
      <c r="G330" s="4" t="s">
        <v>9</v>
      </c>
      <c r="H330" s="4" t="s">
        <v>35</v>
      </c>
      <c r="I330" s="4" t="s">
        <v>7</v>
      </c>
      <c r="J330" s="4" t="s">
        <v>207</v>
      </c>
      <c r="K330" s="4">
        <v>2</v>
      </c>
      <c r="L330" s="5">
        <v>31.95</v>
      </c>
      <c r="M330" s="5">
        <v>63.9</v>
      </c>
      <c r="N330" s="5">
        <v>33.130000000000003</v>
      </c>
      <c r="O330" s="5">
        <v>30.77</v>
      </c>
      <c r="P330" s="4">
        <f>--AND(OR(Dashboard!$A$10="All",C330=Dashboard!$A$10),OR(Dashboard!$A$14="All",F330=Dashboard!$A$14),OR(Dashboard!$A$18="All",G330=Dashboard!$A$18),OR(Dashboard!$A$22="All",I330=Dashboard!$A$22))</f>
        <v>1</v>
      </c>
    </row>
    <row r="331" spans="1:16" ht="15.75" customHeight="1">
      <c r="A331" s="4" t="s">
        <v>537</v>
      </c>
      <c r="B331" s="6">
        <v>45771</v>
      </c>
      <c r="C331" s="4">
        <v>2025</v>
      </c>
      <c r="D331" s="4">
        <v>4</v>
      </c>
      <c r="E331" s="4" t="s">
        <v>106</v>
      </c>
      <c r="F331" s="4" t="s">
        <v>5</v>
      </c>
      <c r="G331" s="4" t="s">
        <v>12</v>
      </c>
      <c r="H331" s="4" t="s">
        <v>127</v>
      </c>
      <c r="I331" s="4" t="s">
        <v>7</v>
      </c>
      <c r="J331" s="4" t="s">
        <v>379</v>
      </c>
      <c r="K331" s="4">
        <v>1</v>
      </c>
      <c r="L331" s="5">
        <v>130.16</v>
      </c>
      <c r="M331" s="5">
        <v>130.16</v>
      </c>
      <c r="N331" s="5">
        <v>76.489999999999995</v>
      </c>
      <c r="O331" s="5">
        <v>53.67</v>
      </c>
      <c r="P331" s="4">
        <f>--AND(OR(Dashboard!$A$10="All",C331=Dashboard!$A$10),OR(Dashboard!$A$14="All",F331=Dashboard!$A$14),OR(Dashboard!$A$18="All",G331=Dashboard!$A$18),OR(Dashboard!$A$22="All",I331=Dashboard!$A$22))</f>
        <v>1</v>
      </c>
    </row>
    <row r="332" spans="1:16" ht="15.75" customHeight="1">
      <c r="A332" s="4" t="s">
        <v>538</v>
      </c>
      <c r="B332" s="6">
        <v>45666</v>
      </c>
      <c r="C332" s="4">
        <v>2025</v>
      </c>
      <c r="D332" s="4">
        <v>1</v>
      </c>
      <c r="E332" s="4" t="s">
        <v>30</v>
      </c>
      <c r="F332" s="4" t="s">
        <v>11</v>
      </c>
      <c r="G332" s="4" t="s">
        <v>9</v>
      </c>
      <c r="H332" s="4" t="s">
        <v>142</v>
      </c>
      <c r="I332" s="4" t="s">
        <v>7</v>
      </c>
      <c r="J332" s="4" t="s">
        <v>379</v>
      </c>
      <c r="K332" s="4">
        <v>4</v>
      </c>
      <c r="L332" s="5">
        <v>65.44</v>
      </c>
      <c r="M332" s="5">
        <v>261.76</v>
      </c>
      <c r="N332" s="5">
        <v>126.59</v>
      </c>
      <c r="O332" s="5">
        <v>135.16999999999999</v>
      </c>
      <c r="P332" s="4">
        <f>--AND(OR(Dashboard!$A$10="All",C332=Dashboard!$A$10),OR(Dashboard!$A$14="All",F332=Dashboard!$A$14),OR(Dashboard!$A$18="All",G332=Dashboard!$A$18),OR(Dashboard!$A$22="All",I332=Dashboard!$A$22))</f>
        <v>1</v>
      </c>
    </row>
    <row r="333" spans="1:16" ht="15.75" customHeight="1">
      <c r="A333" s="4" t="s">
        <v>539</v>
      </c>
      <c r="B333" s="6">
        <v>45507</v>
      </c>
      <c r="C333" s="4">
        <v>2024</v>
      </c>
      <c r="D333" s="4">
        <v>8</v>
      </c>
      <c r="E333" s="4" t="s">
        <v>67</v>
      </c>
      <c r="F333" s="4" t="s">
        <v>8</v>
      </c>
      <c r="G333" s="4" t="s">
        <v>12</v>
      </c>
      <c r="H333" s="4" t="s">
        <v>58</v>
      </c>
      <c r="I333" s="4" t="s">
        <v>7</v>
      </c>
      <c r="J333" s="4" t="s">
        <v>166</v>
      </c>
      <c r="K333" s="4">
        <v>1</v>
      </c>
      <c r="L333" s="5">
        <v>253.46</v>
      </c>
      <c r="M333" s="5">
        <v>253.46</v>
      </c>
      <c r="N333" s="5">
        <v>149.22</v>
      </c>
      <c r="O333" s="5">
        <v>104.24</v>
      </c>
      <c r="P333" s="4">
        <f>--AND(OR(Dashboard!$A$10="All",C333=Dashboard!$A$10),OR(Dashboard!$A$14="All",F333=Dashboard!$A$14),OR(Dashboard!$A$18="All",G333=Dashboard!$A$18),OR(Dashboard!$A$22="All",I333=Dashboard!$A$22))</f>
        <v>1</v>
      </c>
    </row>
    <row r="334" spans="1:16" ht="15.75" customHeight="1">
      <c r="A334" s="4" t="s">
        <v>540</v>
      </c>
      <c r="B334" s="6">
        <v>45935</v>
      </c>
      <c r="C334" s="4">
        <v>2025</v>
      </c>
      <c r="D334" s="4">
        <v>10</v>
      </c>
      <c r="E334" s="4" t="s">
        <v>120</v>
      </c>
      <c r="F334" s="4" t="s">
        <v>8</v>
      </c>
      <c r="G334" s="4" t="s">
        <v>6</v>
      </c>
      <c r="H334" s="4" t="s">
        <v>98</v>
      </c>
      <c r="I334" s="4" t="s">
        <v>13</v>
      </c>
      <c r="J334" s="4" t="s">
        <v>226</v>
      </c>
      <c r="K334" s="4">
        <v>8</v>
      </c>
      <c r="L334" s="5">
        <v>211.98</v>
      </c>
      <c r="M334" s="5">
        <v>1695.84</v>
      </c>
      <c r="N334" s="5">
        <v>1135.7</v>
      </c>
      <c r="O334" s="5">
        <v>560.14</v>
      </c>
      <c r="P334" s="4">
        <f>--AND(OR(Dashboard!$A$10="All",C334=Dashboard!$A$10),OR(Dashboard!$A$14="All",F334=Dashboard!$A$14),OR(Dashboard!$A$18="All",G334=Dashboard!$A$18),OR(Dashboard!$A$22="All",I334=Dashboard!$A$22))</f>
        <v>1</v>
      </c>
    </row>
    <row r="335" spans="1:16" ht="15.75" customHeight="1">
      <c r="A335" s="4" t="s">
        <v>541</v>
      </c>
      <c r="B335" s="6">
        <v>45733</v>
      </c>
      <c r="C335" s="4">
        <v>2025</v>
      </c>
      <c r="D335" s="4">
        <v>3</v>
      </c>
      <c r="E335" s="4" t="s">
        <v>100</v>
      </c>
      <c r="F335" s="4" t="s">
        <v>5</v>
      </c>
      <c r="G335" s="4" t="s">
        <v>12</v>
      </c>
      <c r="H335" s="4" t="s">
        <v>127</v>
      </c>
      <c r="I335" s="4" t="s">
        <v>13</v>
      </c>
      <c r="J335" s="4" t="s">
        <v>99</v>
      </c>
      <c r="K335" s="4">
        <v>1</v>
      </c>
      <c r="L335" s="5">
        <v>251.23</v>
      </c>
      <c r="M335" s="5">
        <v>251.23</v>
      </c>
      <c r="N335" s="5">
        <v>154.52000000000001</v>
      </c>
      <c r="O335" s="5">
        <v>96.71</v>
      </c>
      <c r="P335" s="4">
        <f>--AND(OR(Dashboard!$A$10="All",C335=Dashboard!$A$10),OR(Dashboard!$A$14="All",F335=Dashboard!$A$14),OR(Dashboard!$A$18="All",G335=Dashboard!$A$18),OR(Dashboard!$A$22="All",I335=Dashboard!$A$22))</f>
        <v>1</v>
      </c>
    </row>
    <row r="336" spans="1:16" ht="15.75" customHeight="1">
      <c r="A336" s="4" t="s">
        <v>542</v>
      </c>
      <c r="B336" s="6">
        <v>45546</v>
      </c>
      <c r="C336" s="4">
        <v>2024</v>
      </c>
      <c r="D336" s="4">
        <v>9</v>
      </c>
      <c r="E336" s="4" t="s">
        <v>79</v>
      </c>
      <c r="F336" s="4" t="s">
        <v>8</v>
      </c>
      <c r="G336" s="4" t="s">
        <v>12</v>
      </c>
      <c r="H336" s="4" t="s">
        <v>86</v>
      </c>
      <c r="I336" s="4" t="s">
        <v>7</v>
      </c>
      <c r="J336" s="4" t="s">
        <v>131</v>
      </c>
      <c r="K336" s="4">
        <v>2</v>
      </c>
      <c r="L336" s="5">
        <v>267.07</v>
      </c>
      <c r="M336" s="5">
        <v>534.14</v>
      </c>
      <c r="N336" s="5">
        <v>319.56</v>
      </c>
      <c r="O336" s="5">
        <v>214.58</v>
      </c>
      <c r="P336" s="4">
        <f>--AND(OR(Dashboard!$A$10="All",C336=Dashboard!$A$10),OR(Dashboard!$A$14="All",F336=Dashboard!$A$14),OR(Dashboard!$A$18="All",G336=Dashboard!$A$18),OR(Dashboard!$A$22="All",I336=Dashboard!$A$22))</f>
        <v>1</v>
      </c>
    </row>
    <row r="337" spans="1:16" ht="15.75" customHeight="1">
      <c r="A337" s="4" t="s">
        <v>543</v>
      </c>
      <c r="B337" s="6">
        <v>45543</v>
      </c>
      <c r="C337" s="4">
        <v>2024</v>
      </c>
      <c r="D337" s="4">
        <v>9</v>
      </c>
      <c r="E337" s="4" t="s">
        <v>79</v>
      </c>
      <c r="F337" s="4" t="s">
        <v>5</v>
      </c>
      <c r="G337" s="4" t="s">
        <v>12</v>
      </c>
      <c r="H337" s="4" t="s">
        <v>86</v>
      </c>
      <c r="I337" s="4" t="s">
        <v>10</v>
      </c>
      <c r="J337" s="4" t="s">
        <v>362</v>
      </c>
      <c r="K337" s="4">
        <v>2</v>
      </c>
      <c r="L337" s="5">
        <v>172.48</v>
      </c>
      <c r="M337" s="5">
        <v>344.96</v>
      </c>
      <c r="N337" s="5">
        <v>200.4</v>
      </c>
      <c r="O337" s="5">
        <v>144.56</v>
      </c>
      <c r="P337" s="4">
        <f>--AND(OR(Dashboard!$A$10="All",C337=Dashboard!$A$10),OR(Dashboard!$A$14="All",F337=Dashboard!$A$14),OR(Dashboard!$A$18="All",G337=Dashboard!$A$18),OR(Dashboard!$A$22="All",I337=Dashboard!$A$22))</f>
        <v>1</v>
      </c>
    </row>
    <row r="338" spans="1:16" ht="15.75" customHeight="1">
      <c r="A338" s="4" t="s">
        <v>544</v>
      </c>
      <c r="B338" s="6">
        <v>45488</v>
      </c>
      <c r="C338" s="4">
        <v>2024</v>
      </c>
      <c r="D338" s="4">
        <v>7</v>
      </c>
      <c r="E338" s="4" t="s">
        <v>63</v>
      </c>
      <c r="F338" s="4" t="s">
        <v>11</v>
      </c>
      <c r="G338" s="4" t="s">
        <v>9</v>
      </c>
      <c r="H338" s="4" t="s">
        <v>35</v>
      </c>
      <c r="I338" s="4" t="s">
        <v>13</v>
      </c>
      <c r="J338" s="4" t="s">
        <v>207</v>
      </c>
      <c r="K338" s="4">
        <v>3</v>
      </c>
      <c r="L338" s="5">
        <v>51.02</v>
      </c>
      <c r="M338" s="5">
        <v>153.06</v>
      </c>
      <c r="N338" s="5">
        <v>75.849999999999994</v>
      </c>
      <c r="O338" s="5">
        <v>77.209999999999994</v>
      </c>
      <c r="P338" s="4">
        <f>--AND(OR(Dashboard!$A$10="All",C338=Dashboard!$A$10),OR(Dashboard!$A$14="All",F338=Dashboard!$A$14),OR(Dashboard!$A$18="All",G338=Dashboard!$A$18),OR(Dashboard!$A$22="All",I338=Dashboard!$A$22))</f>
        <v>1</v>
      </c>
    </row>
    <row r="339" spans="1:16" ht="15.75" customHeight="1">
      <c r="A339" s="4" t="s">
        <v>545</v>
      </c>
      <c r="B339" s="6">
        <v>45687</v>
      </c>
      <c r="C339" s="4">
        <v>2025</v>
      </c>
      <c r="D339" s="4">
        <v>1</v>
      </c>
      <c r="E339" s="4" t="s">
        <v>30</v>
      </c>
      <c r="F339" s="4" t="s">
        <v>5</v>
      </c>
      <c r="G339" s="4" t="s">
        <v>9</v>
      </c>
      <c r="H339" s="4" t="s">
        <v>110</v>
      </c>
      <c r="I339" s="4" t="s">
        <v>7</v>
      </c>
      <c r="J339" s="4" t="s">
        <v>159</v>
      </c>
      <c r="K339" s="4">
        <v>3</v>
      </c>
      <c r="L339" s="5">
        <v>46.03</v>
      </c>
      <c r="M339" s="5">
        <v>138.09</v>
      </c>
      <c r="N339" s="5">
        <v>70.819999999999993</v>
      </c>
      <c r="O339" s="5">
        <v>67.27</v>
      </c>
      <c r="P339" s="4">
        <f>--AND(OR(Dashboard!$A$10="All",C339=Dashboard!$A$10),OR(Dashboard!$A$14="All",F339=Dashboard!$A$14),OR(Dashboard!$A$18="All",G339=Dashboard!$A$18),OR(Dashboard!$A$22="All",I339=Dashboard!$A$22))</f>
        <v>1</v>
      </c>
    </row>
    <row r="340" spans="1:16" ht="15.75" customHeight="1">
      <c r="A340" s="4" t="s">
        <v>546</v>
      </c>
      <c r="B340" s="6">
        <v>45727</v>
      </c>
      <c r="C340" s="4">
        <v>2025</v>
      </c>
      <c r="D340" s="4">
        <v>3</v>
      </c>
      <c r="E340" s="4" t="s">
        <v>100</v>
      </c>
      <c r="F340" s="4" t="s">
        <v>5</v>
      </c>
      <c r="G340" s="4" t="s">
        <v>12</v>
      </c>
      <c r="H340" s="4" t="s">
        <v>92</v>
      </c>
      <c r="I340" s="4" t="s">
        <v>10</v>
      </c>
      <c r="J340" s="4" t="s">
        <v>292</v>
      </c>
      <c r="K340" s="4">
        <v>8</v>
      </c>
      <c r="L340" s="5">
        <v>210.95</v>
      </c>
      <c r="M340" s="5">
        <v>1687.6</v>
      </c>
      <c r="N340" s="5">
        <v>1042.1099999999999</v>
      </c>
      <c r="O340" s="5">
        <v>645.49</v>
      </c>
      <c r="P340" s="4">
        <f>--AND(OR(Dashboard!$A$10="All",C340=Dashboard!$A$10),OR(Dashboard!$A$14="All",F340=Dashboard!$A$14),OR(Dashboard!$A$18="All",G340=Dashboard!$A$18),OR(Dashboard!$A$22="All",I340=Dashboard!$A$22))</f>
        <v>1</v>
      </c>
    </row>
    <row r="341" spans="1:16" ht="15.75" customHeight="1">
      <c r="A341" s="4" t="s">
        <v>547</v>
      </c>
      <c r="B341" s="6">
        <v>45748</v>
      </c>
      <c r="C341" s="4">
        <v>2025</v>
      </c>
      <c r="D341" s="4">
        <v>4</v>
      </c>
      <c r="E341" s="4" t="s">
        <v>106</v>
      </c>
      <c r="F341" s="4" t="s">
        <v>5</v>
      </c>
      <c r="G341" s="4" t="s">
        <v>12</v>
      </c>
      <c r="H341" s="4" t="s">
        <v>92</v>
      </c>
      <c r="I341" s="4" t="s">
        <v>10</v>
      </c>
      <c r="J341" s="4" t="s">
        <v>118</v>
      </c>
      <c r="K341" s="4">
        <v>5</v>
      </c>
      <c r="L341" s="5">
        <v>269.95999999999998</v>
      </c>
      <c r="M341" s="5">
        <v>1349.8</v>
      </c>
      <c r="N341" s="5">
        <v>801.03</v>
      </c>
      <c r="O341" s="5">
        <v>548.77</v>
      </c>
      <c r="P341" s="4">
        <f>--AND(OR(Dashboard!$A$10="All",C341=Dashboard!$A$10),OR(Dashboard!$A$14="All",F341=Dashboard!$A$14),OR(Dashboard!$A$18="All",G341=Dashboard!$A$18),OR(Dashboard!$A$22="All",I341=Dashboard!$A$22))</f>
        <v>1</v>
      </c>
    </row>
    <row r="342" spans="1:16" ht="15.75" customHeight="1">
      <c r="A342" s="4" t="s">
        <v>548</v>
      </c>
      <c r="B342" s="6">
        <v>45735</v>
      </c>
      <c r="C342" s="4">
        <v>2025</v>
      </c>
      <c r="D342" s="4">
        <v>3</v>
      </c>
      <c r="E342" s="4" t="s">
        <v>100</v>
      </c>
      <c r="F342" s="4" t="s">
        <v>11</v>
      </c>
      <c r="G342" s="4" t="s">
        <v>12</v>
      </c>
      <c r="H342" s="4" t="s">
        <v>92</v>
      </c>
      <c r="I342" s="4" t="s">
        <v>10</v>
      </c>
      <c r="J342" s="4" t="s">
        <v>104</v>
      </c>
      <c r="K342" s="4">
        <v>3</v>
      </c>
      <c r="L342" s="5">
        <v>226.47</v>
      </c>
      <c r="M342" s="5">
        <v>679.41</v>
      </c>
      <c r="N342" s="5">
        <v>390.53</v>
      </c>
      <c r="O342" s="5">
        <v>288.88</v>
      </c>
      <c r="P342" s="4">
        <f>--AND(OR(Dashboard!$A$10="All",C342=Dashboard!$A$10),OR(Dashboard!$A$14="All",F342=Dashboard!$A$14),OR(Dashboard!$A$18="All",G342=Dashboard!$A$18),OR(Dashboard!$A$22="All",I342=Dashboard!$A$22))</f>
        <v>1</v>
      </c>
    </row>
    <row r="343" spans="1:16" ht="15.75" customHeight="1">
      <c r="A343" s="4" t="s">
        <v>549</v>
      </c>
      <c r="B343" s="6">
        <v>46007</v>
      </c>
      <c r="C343" s="4">
        <v>2025</v>
      </c>
      <c r="D343" s="4">
        <v>12</v>
      </c>
      <c r="E343" s="4" t="s">
        <v>57</v>
      </c>
      <c r="F343" s="4" t="s">
        <v>5</v>
      </c>
      <c r="G343" s="4" t="s">
        <v>6</v>
      </c>
      <c r="H343" s="4" t="s">
        <v>54</v>
      </c>
      <c r="I343" s="4" t="s">
        <v>7</v>
      </c>
      <c r="J343" s="4" t="s">
        <v>299</v>
      </c>
      <c r="K343" s="4">
        <v>2</v>
      </c>
      <c r="L343" s="5">
        <v>195.64</v>
      </c>
      <c r="M343" s="5">
        <v>391.28</v>
      </c>
      <c r="N343" s="5">
        <v>270.29000000000002</v>
      </c>
      <c r="O343" s="5">
        <v>120.99</v>
      </c>
      <c r="P343" s="4">
        <f>--AND(OR(Dashboard!$A$10="All",C343=Dashboard!$A$10),OR(Dashboard!$A$14="All",F343=Dashboard!$A$14),OR(Dashboard!$A$18="All",G343=Dashboard!$A$18),OR(Dashboard!$A$22="All",I343=Dashboard!$A$22))</f>
        <v>1</v>
      </c>
    </row>
    <row r="344" spans="1:16" ht="15.75" customHeight="1">
      <c r="A344" s="4" t="s">
        <v>550</v>
      </c>
      <c r="B344" s="6">
        <v>45516</v>
      </c>
      <c r="C344" s="4">
        <v>2024</v>
      </c>
      <c r="D344" s="4">
        <v>8</v>
      </c>
      <c r="E344" s="4" t="s">
        <v>67</v>
      </c>
      <c r="F344" s="4" t="s">
        <v>5</v>
      </c>
      <c r="G344" s="4" t="s">
        <v>6</v>
      </c>
      <c r="H344" s="4" t="s">
        <v>98</v>
      </c>
      <c r="I344" s="4" t="s">
        <v>13</v>
      </c>
      <c r="J344" s="4" t="s">
        <v>195</v>
      </c>
      <c r="K344" s="4">
        <v>4</v>
      </c>
      <c r="L344" s="5">
        <v>133.24</v>
      </c>
      <c r="M344" s="5">
        <v>532.96</v>
      </c>
      <c r="N344" s="5">
        <v>338.8</v>
      </c>
      <c r="O344" s="5">
        <v>194.16</v>
      </c>
      <c r="P344" s="4">
        <f>--AND(OR(Dashboard!$A$10="All",C344=Dashboard!$A$10),OR(Dashboard!$A$14="All",F344=Dashboard!$A$14),OR(Dashboard!$A$18="All",G344=Dashboard!$A$18),OR(Dashboard!$A$22="All",I344=Dashboard!$A$22))</f>
        <v>1</v>
      </c>
    </row>
    <row r="345" spans="1:16" ht="15.75" customHeight="1">
      <c r="A345" s="4" t="s">
        <v>551</v>
      </c>
      <c r="B345" s="6">
        <v>45409</v>
      </c>
      <c r="C345" s="4">
        <v>2024</v>
      </c>
      <c r="D345" s="4">
        <v>4</v>
      </c>
      <c r="E345" s="4" t="s">
        <v>106</v>
      </c>
      <c r="F345" s="4" t="s">
        <v>5</v>
      </c>
      <c r="G345" s="4" t="s">
        <v>6</v>
      </c>
      <c r="H345" s="4" t="s">
        <v>114</v>
      </c>
      <c r="I345" s="4" t="s">
        <v>10</v>
      </c>
      <c r="J345" s="4" t="s">
        <v>128</v>
      </c>
      <c r="K345" s="4">
        <v>3</v>
      </c>
      <c r="L345" s="5">
        <v>98.39</v>
      </c>
      <c r="M345" s="5">
        <v>295.17</v>
      </c>
      <c r="N345" s="5">
        <v>190.1</v>
      </c>
      <c r="O345" s="5">
        <v>105.07</v>
      </c>
      <c r="P345" s="4">
        <f>--AND(OR(Dashboard!$A$10="All",C345=Dashboard!$A$10),OR(Dashboard!$A$14="All",F345=Dashboard!$A$14),OR(Dashboard!$A$18="All",G345=Dashboard!$A$18),OR(Dashboard!$A$22="All",I345=Dashboard!$A$22))</f>
        <v>1</v>
      </c>
    </row>
    <row r="346" spans="1:16" ht="15.75" customHeight="1">
      <c r="A346" s="4" t="s">
        <v>552</v>
      </c>
      <c r="B346" s="6">
        <v>45470</v>
      </c>
      <c r="C346" s="4">
        <v>2024</v>
      </c>
      <c r="D346" s="4">
        <v>6</v>
      </c>
      <c r="E346" s="4" t="s">
        <v>34</v>
      </c>
      <c r="F346" s="4" t="s">
        <v>5</v>
      </c>
      <c r="G346" s="4" t="s">
        <v>12</v>
      </c>
      <c r="H346" s="4" t="s">
        <v>86</v>
      </c>
      <c r="I346" s="4" t="s">
        <v>10</v>
      </c>
      <c r="J346" s="4" t="s">
        <v>37</v>
      </c>
      <c r="K346" s="4">
        <v>1</v>
      </c>
      <c r="L346" s="5">
        <v>162.63999999999999</v>
      </c>
      <c r="M346" s="5">
        <v>162.63999999999999</v>
      </c>
      <c r="N346" s="5">
        <v>96.69</v>
      </c>
      <c r="O346" s="5">
        <v>65.95</v>
      </c>
      <c r="P346" s="4">
        <f>--AND(OR(Dashboard!$A$10="All",C346=Dashboard!$A$10),OR(Dashboard!$A$14="All",F346=Dashboard!$A$14),OR(Dashboard!$A$18="All",G346=Dashboard!$A$18),OR(Dashboard!$A$22="All",I346=Dashboard!$A$22))</f>
        <v>1</v>
      </c>
    </row>
    <row r="347" spans="1:16" ht="15.75" customHeight="1">
      <c r="A347" s="4" t="s">
        <v>553</v>
      </c>
      <c r="B347" s="6">
        <v>45453</v>
      </c>
      <c r="C347" s="4">
        <v>2024</v>
      </c>
      <c r="D347" s="4">
        <v>6</v>
      </c>
      <c r="E347" s="4" t="s">
        <v>34</v>
      </c>
      <c r="F347" s="4" t="s">
        <v>5</v>
      </c>
      <c r="G347" s="4" t="s">
        <v>9</v>
      </c>
      <c r="H347" s="4" t="s">
        <v>110</v>
      </c>
      <c r="I347" s="4" t="s">
        <v>7</v>
      </c>
      <c r="J347" s="4" t="s">
        <v>118</v>
      </c>
      <c r="K347" s="4">
        <v>10</v>
      </c>
      <c r="L347" s="5">
        <v>51.27</v>
      </c>
      <c r="M347" s="5">
        <v>512.70000000000005</v>
      </c>
      <c r="N347" s="5">
        <v>250.44</v>
      </c>
      <c r="O347" s="5">
        <v>262.26</v>
      </c>
      <c r="P347" s="4">
        <f>--AND(OR(Dashboard!$A$10="All",C347=Dashboard!$A$10),OR(Dashboard!$A$14="All",F347=Dashboard!$A$14),OR(Dashboard!$A$18="All",G347=Dashboard!$A$18),OR(Dashboard!$A$22="All",I347=Dashboard!$A$22))</f>
        <v>1</v>
      </c>
    </row>
    <row r="348" spans="1:16" ht="15.75" customHeight="1">
      <c r="A348" s="4" t="s">
        <v>554</v>
      </c>
      <c r="B348" s="6">
        <v>45792</v>
      </c>
      <c r="C348" s="4">
        <v>2025</v>
      </c>
      <c r="D348" s="4">
        <v>5</v>
      </c>
      <c r="E348" s="4" t="s">
        <v>108</v>
      </c>
      <c r="F348" s="4" t="s">
        <v>5</v>
      </c>
      <c r="G348" s="4" t="s">
        <v>12</v>
      </c>
      <c r="H348" s="4" t="s">
        <v>127</v>
      </c>
      <c r="I348" s="4" t="s">
        <v>7</v>
      </c>
      <c r="J348" s="4" t="s">
        <v>193</v>
      </c>
      <c r="K348" s="4">
        <v>3</v>
      </c>
      <c r="L348" s="5">
        <v>117.81</v>
      </c>
      <c r="M348" s="5">
        <v>353.43</v>
      </c>
      <c r="N348" s="5">
        <v>207.15</v>
      </c>
      <c r="O348" s="5">
        <v>146.28</v>
      </c>
      <c r="P348" s="4">
        <f>--AND(OR(Dashboard!$A$10="All",C348=Dashboard!$A$10),OR(Dashboard!$A$14="All",F348=Dashboard!$A$14),OR(Dashboard!$A$18="All",G348=Dashboard!$A$18),OR(Dashboard!$A$22="All",I348=Dashboard!$A$22))</f>
        <v>1</v>
      </c>
    </row>
    <row r="349" spans="1:16" ht="15.75" customHeight="1">
      <c r="A349" s="4" t="s">
        <v>555</v>
      </c>
      <c r="B349" s="6">
        <v>45814</v>
      </c>
      <c r="C349" s="4">
        <v>2025</v>
      </c>
      <c r="D349" s="4">
        <v>6</v>
      </c>
      <c r="E349" s="4" t="s">
        <v>34</v>
      </c>
      <c r="F349" s="4" t="s">
        <v>5</v>
      </c>
      <c r="G349" s="4" t="s">
        <v>12</v>
      </c>
      <c r="H349" s="4" t="s">
        <v>58</v>
      </c>
      <c r="I349" s="4" t="s">
        <v>10</v>
      </c>
      <c r="J349" s="4" t="s">
        <v>460</v>
      </c>
      <c r="K349" s="4">
        <v>1</v>
      </c>
      <c r="L349" s="5">
        <v>148.47999999999999</v>
      </c>
      <c r="M349" s="5">
        <v>148.47999999999999</v>
      </c>
      <c r="N349" s="5">
        <v>87.17</v>
      </c>
      <c r="O349" s="5">
        <v>61.31</v>
      </c>
      <c r="P349" s="4">
        <f>--AND(OR(Dashboard!$A$10="All",C349=Dashboard!$A$10),OR(Dashboard!$A$14="All",F349=Dashboard!$A$14),OR(Dashboard!$A$18="All",G349=Dashboard!$A$18),OR(Dashboard!$A$22="All",I349=Dashboard!$A$22))</f>
        <v>1</v>
      </c>
    </row>
    <row r="350" spans="1:16" ht="15.75" customHeight="1">
      <c r="A350" s="4" t="s">
        <v>556</v>
      </c>
      <c r="B350" s="6">
        <v>45654</v>
      </c>
      <c r="C350" s="4">
        <v>2024</v>
      </c>
      <c r="D350" s="4">
        <v>12</v>
      </c>
      <c r="E350" s="4" t="s">
        <v>57</v>
      </c>
      <c r="F350" s="4" t="s">
        <v>5</v>
      </c>
      <c r="G350" s="4" t="s">
        <v>9</v>
      </c>
      <c r="H350" s="4" t="s">
        <v>110</v>
      </c>
      <c r="I350" s="4" t="s">
        <v>7</v>
      </c>
      <c r="J350" s="4" t="s">
        <v>261</v>
      </c>
      <c r="K350" s="4">
        <v>4</v>
      </c>
      <c r="L350" s="5">
        <v>40.159999999999997</v>
      </c>
      <c r="M350" s="5">
        <v>160.63999999999999</v>
      </c>
      <c r="N350" s="5">
        <v>79.92</v>
      </c>
      <c r="O350" s="5">
        <v>80.72</v>
      </c>
      <c r="P350" s="4">
        <f>--AND(OR(Dashboard!$A$10="All",C350=Dashboard!$A$10),OR(Dashboard!$A$14="All",F350=Dashboard!$A$14),OR(Dashboard!$A$18="All",G350=Dashboard!$A$18),OR(Dashboard!$A$22="All",I350=Dashboard!$A$22))</f>
        <v>1</v>
      </c>
    </row>
    <row r="351" spans="1:16" ht="15.75" customHeight="1">
      <c r="A351" s="4" t="s">
        <v>557</v>
      </c>
      <c r="B351" s="6">
        <v>45710</v>
      </c>
      <c r="C351" s="4">
        <v>2025</v>
      </c>
      <c r="D351" s="4">
        <v>2</v>
      </c>
      <c r="E351" s="4" t="s">
        <v>70</v>
      </c>
      <c r="F351" s="4" t="s">
        <v>5</v>
      </c>
      <c r="G351" s="4" t="s">
        <v>6</v>
      </c>
      <c r="H351" s="4" t="s">
        <v>80</v>
      </c>
      <c r="I351" s="4" t="s">
        <v>10</v>
      </c>
      <c r="J351" s="4" t="s">
        <v>528</v>
      </c>
      <c r="K351" s="4">
        <v>4</v>
      </c>
      <c r="L351" s="5">
        <v>150.66999999999999</v>
      </c>
      <c r="M351" s="5">
        <v>602.67999999999995</v>
      </c>
      <c r="N351" s="5">
        <v>402.22</v>
      </c>
      <c r="O351" s="5">
        <v>200.46</v>
      </c>
      <c r="P351" s="4">
        <f>--AND(OR(Dashboard!$A$10="All",C351=Dashboard!$A$10),OR(Dashboard!$A$14="All",F351=Dashboard!$A$14),OR(Dashboard!$A$18="All",G351=Dashboard!$A$18),OR(Dashboard!$A$22="All",I351=Dashboard!$A$22))</f>
        <v>1</v>
      </c>
    </row>
    <row r="352" spans="1:16" ht="15.75" customHeight="1">
      <c r="A352" s="4" t="s">
        <v>558</v>
      </c>
      <c r="B352" s="6">
        <v>45838</v>
      </c>
      <c r="C352" s="4">
        <v>2025</v>
      </c>
      <c r="D352" s="4">
        <v>6</v>
      </c>
      <c r="E352" s="4" t="s">
        <v>34</v>
      </c>
      <c r="F352" s="4" t="s">
        <v>14</v>
      </c>
      <c r="G352" s="4" t="s">
        <v>9</v>
      </c>
      <c r="H352" s="4" t="s">
        <v>71</v>
      </c>
      <c r="I352" s="4" t="s">
        <v>7</v>
      </c>
      <c r="J352" s="4" t="s">
        <v>255</v>
      </c>
      <c r="K352" s="4">
        <v>3</v>
      </c>
      <c r="L352" s="5">
        <v>42.41</v>
      </c>
      <c r="M352" s="5">
        <v>127.23</v>
      </c>
      <c r="N352" s="5">
        <v>62.35</v>
      </c>
      <c r="O352" s="5">
        <v>64.88</v>
      </c>
      <c r="P352" s="4">
        <f>--AND(OR(Dashboard!$A$10="All",C352=Dashboard!$A$10),OR(Dashboard!$A$14="All",F352=Dashboard!$A$14),OR(Dashboard!$A$18="All",G352=Dashboard!$A$18),OR(Dashboard!$A$22="All",I352=Dashboard!$A$22))</f>
        <v>1</v>
      </c>
    </row>
    <row r="353" spans="1:16" ht="15.75" customHeight="1">
      <c r="A353" s="4" t="s">
        <v>559</v>
      </c>
      <c r="B353" s="6">
        <v>45851</v>
      </c>
      <c r="C353" s="4">
        <v>2025</v>
      </c>
      <c r="D353" s="4">
        <v>7</v>
      </c>
      <c r="E353" s="4" t="s">
        <v>63</v>
      </c>
      <c r="F353" s="4" t="s">
        <v>8</v>
      </c>
      <c r="G353" s="4" t="s">
        <v>6</v>
      </c>
      <c r="H353" s="4" t="s">
        <v>136</v>
      </c>
      <c r="I353" s="4" t="s">
        <v>13</v>
      </c>
      <c r="J353" s="4" t="s">
        <v>55</v>
      </c>
      <c r="K353" s="4">
        <v>7</v>
      </c>
      <c r="L353" s="5">
        <v>157.28</v>
      </c>
      <c r="M353" s="5">
        <v>1100.96</v>
      </c>
      <c r="N353" s="5">
        <v>713.77</v>
      </c>
      <c r="O353" s="5">
        <v>387.19</v>
      </c>
      <c r="P353" s="4">
        <f>--AND(OR(Dashboard!$A$10="All",C353=Dashboard!$A$10),OR(Dashboard!$A$14="All",F353=Dashboard!$A$14),OR(Dashboard!$A$18="All",G353=Dashboard!$A$18),OR(Dashboard!$A$22="All",I353=Dashboard!$A$22))</f>
        <v>1</v>
      </c>
    </row>
    <row r="354" spans="1:16" ht="15.75" customHeight="1">
      <c r="A354" s="4" t="s">
        <v>560</v>
      </c>
      <c r="B354" s="6">
        <v>45536</v>
      </c>
      <c r="C354" s="4">
        <v>2024</v>
      </c>
      <c r="D354" s="4">
        <v>9</v>
      </c>
      <c r="E354" s="4" t="s">
        <v>79</v>
      </c>
      <c r="F354" s="4" t="s">
        <v>5</v>
      </c>
      <c r="G354" s="4" t="s">
        <v>6</v>
      </c>
      <c r="H354" s="4" t="s">
        <v>54</v>
      </c>
      <c r="I354" s="4" t="s">
        <v>13</v>
      </c>
      <c r="J354" s="4" t="s">
        <v>235</v>
      </c>
      <c r="K354" s="4">
        <v>5</v>
      </c>
      <c r="L354" s="5">
        <v>219.79</v>
      </c>
      <c r="M354" s="5">
        <v>1098.95</v>
      </c>
      <c r="N354" s="5">
        <v>740.28</v>
      </c>
      <c r="O354" s="5">
        <v>358.67</v>
      </c>
      <c r="P354" s="4">
        <f>--AND(OR(Dashboard!$A$10="All",C354=Dashboard!$A$10),OR(Dashboard!$A$14="All",F354=Dashboard!$A$14),OR(Dashboard!$A$18="All",G354=Dashboard!$A$18),OR(Dashboard!$A$22="All",I354=Dashboard!$A$22))</f>
        <v>1</v>
      </c>
    </row>
    <row r="355" spans="1:16" ht="15.75" customHeight="1">
      <c r="A355" s="4" t="s">
        <v>561</v>
      </c>
      <c r="B355" s="6">
        <v>45403</v>
      </c>
      <c r="C355" s="4">
        <v>2024</v>
      </c>
      <c r="D355" s="4">
        <v>4</v>
      </c>
      <c r="E355" s="4" t="s">
        <v>106</v>
      </c>
      <c r="F355" s="4" t="s">
        <v>5</v>
      </c>
      <c r="G355" s="4" t="s">
        <v>12</v>
      </c>
      <c r="H355" s="4" t="s">
        <v>127</v>
      </c>
      <c r="I355" s="4" t="s">
        <v>10</v>
      </c>
      <c r="J355" s="4" t="s">
        <v>336</v>
      </c>
      <c r="K355" s="4">
        <v>6</v>
      </c>
      <c r="L355" s="5">
        <v>137.06</v>
      </c>
      <c r="M355" s="5">
        <v>822.36</v>
      </c>
      <c r="N355" s="5">
        <v>480.6</v>
      </c>
      <c r="O355" s="5">
        <v>341.76</v>
      </c>
      <c r="P355" s="4">
        <f>--AND(OR(Dashboard!$A$10="All",C355=Dashboard!$A$10),OR(Dashboard!$A$14="All",F355=Dashboard!$A$14),OR(Dashboard!$A$18="All",G355=Dashboard!$A$18),OR(Dashboard!$A$22="All",I355=Dashboard!$A$22))</f>
        <v>1</v>
      </c>
    </row>
    <row r="356" spans="1:16" ht="15.75" customHeight="1">
      <c r="A356" s="4" t="s">
        <v>562</v>
      </c>
      <c r="B356" s="6">
        <v>45349</v>
      </c>
      <c r="C356" s="4">
        <v>2024</v>
      </c>
      <c r="D356" s="4">
        <v>2</v>
      </c>
      <c r="E356" s="4" t="s">
        <v>70</v>
      </c>
      <c r="F356" s="4" t="s">
        <v>8</v>
      </c>
      <c r="G356" s="4" t="s">
        <v>9</v>
      </c>
      <c r="H356" s="4" t="s">
        <v>71</v>
      </c>
      <c r="I356" s="4" t="s">
        <v>10</v>
      </c>
      <c r="J356" s="4" t="s">
        <v>166</v>
      </c>
      <c r="K356" s="4">
        <v>4</v>
      </c>
      <c r="L356" s="5">
        <v>66.209999999999994</v>
      </c>
      <c r="M356" s="5">
        <v>264.83999999999997</v>
      </c>
      <c r="N356" s="5">
        <v>138.11000000000001</v>
      </c>
      <c r="O356" s="5">
        <v>126.73</v>
      </c>
      <c r="P356" s="4">
        <f>--AND(OR(Dashboard!$A$10="All",C356=Dashboard!$A$10),OR(Dashboard!$A$14="All",F356=Dashboard!$A$14),OR(Dashboard!$A$18="All",G356=Dashboard!$A$18),OR(Dashboard!$A$22="All",I356=Dashboard!$A$22))</f>
        <v>1</v>
      </c>
    </row>
    <row r="357" spans="1:16" ht="15.75" customHeight="1">
      <c r="A357" s="4" t="s">
        <v>563</v>
      </c>
      <c r="B357" s="6">
        <v>45576</v>
      </c>
      <c r="C357" s="4">
        <v>2024</v>
      </c>
      <c r="D357" s="4">
        <v>10</v>
      </c>
      <c r="E357" s="4" t="s">
        <v>120</v>
      </c>
      <c r="F357" s="4" t="s">
        <v>5</v>
      </c>
      <c r="G357" s="4" t="s">
        <v>6</v>
      </c>
      <c r="H357" s="4" t="s">
        <v>136</v>
      </c>
      <c r="I357" s="4" t="s">
        <v>13</v>
      </c>
      <c r="J357" s="4" t="s">
        <v>146</v>
      </c>
      <c r="K357" s="4">
        <v>1</v>
      </c>
      <c r="L357" s="5">
        <v>77.650000000000006</v>
      </c>
      <c r="M357" s="5">
        <v>77.650000000000006</v>
      </c>
      <c r="N357" s="5">
        <v>52.67</v>
      </c>
      <c r="O357" s="5">
        <v>24.98</v>
      </c>
      <c r="P357" s="4">
        <f>--AND(OR(Dashboard!$A$10="All",C357=Dashboard!$A$10),OR(Dashboard!$A$14="All",F357=Dashboard!$A$14),OR(Dashboard!$A$18="All",G357=Dashboard!$A$18),OR(Dashboard!$A$22="All",I357=Dashboard!$A$22))</f>
        <v>1</v>
      </c>
    </row>
    <row r="358" spans="1:16" ht="15.75" customHeight="1">
      <c r="A358" s="4" t="s">
        <v>564</v>
      </c>
      <c r="B358" s="6">
        <v>45659</v>
      </c>
      <c r="C358" s="4">
        <v>2025</v>
      </c>
      <c r="D358" s="4">
        <v>1</v>
      </c>
      <c r="E358" s="4" t="s">
        <v>30</v>
      </c>
      <c r="F358" s="4" t="s">
        <v>5</v>
      </c>
      <c r="G358" s="4" t="s">
        <v>6</v>
      </c>
      <c r="H358" s="4" t="s">
        <v>136</v>
      </c>
      <c r="I358" s="4" t="s">
        <v>7</v>
      </c>
      <c r="J358" s="4" t="s">
        <v>371</v>
      </c>
      <c r="K358" s="4">
        <v>1</v>
      </c>
      <c r="L358" s="5">
        <v>133.44</v>
      </c>
      <c r="M358" s="5">
        <v>133.44</v>
      </c>
      <c r="N358" s="5">
        <v>89.93</v>
      </c>
      <c r="O358" s="5">
        <v>43.51</v>
      </c>
      <c r="P358" s="4">
        <f>--AND(OR(Dashboard!$A$10="All",C358=Dashboard!$A$10),OR(Dashboard!$A$14="All",F358=Dashboard!$A$14),OR(Dashboard!$A$18="All",G358=Dashboard!$A$18),OR(Dashboard!$A$22="All",I358=Dashboard!$A$22))</f>
        <v>1</v>
      </c>
    </row>
    <row r="359" spans="1:16" ht="15.75" customHeight="1">
      <c r="A359" s="4" t="s">
        <v>565</v>
      </c>
      <c r="B359" s="6">
        <v>45753</v>
      </c>
      <c r="C359" s="4">
        <v>2025</v>
      </c>
      <c r="D359" s="4">
        <v>4</v>
      </c>
      <c r="E359" s="4" t="s">
        <v>106</v>
      </c>
      <c r="F359" s="4" t="s">
        <v>5</v>
      </c>
      <c r="G359" s="4" t="s">
        <v>6</v>
      </c>
      <c r="H359" s="4" t="s">
        <v>54</v>
      </c>
      <c r="I359" s="4" t="s">
        <v>7</v>
      </c>
      <c r="J359" s="4" t="s">
        <v>164</v>
      </c>
      <c r="K359" s="4">
        <v>6</v>
      </c>
      <c r="L359" s="5">
        <v>203.76</v>
      </c>
      <c r="M359" s="5">
        <v>1222.56</v>
      </c>
      <c r="N359" s="5">
        <v>786.23</v>
      </c>
      <c r="O359" s="5">
        <v>436.33</v>
      </c>
      <c r="P359" s="4">
        <f>--AND(OR(Dashboard!$A$10="All",C359=Dashboard!$A$10),OR(Dashboard!$A$14="All",F359=Dashboard!$A$14),OR(Dashboard!$A$18="All",G359=Dashboard!$A$18),OR(Dashboard!$A$22="All",I359=Dashboard!$A$22))</f>
        <v>1</v>
      </c>
    </row>
    <row r="360" spans="1:16" ht="15.75" customHeight="1">
      <c r="A360" s="4" t="s">
        <v>566</v>
      </c>
      <c r="B360" s="6">
        <v>45961</v>
      </c>
      <c r="C360" s="4">
        <v>2025</v>
      </c>
      <c r="D360" s="4">
        <v>10</v>
      </c>
      <c r="E360" s="4" t="s">
        <v>120</v>
      </c>
      <c r="F360" s="4" t="s">
        <v>5</v>
      </c>
      <c r="G360" s="4" t="s">
        <v>12</v>
      </c>
      <c r="H360" s="4" t="s">
        <v>58</v>
      </c>
      <c r="I360" s="4" t="s">
        <v>7</v>
      </c>
      <c r="J360" s="4" t="s">
        <v>226</v>
      </c>
      <c r="K360" s="4">
        <v>1</v>
      </c>
      <c r="L360" s="5">
        <v>125.17</v>
      </c>
      <c r="M360" s="5">
        <v>125.17</v>
      </c>
      <c r="N360" s="5">
        <v>75.540000000000006</v>
      </c>
      <c r="O360" s="5">
        <v>49.63</v>
      </c>
      <c r="P360" s="4">
        <f>--AND(OR(Dashboard!$A$10="All",C360=Dashboard!$A$10),OR(Dashboard!$A$14="All",F360=Dashboard!$A$14),OR(Dashboard!$A$18="All",G360=Dashboard!$A$18),OR(Dashboard!$A$22="All",I360=Dashboard!$A$22))</f>
        <v>1</v>
      </c>
    </row>
    <row r="361" spans="1:16" ht="15.75" customHeight="1">
      <c r="A361" s="4" t="s">
        <v>567</v>
      </c>
      <c r="B361" s="6">
        <v>45670</v>
      </c>
      <c r="C361" s="4">
        <v>2025</v>
      </c>
      <c r="D361" s="4">
        <v>1</v>
      </c>
      <c r="E361" s="4" t="s">
        <v>30</v>
      </c>
      <c r="F361" s="4" t="s">
        <v>14</v>
      </c>
      <c r="G361" s="4" t="s">
        <v>12</v>
      </c>
      <c r="H361" s="4" t="s">
        <v>127</v>
      </c>
      <c r="I361" s="4" t="s">
        <v>7</v>
      </c>
      <c r="J361" s="4" t="s">
        <v>174</v>
      </c>
      <c r="K361" s="4">
        <v>2</v>
      </c>
      <c r="L361" s="5">
        <v>236.21</v>
      </c>
      <c r="M361" s="5">
        <v>472.42</v>
      </c>
      <c r="N361" s="5">
        <v>289.54000000000002</v>
      </c>
      <c r="O361" s="5">
        <v>182.88</v>
      </c>
      <c r="P361" s="4">
        <f>--AND(OR(Dashboard!$A$10="All",C361=Dashboard!$A$10),OR(Dashboard!$A$14="All",F361=Dashboard!$A$14),OR(Dashboard!$A$18="All",G361=Dashboard!$A$18),OR(Dashboard!$A$22="All",I361=Dashboard!$A$22))</f>
        <v>1</v>
      </c>
    </row>
    <row r="362" spans="1:16" ht="15.75" customHeight="1">
      <c r="A362" s="4" t="s">
        <v>568</v>
      </c>
      <c r="B362" s="6">
        <v>45312</v>
      </c>
      <c r="C362" s="4">
        <v>2024</v>
      </c>
      <c r="D362" s="4">
        <v>1</v>
      </c>
      <c r="E362" s="4" t="s">
        <v>30</v>
      </c>
      <c r="F362" s="4" t="s">
        <v>8</v>
      </c>
      <c r="G362" s="4" t="s">
        <v>9</v>
      </c>
      <c r="H362" s="4" t="s">
        <v>35</v>
      </c>
      <c r="I362" s="4" t="s">
        <v>7</v>
      </c>
      <c r="J362" s="4" t="s">
        <v>149</v>
      </c>
      <c r="K362" s="4">
        <v>2</v>
      </c>
      <c r="L362" s="5">
        <v>52.73</v>
      </c>
      <c r="M362" s="5">
        <v>105.46</v>
      </c>
      <c r="N362" s="5">
        <v>52.88</v>
      </c>
      <c r="O362" s="5">
        <v>52.58</v>
      </c>
      <c r="P362" s="4">
        <f>--AND(OR(Dashboard!$A$10="All",C362=Dashboard!$A$10),OR(Dashboard!$A$14="All",F362=Dashboard!$A$14),OR(Dashboard!$A$18="All",G362=Dashboard!$A$18),OR(Dashboard!$A$22="All",I362=Dashboard!$A$22))</f>
        <v>1</v>
      </c>
    </row>
    <row r="363" spans="1:16" ht="15.75" customHeight="1">
      <c r="A363" s="4" t="s">
        <v>569</v>
      </c>
      <c r="B363" s="6">
        <v>45985</v>
      </c>
      <c r="C363" s="4">
        <v>2025</v>
      </c>
      <c r="D363" s="4">
        <v>11</v>
      </c>
      <c r="E363" s="4" t="s">
        <v>89</v>
      </c>
      <c r="F363" s="4" t="s">
        <v>14</v>
      </c>
      <c r="G363" s="4" t="s">
        <v>9</v>
      </c>
      <c r="H363" s="4" t="s">
        <v>110</v>
      </c>
      <c r="I363" s="4" t="s">
        <v>7</v>
      </c>
      <c r="J363" s="4" t="s">
        <v>55</v>
      </c>
      <c r="K363" s="4">
        <v>1</v>
      </c>
      <c r="L363" s="5">
        <v>26.7</v>
      </c>
      <c r="M363" s="5">
        <v>26.7</v>
      </c>
      <c r="N363" s="5">
        <v>13.52</v>
      </c>
      <c r="O363" s="5">
        <v>13.18</v>
      </c>
      <c r="P363" s="4">
        <f>--AND(OR(Dashboard!$A$10="All",C363=Dashboard!$A$10),OR(Dashboard!$A$14="All",F363=Dashboard!$A$14),OR(Dashboard!$A$18="All",G363=Dashboard!$A$18),OR(Dashboard!$A$22="All",I363=Dashboard!$A$22))</f>
        <v>1</v>
      </c>
    </row>
    <row r="364" spans="1:16" ht="15.75" customHeight="1">
      <c r="A364" s="4" t="s">
        <v>570</v>
      </c>
      <c r="B364" s="6">
        <v>45751</v>
      </c>
      <c r="C364" s="4">
        <v>2025</v>
      </c>
      <c r="D364" s="4">
        <v>4</v>
      </c>
      <c r="E364" s="4" t="s">
        <v>106</v>
      </c>
      <c r="F364" s="4" t="s">
        <v>11</v>
      </c>
      <c r="G364" s="4" t="s">
        <v>9</v>
      </c>
      <c r="H364" s="4" t="s">
        <v>142</v>
      </c>
      <c r="I364" s="4" t="s">
        <v>7</v>
      </c>
      <c r="J364" s="4" t="s">
        <v>216</v>
      </c>
      <c r="K364" s="4">
        <v>2</v>
      </c>
      <c r="L364" s="5">
        <v>61.03</v>
      </c>
      <c r="M364" s="5">
        <v>122.06</v>
      </c>
      <c r="N364" s="5">
        <v>61.78</v>
      </c>
      <c r="O364" s="5">
        <v>60.28</v>
      </c>
      <c r="P364" s="4">
        <f>--AND(OR(Dashboard!$A$10="All",C364=Dashboard!$A$10),OR(Dashboard!$A$14="All",F364=Dashboard!$A$14),OR(Dashboard!$A$18="All",G364=Dashboard!$A$18),OR(Dashboard!$A$22="All",I364=Dashboard!$A$22))</f>
        <v>1</v>
      </c>
    </row>
    <row r="365" spans="1:16" ht="15.75" customHeight="1">
      <c r="A365" s="4" t="s">
        <v>571</v>
      </c>
      <c r="B365" s="6">
        <v>45674</v>
      </c>
      <c r="C365" s="4">
        <v>2025</v>
      </c>
      <c r="D365" s="4">
        <v>1</v>
      </c>
      <c r="E365" s="4" t="s">
        <v>30</v>
      </c>
      <c r="F365" s="4" t="s">
        <v>5</v>
      </c>
      <c r="G365" s="4" t="s">
        <v>12</v>
      </c>
      <c r="H365" s="4" t="s">
        <v>127</v>
      </c>
      <c r="I365" s="4" t="s">
        <v>7</v>
      </c>
      <c r="J365" s="4" t="s">
        <v>344</v>
      </c>
      <c r="K365" s="4">
        <v>3</v>
      </c>
      <c r="L365" s="5">
        <v>327.87</v>
      </c>
      <c r="M365" s="5">
        <v>983.61</v>
      </c>
      <c r="N365" s="5">
        <v>567.33000000000004</v>
      </c>
      <c r="O365" s="5">
        <v>416.28</v>
      </c>
      <c r="P365" s="4">
        <f>--AND(OR(Dashboard!$A$10="All",C365=Dashboard!$A$10),OR(Dashboard!$A$14="All",F365=Dashboard!$A$14),OR(Dashboard!$A$18="All",G365=Dashboard!$A$18),OR(Dashboard!$A$22="All",I365=Dashboard!$A$22))</f>
        <v>1</v>
      </c>
    </row>
    <row r="366" spans="1:16" ht="15.75" customHeight="1">
      <c r="A366" s="4" t="s">
        <v>572</v>
      </c>
      <c r="B366" s="6">
        <v>45358</v>
      </c>
      <c r="C366" s="4">
        <v>2024</v>
      </c>
      <c r="D366" s="4">
        <v>3</v>
      </c>
      <c r="E366" s="4" t="s">
        <v>100</v>
      </c>
      <c r="F366" s="4" t="s">
        <v>5</v>
      </c>
      <c r="G366" s="4" t="s">
        <v>12</v>
      </c>
      <c r="H366" s="4" t="s">
        <v>58</v>
      </c>
      <c r="I366" s="4" t="s">
        <v>7</v>
      </c>
      <c r="J366" s="4" t="s">
        <v>297</v>
      </c>
      <c r="K366" s="4">
        <v>8</v>
      </c>
      <c r="L366" s="5">
        <v>221.51</v>
      </c>
      <c r="M366" s="5">
        <v>1772.08</v>
      </c>
      <c r="N366" s="5">
        <v>1114.46</v>
      </c>
      <c r="O366" s="5">
        <v>657.62</v>
      </c>
      <c r="P366" s="4">
        <f>--AND(OR(Dashboard!$A$10="All",C366=Dashboard!$A$10),OR(Dashboard!$A$14="All",F366=Dashboard!$A$14),OR(Dashboard!$A$18="All",G366=Dashboard!$A$18),OR(Dashboard!$A$22="All",I366=Dashboard!$A$22))</f>
        <v>1</v>
      </c>
    </row>
    <row r="367" spans="1:16" ht="15.75" customHeight="1">
      <c r="A367" s="4" t="s">
        <v>573</v>
      </c>
      <c r="B367" s="6">
        <v>45731</v>
      </c>
      <c r="C367" s="4">
        <v>2025</v>
      </c>
      <c r="D367" s="4">
        <v>3</v>
      </c>
      <c r="E367" s="4" t="s">
        <v>100</v>
      </c>
      <c r="F367" s="4" t="s">
        <v>14</v>
      </c>
      <c r="G367" s="4" t="s">
        <v>12</v>
      </c>
      <c r="H367" s="4" t="s">
        <v>86</v>
      </c>
      <c r="I367" s="4" t="s">
        <v>7</v>
      </c>
      <c r="J367" s="4" t="s">
        <v>218</v>
      </c>
      <c r="K367" s="4">
        <v>11</v>
      </c>
      <c r="L367" s="5">
        <v>284.27999999999997</v>
      </c>
      <c r="M367" s="5">
        <v>3127.08</v>
      </c>
      <c r="N367" s="5">
        <v>1859.12</v>
      </c>
      <c r="O367" s="5">
        <v>1267.96</v>
      </c>
      <c r="P367" s="4">
        <f>--AND(OR(Dashboard!$A$10="All",C367=Dashboard!$A$10),OR(Dashboard!$A$14="All",F367=Dashboard!$A$14),OR(Dashboard!$A$18="All",G367=Dashboard!$A$18),OR(Dashboard!$A$22="All",I367=Dashboard!$A$22))</f>
        <v>1</v>
      </c>
    </row>
    <row r="368" spans="1:16" ht="15.75" customHeight="1">
      <c r="A368" s="4" t="s">
        <v>574</v>
      </c>
      <c r="B368" s="6">
        <v>45315</v>
      </c>
      <c r="C368" s="4">
        <v>2024</v>
      </c>
      <c r="D368" s="4">
        <v>1</v>
      </c>
      <c r="E368" s="4" t="s">
        <v>30</v>
      </c>
      <c r="F368" s="4" t="s">
        <v>8</v>
      </c>
      <c r="G368" s="4" t="s">
        <v>6</v>
      </c>
      <c r="H368" s="4" t="s">
        <v>80</v>
      </c>
      <c r="I368" s="4" t="s">
        <v>7</v>
      </c>
      <c r="J368" s="4" t="s">
        <v>65</v>
      </c>
      <c r="K368" s="4">
        <v>2</v>
      </c>
      <c r="L368" s="5">
        <v>101.89</v>
      </c>
      <c r="M368" s="5">
        <v>203.78</v>
      </c>
      <c r="N368" s="5">
        <v>131.31</v>
      </c>
      <c r="O368" s="5">
        <v>72.47</v>
      </c>
      <c r="P368" s="4">
        <f>--AND(OR(Dashboard!$A$10="All",C368=Dashboard!$A$10),OR(Dashboard!$A$14="All",F368=Dashboard!$A$14),OR(Dashboard!$A$18="All",G368=Dashboard!$A$18),OR(Dashboard!$A$22="All",I368=Dashboard!$A$22))</f>
        <v>1</v>
      </c>
    </row>
    <row r="369" spans="1:16" ht="15.75" customHeight="1">
      <c r="A369" s="4" t="s">
        <v>575</v>
      </c>
      <c r="B369" s="6">
        <v>45884</v>
      </c>
      <c r="C369" s="4">
        <v>2025</v>
      </c>
      <c r="D369" s="4">
        <v>8</v>
      </c>
      <c r="E369" s="4" t="s">
        <v>67</v>
      </c>
      <c r="F369" s="4" t="s">
        <v>8</v>
      </c>
      <c r="G369" s="4" t="s">
        <v>6</v>
      </c>
      <c r="H369" s="4" t="s">
        <v>136</v>
      </c>
      <c r="I369" s="4" t="s">
        <v>10</v>
      </c>
      <c r="J369" s="4" t="s">
        <v>261</v>
      </c>
      <c r="K369" s="4">
        <v>2</v>
      </c>
      <c r="L369" s="5">
        <v>208.2</v>
      </c>
      <c r="M369" s="5">
        <v>416.4</v>
      </c>
      <c r="N369" s="5">
        <v>273.73</v>
      </c>
      <c r="O369" s="5">
        <v>142.66999999999999</v>
      </c>
      <c r="P369" s="4">
        <f>--AND(OR(Dashboard!$A$10="All",C369=Dashboard!$A$10),OR(Dashboard!$A$14="All",F369=Dashboard!$A$14),OR(Dashboard!$A$18="All",G369=Dashboard!$A$18),OR(Dashboard!$A$22="All",I369=Dashboard!$A$22))</f>
        <v>1</v>
      </c>
    </row>
    <row r="370" spans="1:16" ht="15.75" customHeight="1">
      <c r="A370" s="4" t="s">
        <v>576</v>
      </c>
      <c r="B370" s="6">
        <v>45493</v>
      </c>
      <c r="C370" s="4">
        <v>2024</v>
      </c>
      <c r="D370" s="4">
        <v>7</v>
      </c>
      <c r="E370" s="4" t="s">
        <v>63</v>
      </c>
      <c r="F370" s="4" t="s">
        <v>5</v>
      </c>
      <c r="G370" s="4" t="s">
        <v>6</v>
      </c>
      <c r="H370" s="4" t="s">
        <v>114</v>
      </c>
      <c r="I370" s="4" t="s">
        <v>7</v>
      </c>
      <c r="J370" s="4" t="s">
        <v>179</v>
      </c>
      <c r="K370" s="4">
        <v>7</v>
      </c>
      <c r="L370" s="5">
        <v>156.77000000000001</v>
      </c>
      <c r="M370" s="5">
        <v>1097.3900000000001</v>
      </c>
      <c r="N370" s="5">
        <v>699.54</v>
      </c>
      <c r="O370" s="5">
        <v>397.85</v>
      </c>
      <c r="P370" s="4">
        <f>--AND(OR(Dashboard!$A$10="All",C370=Dashboard!$A$10),OR(Dashboard!$A$14="All",F370=Dashboard!$A$14),OR(Dashboard!$A$18="All",G370=Dashboard!$A$18),OR(Dashboard!$A$22="All",I370=Dashboard!$A$22))</f>
        <v>1</v>
      </c>
    </row>
    <row r="371" spans="1:16" ht="15.75" customHeight="1">
      <c r="A371" s="4" t="s">
        <v>577</v>
      </c>
      <c r="B371" s="6">
        <v>45584</v>
      </c>
      <c r="C371" s="4">
        <v>2024</v>
      </c>
      <c r="D371" s="4">
        <v>10</v>
      </c>
      <c r="E371" s="4" t="s">
        <v>120</v>
      </c>
      <c r="F371" s="4" t="s">
        <v>8</v>
      </c>
      <c r="G371" s="4" t="s">
        <v>12</v>
      </c>
      <c r="H371" s="4" t="s">
        <v>86</v>
      </c>
      <c r="I371" s="4" t="s">
        <v>10</v>
      </c>
      <c r="J371" s="4" t="s">
        <v>494</v>
      </c>
      <c r="K371" s="4">
        <v>1</v>
      </c>
      <c r="L371" s="5">
        <v>192.41</v>
      </c>
      <c r="M371" s="5">
        <v>192.41</v>
      </c>
      <c r="N371" s="5">
        <v>120.62</v>
      </c>
      <c r="O371" s="5">
        <v>71.790000000000006</v>
      </c>
      <c r="P371" s="4">
        <f>--AND(OR(Dashboard!$A$10="All",C371=Dashboard!$A$10),OR(Dashboard!$A$14="All",F371=Dashboard!$A$14),OR(Dashboard!$A$18="All",G371=Dashboard!$A$18),OR(Dashboard!$A$22="All",I371=Dashboard!$A$22))</f>
        <v>1</v>
      </c>
    </row>
    <row r="372" spans="1:16" ht="15.75" customHeight="1">
      <c r="A372" s="4" t="s">
        <v>578</v>
      </c>
      <c r="B372" s="6">
        <v>45429</v>
      </c>
      <c r="C372" s="4">
        <v>2024</v>
      </c>
      <c r="D372" s="4">
        <v>5</v>
      </c>
      <c r="E372" s="4" t="s">
        <v>108</v>
      </c>
      <c r="F372" s="4" t="s">
        <v>8</v>
      </c>
      <c r="G372" s="4" t="s">
        <v>6</v>
      </c>
      <c r="H372" s="4" t="s">
        <v>54</v>
      </c>
      <c r="I372" s="4" t="s">
        <v>7</v>
      </c>
      <c r="J372" s="4" t="s">
        <v>402</v>
      </c>
      <c r="K372" s="4">
        <v>4</v>
      </c>
      <c r="L372" s="5">
        <v>170.92</v>
      </c>
      <c r="M372" s="5">
        <v>683.68</v>
      </c>
      <c r="N372" s="5">
        <v>460.58</v>
      </c>
      <c r="O372" s="5">
        <v>223.1</v>
      </c>
      <c r="P372" s="4">
        <f>--AND(OR(Dashboard!$A$10="All",C372=Dashboard!$A$10),OR(Dashboard!$A$14="All",F372=Dashboard!$A$14),OR(Dashboard!$A$18="All",G372=Dashboard!$A$18),OR(Dashboard!$A$22="All",I372=Dashboard!$A$22))</f>
        <v>1</v>
      </c>
    </row>
    <row r="373" spans="1:16" ht="15.75" customHeight="1">
      <c r="A373" s="4" t="s">
        <v>579</v>
      </c>
      <c r="B373" s="6">
        <v>45598</v>
      </c>
      <c r="C373" s="4">
        <v>2024</v>
      </c>
      <c r="D373" s="4">
        <v>11</v>
      </c>
      <c r="E373" s="4" t="s">
        <v>89</v>
      </c>
      <c r="F373" s="4" t="s">
        <v>5</v>
      </c>
      <c r="G373" s="4" t="s">
        <v>12</v>
      </c>
      <c r="H373" s="4" t="s">
        <v>124</v>
      </c>
      <c r="I373" s="4" t="s">
        <v>10</v>
      </c>
      <c r="J373" s="4" t="s">
        <v>125</v>
      </c>
      <c r="K373" s="4">
        <v>1</v>
      </c>
      <c r="L373" s="5">
        <v>262.86</v>
      </c>
      <c r="M373" s="5">
        <v>262.86</v>
      </c>
      <c r="N373" s="5">
        <v>165.54</v>
      </c>
      <c r="O373" s="5">
        <v>97.32</v>
      </c>
      <c r="P373" s="4">
        <f>--AND(OR(Dashboard!$A$10="All",C373=Dashboard!$A$10),OR(Dashboard!$A$14="All",F373=Dashboard!$A$14),OR(Dashboard!$A$18="All",G373=Dashboard!$A$18),OR(Dashboard!$A$22="All",I373=Dashboard!$A$22))</f>
        <v>1</v>
      </c>
    </row>
    <row r="374" spans="1:16" ht="15.75" customHeight="1">
      <c r="A374" s="4" t="s">
        <v>580</v>
      </c>
      <c r="B374" s="6">
        <v>45715</v>
      </c>
      <c r="C374" s="4">
        <v>2025</v>
      </c>
      <c r="D374" s="4">
        <v>2</v>
      </c>
      <c r="E374" s="4" t="s">
        <v>70</v>
      </c>
      <c r="F374" s="4" t="s">
        <v>11</v>
      </c>
      <c r="G374" s="4" t="s">
        <v>6</v>
      </c>
      <c r="H374" s="4" t="s">
        <v>54</v>
      </c>
      <c r="I374" s="4" t="s">
        <v>7</v>
      </c>
      <c r="J374" s="4" t="s">
        <v>189</v>
      </c>
      <c r="K374" s="4">
        <v>1</v>
      </c>
      <c r="L374" s="5">
        <v>75.989999999999995</v>
      </c>
      <c r="M374" s="5">
        <v>75.989999999999995</v>
      </c>
      <c r="N374" s="5">
        <v>51.01</v>
      </c>
      <c r="O374" s="5">
        <v>24.98</v>
      </c>
      <c r="P374" s="4">
        <f>--AND(OR(Dashboard!$A$10="All",C374=Dashboard!$A$10),OR(Dashboard!$A$14="All",F374=Dashboard!$A$14),OR(Dashboard!$A$18="All",G374=Dashboard!$A$18),OR(Dashboard!$A$22="All",I374=Dashboard!$A$22))</f>
        <v>1</v>
      </c>
    </row>
    <row r="375" spans="1:16" ht="15.75" customHeight="1">
      <c r="A375" s="4" t="s">
        <v>581</v>
      </c>
      <c r="B375" s="6">
        <v>45537</v>
      </c>
      <c r="C375" s="4">
        <v>2024</v>
      </c>
      <c r="D375" s="4">
        <v>9</v>
      </c>
      <c r="E375" s="4" t="s">
        <v>79</v>
      </c>
      <c r="F375" s="4" t="s">
        <v>5</v>
      </c>
      <c r="G375" s="4" t="s">
        <v>9</v>
      </c>
      <c r="H375" s="4" t="s">
        <v>35</v>
      </c>
      <c r="I375" s="4" t="s">
        <v>7</v>
      </c>
      <c r="J375" s="4" t="s">
        <v>317</v>
      </c>
      <c r="K375" s="4">
        <v>2</v>
      </c>
      <c r="L375" s="5">
        <v>32.36</v>
      </c>
      <c r="M375" s="5">
        <v>64.72</v>
      </c>
      <c r="N375" s="5">
        <v>32.18</v>
      </c>
      <c r="O375" s="5">
        <v>32.54</v>
      </c>
      <c r="P375" s="4">
        <f>--AND(OR(Dashboard!$A$10="All",C375=Dashboard!$A$10),OR(Dashboard!$A$14="All",F375=Dashboard!$A$14),OR(Dashboard!$A$18="All",G375=Dashboard!$A$18),OR(Dashboard!$A$22="All",I375=Dashboard!$A$22))</f>
        <v>1</v>
      </c>
    </row>
    <row r="376" spans="1:16" ht="15.75" customHeight="1">
      <c r="A376" s="4" t="s">
        <v>582</v>
      </c>
      <c r="B376" s="6">
        <v>45445</v>
      </c>
      <c r="C376" s="4">
        <v>2024</v>
      </c>
      <c r="D376" s="4">
        <v>6</v>
      </c>
      <c r="E376" s="4" t="s">
        <v>34</v>
      </c>
      <c r="F376" s="4" t="s">
        <v>8</v>
      </c>
      <c r="G376" s="4" t="s">
        <v>12</v>
      </c>
      <c r="H376" s="4" t="s">
        <v>58</v>
      </c>
      <c r="I376" s="4" t="s">
        <v>7</v>
      </c>
      <c r="J376" s="4" t="s">
        <v>193</v>
      </c>
      <c r="K376" s="4">
        <v>10</v>
      </c>
      <c r="L376" s="5">
        <v>264.10000000000002</v>
      </c>
      <c r="M376" s="5">
        <v>2641</v>
      </c>
      <c r="N376" s="5">
        <v>1606</v>
      </c>
      <c r="O376" s="5">
        <v>1035</v>
      </c>
      <c r="P376" s="4">
        <f>--AND(OR(Dashboard!$A$10="All",C376=Dashboard!$A$10),OR(Dashboard!$A$14="All",F376=Dashboard!$A$14),OR(Dashboard!$A$18="All",G376=Dashboard!$A$18),OR(Dashboard!$A$22="All",I376=Dashboard!$A$22))</f>
        <v>1</v>
      </c>
    </row>
    <row r="377" spans="1:16" ht="15.75" customHeight="1">
      <c r="A377" s="4" t="s">
        <v>583</v>
      </c>
      <c r="B377" s="6">
        <v>46016</v>
      </c>
      <c r="C377" s="4">
        <v>2025</v>
      </c>
      <c r="D377" s="4">
        <v>12</v>
      </c>
      <c r="E377" s="4" t="s">
        <v>57</v>
      </c>
      <c r="F377" s="4" t="s">
        <v>5</v>
      </c>
      <c r="G377" s="4" t="s">
        <v>12</v>
      </c>
      <c r="H377" s="4" t="s">
        <v>124</v>
      </c>
      <c r="I377" s="4" t="s">
        <v>10</v>
      </c>
      <c r="J377" s="4" t="s">
        <v>336</v>
      </c>
      <c r="K377" s="4">
        <v>2</v>
      </c>
      <c r="L377" s="5">
        <v>196.07</v>
      </c>
      <c r="M377" s="5">
        <v>392.14</v>
      </c>
      <c r="N377" s="5">
        <v>234.11</v>
      </c>
      <c r="O377" s="5">
        <v>158.03</v>
      </c>
      <c r="P377" s="4">
        <f>--AND(OR(Dashboard!$A$10="All",C377=Dashboard!$A$10),OR(Dashboard!$A$14="All",F377=Dashboard!$A$14),OR(Dashboard!$A$18="All",G377=Dashboard!$A$18),OR(Dashboard!$A$22="All",I377=Dashboard!$A$22))</f>
        <v>1</v>
      </c>
    </row>
    <row r="378" spans="1:16" ht="15.75" customHeight="1">
      <c r="A378" s="4" t="s">
        <v>584</v>
      </c>
      <c r="B378" s="6">
        <v>45472</v>
      </c>
      <c r="C378" s="4">
        <v>2024</v>
      </c>
      <c r="D378" s="4">
        <v>6</v>
      </c>
      <c r="E378" s="4" t="s">
        <v>34</v>
      </c>
      <c r="F378" s="4" t="s">
        <v>14</v>
      </c>
      <c r="G378" s="4" t="s">
        <v>6</v>
      </c>
      <c r="H378" s="4" t="s">
        <v>80</v>
      </c>
      <c r="I378" s="4" t="s">
        <v>10</v>
      </c>
      <c r="J378" s="4" t="s">
        <v>299</v>
      </c>
      <c r="K378" s="4">
        <v>1</v>
      </c>
      <c r="L378" s="5">
        <v>81.099999999999994</v>
      </c>
      <c r="M378" s="5">
        <v>81.099999999999994</v>
      </c>
      <c r="N378" s="5">
        <v>54.4</v>
      </c>
      <c r="O378" s="5">
        <v>26.7</v>
      </c>
      <c r="P378" s="4">
        <f>--AND(OR(Dashboard!$A$10="All",C378=Dashboard!$A$10),OR(Dashboard!$A$14="All",F378=Dashboard!$A$14),OR(Dashboard!$A$18="All",G378=Dashboard!$A$18),OR(Dashboard!$A$22="All",I378=Dashboard!$A$22))</f>
        <v>1</v>
      </c>
    </row>
    <row r="379" spans="1:16" ht="15.75" customHeight="1">
      <c r="A379" s="4" t="s">
        <v>585</v>
      </c>
      <c r="B379" s="6">
        <v>45302</v>
      </c>
      <c r="C379" s="4">
        <v>2024</v>
      </c>
      <c r="D379" s="4">
        <v>1</v>
      </c>
      <c r="E379" s="4" t="s">
        <v>30</v>
      </c>
      <c r="F379" s="4" t="s">
        <v>5</v>
      </c>
      <c r="G379" s="4" t="s">
        <v>9</v>
      </c>
      <c r="H379" s="4" t="s">
        <v>142</v>
      </c>
      <c r="I379" s="4" t="s">
        <v>13</v>
      </c>
      <c r="J379" s="4" t="s">
        <v>118</v>
      </c>
      <c r="K379" s="4">
        <v>4</v>
      </c>
      <c r="L379" s="5">
        <v>51.09</v>
      </c>
      <c r="M379" s="5">
        <v>204.36</v>
      </c>
      <c r="N379" s="5">
        <v>101.39</v>
      </c>
      <c r="O379" s="5">
        <v>102.97</v>
      </c>
      <c r="P379" s="4">
        <f>--AND(OR(Dashboard!$A$10="All",C379=Dashboard!$A$10),OR(Dashboard!$A$14="All",F379=Dashboard!$A$14),OR(Dashboard!$A$18="All",G379=Dashboard!$A$18),OR(Dashboard!$A$22="All",I379=Dashboard!$A$22))</f>
        <v>1</v>
      </c>
    </row>
    <row r="380" spans="1:16" ht="15.75" customHeight="1">
      <c r="A380" s="4" t="s">
        <v>586</v>
      </c>
      <c r="B380" s="6">
        <v>45587</v>
      </c>
      <c r="C380" s="4">
        <v>2024</v>
      </c>
      <c r="D380" s="4">
        <v>10</v>
      </c>
      <c r="E380" s="4" t="s">
        <v>120</v>
      </c>
      <c r="F380" s="4" t="s">
        <v>5</v>
      </c>
      <c r="G380" s="4" t="s">
        <v>6</v>
      </c>
      <c r="H380" s="4" t="s">
        <v>114</v>
      </c>
      <c r="I380" s="4" t="s">
        <v>7</v>
      </c>
      <c r="J380" s="4" t="s">
        <v>261</v>
      </c>
      <c r="K380" s="4">
        <v>2</v>
      </c>
      <c r="L380" s="5">
        <v>86.21</v>
      </c>
      <c r="M380" s="5">
        <v>172.42</v>
      </c>
      <c r="N380" s="5">
        <v>112.55</v>
      </c>
      <c r="O380" s="5">
        <v>59.87</v>
      </c>
      <c r="P380" s="4">
        <f>--AND(OR(Dashboard!$A$10="All",C380=Dashboard!$A$10),OR(Dashboard!$A$14="All",F380=Dashboard!$A$14),OR(Dashboard!$A$18="All",G380=Dashboard!$A$18),OR(Dashboard!$A$22="All",I380=Dashboard!$A$22))</f>
        <v>1</v>
      </c>
    </row>
    <row r="381" spans="1:16" ht="15.75" customHeight="1">
      <c r="A381" s="4" t="s">
        <v>587</v>
      </c>
      <c r="B381" s="6">
        <v>45886</v>
      </c>
      <c r="C381" s="4">
        <v>2025</v>
      </c>
      <c r="D381" s="4">
        <v>8</v>
      </c>
      <c r="E381" s="4" t="s">
        <v>67</v>
      </c>
      <c r="F381" s="4" t="s">
        <v>11</v>
      </c>
      <c r="G381" s="4" t="s">
        <v>6</v>
      </c>
      <c r="H381" s="4" t="s">
        <v>114</v>
      </c>
      <c r="I381" s="4" t="s">
        <v>7</v>
      </c>
      <c r="J381" s="4" t="s">
        <v>259</v>
      </c>
      <c r="K381" s="4">
        <v>7</v>
      </c>
      <c r="L381" s="5">
        <v>220.98</v>
      </c>
      <c r="M381" s="5">
        <v>1546.86</v>
      </c>
      <c r="N381" s="5">
        <v>1004.1</v>
      </c>
      <c r="O381" s="5">
        <v>542.76</v>
      </c>
      <c r="P381" s="4">
        <f>--AND(OR(Dashboard!$A$10="All",C381=Dashboard!$A$10),OR(Dashboard!$A$14="All",F381=Dashboard!$A$14),OR(Dashboard!$A$18="All",G381=Dashboard!$A$18),OR(Dashboard!$A$22="All",I381=Dashboard!$A$22))</f>
        <v>1</v>
      </c>
    </row>
    <row r="382" spans="1:16" ht="15.75" customHeight="1">
      <c r="A382" s="4" t="s">
        <v>588</v>
      </c>
      <c r="B382" s="6">
        <v>45542</v>
      </c>
      <c r="C382" s="4">
        <v>2024</v>
      </c>
      <c r="D382" s="4">
        <v>9</v>
      </c>
      <c r="E382" s="4" t="s">
        <v>79</v>
      </c>
      <c r="F382" s="4" t="s">
        <v>11</v>
      </c>
      <c r="G382" s="4" t="s">
        <v>12</v>
      </c>
      <c r="H382" s="4" t="s">
        <v>127</v>
      </c>
      <c r="I382" s="4" t="s">
        <v>10</v>
      </c>
      <c r="J382" s="4" t="s">
        <v>164</v>
      </c>
      <c r="K382" s="4">
        <v>3</v>
      </c>
      <c r="L382" s="5">
        <v>252.15</v>
      </c>
      <c r="M382" s="5">
        <v>756.45</v>
      </c>
      <c r="N382" s="5">
        <v>446.22</v>
      </c>
      <c r="O382" s="5">
        <v>310.23</v>
      </c>
      <c r="P382" s="4">
        <f>--AND(OR(Dashboard!$A$10="All",C382=Dashboard!$A$10),OR(Dashboard!$A$14="All",F382=Dashboard!$A$14),OR(Dashboard!$A$18="All",G382=Dashboard!$A$18),OR(Dashboard!$A$22="All",I382=Dashboard!$A$22))</f>
        <v>1</v>
      </c>
    </row>
    <row r="383" spans="1:16" ht="15.75" customHeight="1">
      <c r="A383" s="4" t="s">
        <v>589</v>
      </c>
      <c r="B383" s="6">
        <v>45441</v>
      </c>
      <c r="C383" s="4">
        <v>2024</v>
      </c>
      <c r="D383" s="4">
        <v>5</v>
      </c>
      <c r="E383" s="4" t="s">
        <v>108</v>
      </c>
      <c r="F383" s="4" t="s">
        <v>11</v>
      </c>
      <c r="G383" s="4" t="s">
        <v>12</v>
      </c>
      <c r="H383" s="4" t="s">
        <v>124</v>
      </c>
      <c r="I383" s="4" t="s">
        <v>10</v>
      </c>
      <c r="J383" s="4" t="s">
        <v>153</v>
      </c>
      <c r="K383" s="4">
        <v>2</v>
      </c>
      <c r="L383" s="5">
        <v>229.73</v>
      </c>
      <c r="M383" s="5">
        <v>459.46</v>
      </c>
      <c r="N383" s="5">
        <v>280.33999999999997</v>
      </c>
      <c r="O383" s="5">
        <v>179.12</v>
      </c>
      <c r="P383" s="4">
        <f>--AND(OR(Dashboard!$A$10="All",C383=Dashboard!$A$10),OR(Dashboard!$A$14="All",F383=Dashboard!$A$14),OR(Dashboard!$A$18="All",G383=Dashboard!$A$18),OR(Dashboard!$A$22="All",I383=Dashboard!$A$22))</f>
        <v>1</v>
      </c>
    </row>
    <row r="384" spans="1:16" ht="15.75" customHeight="1">
      <c r="A384" s="4" t="s">
        <v>590</v>
      </c>
      <c r="B384" s="6">
        <v>45766</v>
      </c>
      <c r="C384" s="4">
        <v>2025</v>
      </c>
      <c r="D384" s="4">
        <v>4</v>
      </c>
      <c r="E384" s="4" t="s">
        <v>106</v>
      </c>
      <c r="F384" s="4" t="s">
        <v>5</v>
      </c>
      <c r="G384" s="4" t="s">
        <v>9</v>
      </c>
      <c r="H384" s="4" t="s">
        <v>142</v>
      </c>
      <c r="I384" s="4" t="s">
        <v>7</v>
      </c>
      <c r="J384" s="4" t="s">
        <v>134</v>
      </c>
      <c r="K384" s="4">
        <v>1</v>
      </c>
      <c r="L384" s="5">
        <v>55.86</v>
      </c>
      <c r="M384" s="5">
        <v>55.86</v>
      </c>
      <c r="N384" s="5">
        <v>28.85</v>
      </c>
      <c r="O384" s="5">
        <v>27.01</v>
      </c>
      <c r="P384" s="4">
        <f>--AND(OR(Dashboard!$A$10="All",C384=Dashboard!$A$10),OR(Dashboard!$A$14="All",F384=Dashboard!$A$14),OR(Dashboard!$A$18="All",G384=Dashboard!$A$18),OR(Dashboard!$A$22="All",I384=Dashboard!$A$22))</f>
        <v>1</v>
      </c>
    </row>
    <row r="385" spans="1:16" ht="15.75" customHeight="1">
      <c r="A385" s="4" t="s">
        <v>591</v>
      </c>
      <c r="B385" s="6">
        <v>45899</v>
      </c>
      <c r="C385" s="4">
        <v>2025</v>
      </c>
      <c r="D385" s="4">
        <v>8</v>
      </c>
      <c r="E385" s="4" t="s">
        <v>67</v>
      </c>
      <c r="F385" s="4" t="s">
        <v>5</v>
      </c>
      <c r="G385" s="4" t="s">
        <v>6</v>
      </c>
      <c r="H385" s="4" t="s">
        <v>80</v>
      </c>
      <c r="I385" s="4" t="s">
        <v>13</v>
      </c>
      <c r="J385" s="4" t="s">
        <v>360</v>
      </c>
      <c r="K385" s="4">
        <v>5</v>
      </c>
      <c r="L385" s="5">
        <v>79.510000000000005</v>
      </c>
      <c r="M385" s="5">
        <v>397.55</v>
      </c>
      <c r="N385" s="5">
        <v>271.58999999999997</v>
      </c>
      <c r="O385" s="5">
        <v>125.96</v>
      </c>
      <c r="P385" s="4">
        <f>--AND(OR(Dashboard!$A$10="All",C385=Dashboard!$A$10),OR(Dashboard!$A$14="All",F385=Dashboard!$A$14),OR(Dashboard!$A$18="All",G385=Dashboard!$A$18),OR(Dashboard!$A$22="All",I385=Dashboard!$A$22))</f>
        <v>1</v>
      </c>
    </row>
    <row r="386" spans="1:16" ht="15.75" customHeight="1">
      <c r="A386" s="4" t="s">
        <v>592</v>
      </c>
      <c r="B386" s="6">
        <v>45684</v>
      </c>
      <c r="C386" s="4">
        <v>2025</v>
      </c>
      <c r="D386" s="4">
        <v>1</v>
      </c>
      <c r="E386" s="4" t="s">
        <v>30</v>
      </c>
      <c r="F386" s="4" t="s">
        <v>11</v>
      </c>
      <c r="G386" s="4" t="s">
        <v>6</v>
      </c>
      <c r="H386" s="4" t="s">
        <v>114</v>
      </c>
      <c r="I386" s="4" t="s">
        <v>13</v>
      </c>
      <c r="J386" s="4" t="s">
        <v>214</v>
      </c>
      <c r="K386" s="4">
        <v>1</v>
      </c>
      <c r="L386" s="5">
        <v>86.21</v>
      </c>
      <c r="M386" s="5">
        <v>86.21</v>
      </c>
      <c r="N386" s="5">
        <v>59.55</v>
      </c>
      <c r="O386" s="5">
        <v>26.66</v>
      </c>
      <c r="P386" s="4">
        <f>--AND(OR(Dashboard!$A$10="All",C386=Dashboard!$A$10),OR(Dashboard!$A$14="All",F386=Dashboard!$A$14),OR(Dashboard!$A$18="All",G386=Dashboard!$A$18),OR(Dashboard!$A$22="All",I386=Dashboard!$A$22))</f>
        <v>1</v>
      </c>
    </row>
    <row r="387" spans="1:16" ht="15.75" customHeight="1">
      <c r="A387" s="4" t="s">
        <v>593</v>
      </c>
      <c r="B387" s="6">
        <v>45798</v>
      </c>
      <c r="C387" s="4">
        <v>2025</v>
      </c>
      <c r="D387" s="4">
        <v>5</v>
      </c>
      <c r="E387" s="4" t="s">
        <v>108</v>
      </c>
      <c r="F387" s="4" t="s">
        <v>5</v>
      </c>
      <c r="G387" s="4" t="s">
        <v>6</v>
      </c>
      <c r="H387" s="4" t="s">
        <v>98</v>
      </c>
      <c r="I387" s="4" t="s">
        <v>13</v>
      </c>
      <c r="J387" s="4" t="s">
        <v>362</v>
      </c>
      <c r="K387" s="4">
        <v>5</v>
      </c>
      <c r="L387" s="5">
        <v>165.48</v>
      </c>
      <c r="M387" s="5">
        <v>827.4</v>
      </c>
      <c r="N387" s="5">
        <v>568.26</v>
      </c>
      <c r="O387" s="5">
        <v>259.14</v>
      </c>
      <c r="P387" s="4">
        <f>--AND(OR(Dashboard!$A$10="All",C387=Dashboard!$A$10),OR(Dashboard!$A$14="All",F387=Dashboard!$A$14),OR(Dashboard!$A$18="All",G387=Dashboard!$A$18),OR(Dashboard!$A$22="All",I387=Dashboard!$A$22))</f>
        <v>1</v>
      </c>
    </row>
    <row r="388" spans="1:16" ht="15.75" customHeight="1">
      <c r="A388" s="4" t="s">
        <v>594</v>
      </c>
      <c r="B388" s="6">
        <v>46014</v>
      </c>
      <c r="C388" s="4">
        <v>2025</v>
      </c>
      <c r="D388" s="4">
        <v>12</v>
      </c>
      <c r="E388" s="4" t="s">
        <v>57</v>
      </c>
      <c r="F388" s="4" t="s">
        <v>11</v>
      </c>
      <c r="G388" s="4" t="s">
        <v>9</v>
      </c>
      <c r="H388" s="4" t="s">
        <v>142</v>
      </c>
      <c r="I388" s="4" t="s">
        <v>10</v>
      </c>
      <c r="J388" s="4" t="s">
        <v>186</v>
      </c>
      <c r="K388" s="4">
        <v>5</v>
      </c>
      <c r="L388" s="5">
        <v>55.44</v>
      </c>
      <c r="M388" s="5">
        <v>277.2</v>
      </c>
      <c r="N388" s="5">
        <v>135.49</v>
      </c>
      <c r="O388" s="5">
        <v>141.71</v>
      </c>
      <c r="P388" s="4">
        <f>--AND(OR(Dashboard!$A$10="All",C388=Dashboard!$A$10),OR(Dashboard!$A$14="All",F388=Dashboard!$A$14),OR(Dashboard!$A$18="All",G388=Dashboard!$A$18),OR(Dashboard!$A$22="All",I388=Dashboard!$A$22))</f>
        <v>1</v>
      </c>
    </row>
    <row r="389" spans="1:16" ht="15.75" customHeight="1">
      <c r="A389" s="4" t="s">
        <v>595</v>
      </c>
      <c r="B389" s="6">
        <v>45687</v>
      </c>
      <c r="C389" s="4">
        <v>2025</v>
      </c>
      <c r="D389" s="4">
        <v>1</v>
      </c>
      <c r="E389" s="4" t="s">
        <v>30</v>
      </c>
      <c r="F389" s="4" t="s">
        <v>8</v>
      </c>
      <c r="G389" s="4" t="s">
        <v>9</v>
      </c>
      <c r="H389" s="4" t="s">
        <v>64</v>
      </c>
      <c r="I389" s="4" t="s">
        <v>13</v>
      </c>
      <c r="J389" s="4" t="s">
        <v>314</v>
      </c>
      <c r="K389" s="4">
        <v>1</v>
      </c>
      <c r="L389" s="5">
        <v>28.98</v>
      </c>
      <c r="M389" s="5">
        <v>28.98</v>
      </c>
      <c r="N389" s="5">
        <v>15.17</v>
      </c>
      <c r="O389" s="5">
        <v>13.81</v>
      </c>
      <c r="P389" s="4">
        <f>--AND(OR(Dashboard!$A$10="All",C389=Dashboard!$A$10),OR(Dashboard!$A$14="All",F389=Dashboard!$A$14),OR(Dashboard!$A$18="All",G389=Dashboard!$A$18),OR(Dashboard!$A$22="All",I389=Dashboard!$A$22))</f>
        <v>1</v>
      </c>
    </row>
    <row r="390" spans="1:16" ht="15.75" customHeight="1">
      <c r="A390" s="4" t="s">
        <v>596</v>
      </c>
      <c r="B390" s="6">
        <v>45872</v>
      </c>
      <c r="C390" s="4">
        <v>2025</v>
      </c>
      <c r="D390" s="4">
        <v>8</v>
      </c>
      <c r="E390" s="4" t="s">
        <v>67</v>
      </c>
      <c r="F390" s="4" t="s">
        <v>5</v>
      </c>
      <c r="G390" s="4" t="s">
        <v>6</v>
      </c>
      <c r="H390" s="4" t="s">
        <v>114</v>
      </c>
      <c r="I390" s="4" t="s">
        <v>7</v>
      </c>
      <c r="J390" s="4" t="s">
        <v>153</v>
      </c>
      <c r="K390" s="4">
        <v>3</v>
      </c>
      <c r="L390" s="5">
        <v>186.26</v>
      </c>
      <c r="M390" s="5">
        <v>558.78</v>
      </c>
      <c r="N390" s="5">
        <v>359.57</v>
      </c>
      <c r="O390" s="5">
        <v>199.21</v>
      </c>
      <c r="P390" s="4">
        <f>--AND(OR(Dashboard!$A$10="All",C390=Dashboard!$A$10),OR(Dashboard!$A$14="All",F390=Dashboard!$A$14),OR(Dashboard!$A$18="All",G390=Dashboard!$A$18),OR(Dashboard!$A$22="All",I390=Dashboard!$A$22))</f>
        <v>1</v>
      </c>
    </row>
    <row r="391" spans="1:16" ht="15.75" customHeight="1">
      <c r="A391" s="4" t="s">
        <v>597</v>
      </c>
      <c r="B391" s="6">
        <v>45393</v>
      </c>
      <c r="C391" s="4">
        <v>2024</v>
      </c>
      <c r="D391" s="4">
        <v>4</v>
      </c>
      <c r="E391" s="4" t="s">
        <v>106</v>
      </c>
      <c r="F391" s="4" t="s">
        <v>5</v>
      </c>
      <c r="G391" s="4" t="s">
        <v>9</v>
      </c>
      <c r="H391" s="4" t="s">
        <v>142</v>
      </c>
      <c r="I391" s="4" t="s">
        <v>7</v>
      </c>
      <c r="J391" s="4" t="s">
        <v>491</v>
      </c>
      <c r="K391" s="4">
        <v>2</v>
      </c>
      <c r="L391" s="5">
        <v>66.27</v>
      </c>
      <c r="M391" s="5">
        <v>132.54</v>
      </c>
      <c r="N391" s="5">
        <v>65.03</v>
      </c>
      <c r="O391" s="5">
        <v>67.510000000000005</v>
      </c>
      <c r="P391" s="4">
        <f>--AND(OR(Dashboard!$A$10="All",C391=Dashboard!$A$10),OR(Dashboard!$A$14="All",F391=Dashboard!$A$14),OR(Dashboard!$A$18="All",G391=Dashboard!$A$18),OR(Dashboard!$A$22="All",I391=Dashboard!$A$22))</f>
        <v>1</v>
      </c>
    </row>
    <row r="392" spans="1:16" ht="15.75" customHeight="1">
      <c r="A392" s="4" t="s">
        <v>598</v>
      </c>
      <c r="B392" s="6">
        <v>45726</v>
      </c>
      <c r="C392" s="4">
        <v>2025</v>
      </c>
      <c r="D392" s="4">
        <v>3</v>
      </c>
      <c r="E392" s="4" t="s">
        <v>100</v>
      </c>
      <c r="F392" s="4" t="s">
        <v>5</v>
      </c>
      <c r="G392" s="4" t="s">
        <v>6</v>
      </c>
      <c r="H392" s="4" t="s">
        <v>98</v>
      </c>
      <c r="I392" s="4" t="s">
        <v>7</v>
      </c>
      <c r="J392" s="4" t="s">
        <v>99</v>
      </c>
      <c r="K392" s="4">
        <v>1</v>
      </c>
      <c r="L392" s="5">
        <v>210.57</v>
      </c>
      <c r="M392" s="5">
        <v>210.57</v>
      </c>
      <c r="N392" s="5">
        <v>139.12</v>
      </c>
      <c r="O392" s="5">
        <v>71.45</v>
      </c>
      <c r="P392" s="4">
        <f>--AND(OR(Dashboard!$A$10="All",C392=Dashboard!$A$10),OR(Dashboard!$A$14="All",F392=Dashboard!$A$14),OR(Dashboard!$A$18="All",G392=Dashboard!$A$18),OR(Dashboard!$A$22="All",I392=Dashboard!$A$22))</f>
        <v>1</v>
      </c>
    </row>
    <row r="393" spans="1:16" ht="15.75" customHeight="1">
      <c r="A393" s="4" t="s">
        <v>599</v>
      </c>
      <c r="B393" s="6">
        <v>45782</v>
      </c>
      <c r="C393" s="4">
        <v>2025</v>
      </c>
      <c r="D393" s="4">
        <v>5</v>
      </c>
      <c r="E393" s="4" t="s">
        <v>108</v>
      </c>
      <c r="F393" s="4" t="s">
        <v>5</v>
      </c>
      <c r="G393" s="4" t="s">
        <v>12</v>
      </c>
      <c r="H393" s="4" t="s">
        <v>127</v>
      </c>
      <c r="I393" s="4" t="s">
        <v>10</v>
      </c>
      <c r="J393" s="4" t="s">
        <v>134</v>
      </c>
      <c r="K393" s="4">
        <v>7</v>
      </c>
      <c r="L393" s="5">
        <v>178.59</v>
      </c>
      <c r="M393" s="5">
        <v>1250.1300000000001</v>
      </c>
      <c r="N393" s="5">
        <v>768.57</v>
      </c>
      <c r="O393" s="5">
        <v>481.56</v>
      </c>
      <c r="P393" s="4">
        <f>--AND(OR(Dashboard!$A$10="All",C393=Dashboard!$A$10),OR(Dashboard!$A$14="All",F393=Dashboard!$A$14),OR(Dashboard!$A$18="All",G393=Dashboard!$A$18),OR(Dashboard!$A$22="All",I393=Dashboard!$A$22))</f>
        <v>1</v>
      </c>
    </row>
    <row r="394" spans="1:16" ht="15.75" customHeight="1">
      <c r="A394" s="4" t="s">
        <v>600</v>
      </c>
      <c r="B394" s="6">
        <v>45625</v>
      </c>
      <c r="C394" s="4">
        <v>2024</v>
      </c>
      <c r="D394" s="4">
        <v>11</v>
      </c>
      <c r="E394" s="4" t="s">
        <v>89</v>
      </c>
      <c r="F394" s="4" t="s">
        <v>5</v>
      </c>
      <c r="G394" s="4" t="s">
        <v>9</v>
      </c>
      <c r="H394" s="4" t="s">
        <v>64</v>
      </c>
      <c r="I394" s="4" t="s">
        <v>7</v>
      </c>
      <c r="J394" s="4" t="s">
        <v>186</v>
      </c>
      <c r="K394" s="4">
        <v>13</v>
      </c>
      <c r="L394" s="5">
        <v>23.67</v>
      </c>
      <c r="M394" s="5">
        <v>307.70999999999998</v>
      </c>
      <c r="N394" s="5">
        <v>147.47</v>
      </c>
      <c r="O394" s="5">
        <v>160.24</v>
      </c>
      <c r="P394" s="4">
        <f>--AND(OR(Dashboard!$A$10="All",C394=Dashboard!$A$10),OR(Dashboard!$A$14="All",F394=Dashboard!$A$14),OR(Dashboard!$A$18="All",G394=Dashboard!$A$18),OR(Dashboard!$A$22="All",I394=Dashboard!$A$22))</f>
        <v>1</v>
      </c>
    </row>
    <row r="395" spans="1:16" ht="15.75" customHeight="1">
      <c r="A395" s="4" t="s">
        <v>601</v>
      </c>
      <c r="B395" s="6">
        <v>45720</v>
      </c>
      <c r="C395" s="4">
        <v>2025</v>
      </c>
      <c r="D395" s="4">
        <v>3</v>
      </c>
      <c r="E395" s="4" t="s">
        <v>100</v>
      </c>
      <c r="F395" s="4" t="s">
        <v>8</v>
      </c>
      <c r="G395" s="4" t="s">
        <v>12</v>
      </c>
      <c r="H395" s="4" t="s">
        <v>86</v>
      </c>
      <c r="I395" s="4" t="s">
        <v>7</v>
      </c>
      <c r="J395" s="4" t="s">
        <v>289</v>
      </c>
      <c r="K395" s="4">
        <v>8</v>
      </c>
      <c r="L395" s="5">
        <v>193.37</v>
      </c>
      <c r="M395" s="5">
        <v>1546.96</v>
      </c>
      <c r="N395" s="5">
        <v>927.01</v>
      </c>
      <c r="O395" s="5">
        <v>619.95000000000005</v>
      </c>
      <c r="P395" s="4">
        <f>--AND(OR(Dashboard!$A$10="All",C395=Dashboard!$A$10),OR(Dashboard!$A$14="All",F395=Dashboard!$A$14),OR(Dashboard!$A$18="All",G395=Dashboard!$A$18),OR(Dashboard!$A$22="All",I395=Dashboard!$A$22))</f>
        <v>1</v>
      </c>
    </row>
    <row r="396" spans="1:16" ht="15.75" customHeight="1">
      <c r="A396" s="4" t="s">
        <v>602</v>
      </c>
      <c r="B396" s="6">
        <v>45332</v>
      </c>
      <c r="C396" s="4">
        <v>2024</v>
      </c>
      <c r="D396" s="4">
        <v>2</v>
      </c>
      <c r="E396" s="4" t="s">
        <v>70</v>
      </c>
      <c r="F396" s="4" t="s">
        <v>5</v>
      </c>
      <c r="G396" s="4" t="s">
        <v>9</v>
      </c>
      <c r="H396" s="4" t="s">
        <v>142</v>
      </c>
      <c r="I396" s="4" t="s">
        <v>10</v>
      </c>
      <c r="J396" s="4" t="s">
        <v>202</v>
      </c>
      <c r="K396" s="4">
        <v>2</v>
      </c>
      <c r="L396" s="5">
        <v>27.84</v>
      </c>
      <c r="M396" s="5">
        <v>55.68</v>
      </c>
      <c r="N396" s="5">
        <v>28.8</v>
      </c>
      <c r="O396" s="5">
        <v>26.88</v>
      </c>
      <c r="P396" s="4">
        <f>--AND(OR(Dashboard!$A$10="All",C396=Dashboard!$A$10),OR(Dashboard!$A$14="All",F396=Dashboard!$A$14),OR(Dashboard!$A$18="All",G396=Dashboard!$A$18),OR(Dashboard!$A$22="All",I396=Dashboard!$A$22))</f>
        <v>1</v>
      </c>
    </row>
    <row r="397" spans="1:16" ht="15.75" customHeight="1">
      <c r="A397" s="4" t="s">
        <v>603</v>
      </c>
      <c r="B397" s="6">
        <v>45702</v>
      </c>
      <c r="C397" s="4">
        <v>2025</v>
      </c>
      <c r="D397" s="4">
        <v>2</v>
      </c>
      <c r="E397" s="4" t="s">
        <v>70</v>
      </c>
      <c r="F397" s="4" t="s">
        <v>5</v>
      </c>
      <c r="G397" s="4" t="s">
        <v>9</v>
      </c>
      <c r="H397" s="4" t="s">
        <v>110</v>
      </c>
      <c r="I397" s="4" t="s">
        <v>7</v>
      </c>
      <c r="J397" s="4" t="s">
        <v>94</v>
      </c>
      <c r="K397" s="4">
        <v>1</v>
      </c>
      <c r="L397" s="5">
        <v>42.07</v>
      </c>
      <c r="M397" s="5">
        <v>42.07</v>
      </c>
      <c r="N397" s="5">
        <v>20.88</v>
      </c>
      <c r="O397" s="5">
        <v>21.19</v>
      </c>
      <c r="P397" s="4">
        <f>--AND(OR(Dashboard!$A$10="All",C397=Dashboard!$A$10),OR(Dashboard!$A$14="All",F397=Dashboard!$A$14),OR(Dashboard!$A$18="All",G397=Dashboard!$A$18),OR(Dashboard!$A$22="All",I397=Dashboard!$A$22))</f>
        <v>1</v>
      </c>
    </row>
    <row r="398" spans="1:16" ht="15.75" customHeight="1">
      <c r="A398" s="4" t="s">
        <v>604</v>
      </c>
      <c r="B398" s="6">
        <v>45816</v>
      </c>
      <c r="C398" s="4">
        <v>2025</v>
      </c>
      <c r="D398" s="4">
        <v>6</v>
      </c>
      <c r="E398" s="4" t="s">
        <v>34</v>
      </c>
      <c r="F398" s="4" t="s">
        <v>11</v>
      </c>
      <c r="G398" s="4" t="s">
        <v>6</v>
      </c>
      <c r="H398" s="4" t="s">
        <v>54</v>
      </c>
      <c r="I398" s="4" t="s">
        <v>10</v>
      </c>
      <c r="J398" s="4" t="s">
        <v>189</v>
      </c>
      <c r="K398" s="4">
        <v>1</v>
      </c>
      <c r="L398" s="5">
        <v>84.64</v>
      </c>
      <c r="M398" s="5">
        <v>84.64</v>
      </c>
      <c r="N398" s="5">
        <v>57.08</v>
      </c>
      <c r="O398" s="5">
        <v>27.56</v>
      </c>
      <c r="P398" s="4">
        <f>--AND(OR(Dashboard!$A$10="All",C398=Dashboard!$A$10),OR(Dashboard!$A$14="All",F398=Dashboard!$A$14),OR(Dashboard!$A$18="All",G398=Dashboard!$A$18),OR(Dashboard!$A$22="All",I398=Dashboard!$A$22))</f>
        <v>1</v>
      </c>
    </row>
    <row r="399" spans="1:16" ht="15.75" customHeight="1">
      <c r="A399" s="4" t="s">
        <v>605</v>
      </c>
      <c r="B399" s="6">
        <v>45452</v>
      </c>
      <c r="C399" s="4">
        <v>2024</v>
      </c>
      <c r="D399" s="4">
        <v>6</v>
      </c>
      <c r="E399" s="4" t="s">
        <v>34</v>
      </c>
      <c r="F399" s="4" t="s">
        <v>8</v>
      </c>
      <c r="G399" s="4" t="s">
        <v>9</v>
      </c>
      <c r="H399" s="4" t="s">
        <v>71</v>
      </c>
      <c r="I399" s="4" t="s">
        <v>7</v>
      </c>
      <c r="J399" s="4" t="s">
        <v>159</v>
      </c>
      <c r="K399" s="4">
        <v>2</v>
      </c>
      <c r="L399" s="5">
        <v>36.58</v>
      </c>
      <c r="M399" s="5">
        <v>73.16</v>
      </c>
      <c r="N399" s="5">
        <v>35.64</v>
      </c>
      <c r="O399" s="5">
        <v>37.520000000000003</v>
      </c>
      <c r="P399" s="4">
        <f>--AND(OR(Dashboard!$A$10="All",C399=Dashboard!$A$10),OR(Dashboard!$A$14="All",F399=Dashboard!$A$14),OR(Dashboard!$A$18="All",G399=Dashboard!$A$18),OR(Dashboard!$A$22="All",I399=Dashboard!$A$22))</f>
        <v>1</v>
      </c>
    </row>
    <row r="400" spans="1:16" ht="15.75" customHeight="1">
      <c r="A400" s="4" t="s">
        <v>606</v>
      </c>
      <c r="B400" s="6">
        <v>45935</v>
      </c>
      <c r="C400" s="4">
        <v>2025</v>
      </c>
      <c r="D400" s="4">
        <v>10</v>
      </c>
      <c r="E400" s="4" t="s">
        <v>120</v>
      </c>
      <c r="F400" s="4" t="s">
        <v>11</v>
      </c>
      <c r="G400" s="4" t="s">
        <v>12</v>
      </c>
      <c r="H400" s="4" t="s">
        <v>86</v>
      </c>
      <c r="I400" s="4" t="s">
        <v>7</v>
      </c>
      <c r="J400" s="4" t="s">
        <v>268</v>
      </c>
      <c r="K400" s="4">
        <v>1</v>
      </c>
      <c r="L400" s="5">
        <v>123.82</v>
      </c>
      <c r="M400" s="5">
        <v>123.82</v>
      </c>
      <c r="N400" s="5">
        <v>72.25</v>
      </c>
      <c r="O400" s="5">
        <v>51.57</v>
      </c>
      <c r="P400" s="4">
        <f>--AND(OR(Dashboard!$A$10="All",C400=Dashboard!$A$10),OR(Dashboard!$A$14="All",F400=Dashboard!$A$14),OR(Dashboard!$A$18="All",G400=Dashboard!$A$18),OR(Dashboard!$A$22="All",I400=Dashboard!$A$22))</f>
        <v>1</v>
      </c>
    </row>
    <row r="401" spans="1:16" ht="15.75" customHeight="1">
      <c r="A401" s="4" t="s">
        <v>607</v>
      </c>
      <c r="B401" s="6">
        <v>45308</v>
      </c>
      <c r="C401" s="4">
        <v>2024</v>
      </c>
      <c r="D401" s="4">
        <v>1</v>
      </c>
      <c r="E401" s="4" t="s">
        <v>30</v>
      </c>
      <c r="F401" s="4" t="s">
        <v>11</v>
      </c>
      <c r="G401" s="4" t="s">
        <v>12</v>
      </c>
      <c r="H401" s="4" t="s">
        <v>92</v>
      </c>
      <c r="I401" s="4" t="s">
        <v>7</v>
      </c>
      <c r="J401" s="4" t="s">
        <v>205</v>
      </c>
      <c r="K401" s="4">
        <v>2</v>
      </c>
      <c r="L401" s="5">
        <v>197.1</v>
      </c>
      <c r="M401" s="5">
        <v>394.2</v>
      </c>
      <c r="N401" s="5">
        <v>246.99</v>
      </c>
      <c r="O401" s="5">
        <v>147.21</v>
      </c>
      <c r="P401" s="4">
        <f>--AND(OR(Dashboard!$A$10="All",C401=Dashboard!$A$10),OR(Dashboard!$A$14="All",F401=Dashboard!$A$14),OR(Dashboard!$A$18="All",G401=Dashboard!$A$18),OR(Dashboard!$A$22="All",I401=Dashboard!$A$22))</f>
        <v>1</v>
      </c>
    </row>
    <row r="402" spans="1:16" ht="15.75" customHeight="1">
      <c r="A402" s="4" t="s">
        <v>608</v>
      </c>
      <c r="B402" s="6">
        <v>45393</v>
      </c>
      <c r="C402" s="4">
        <v>2024</v>
      </c>
      <c r="D402" s="4">
        <v>4</v>
      </c>
      <c r="E402" s="4" t="s">
        <v>106</v>
      </c>
      <c r="F402" s="4" t="s">
        <v>11</v>
      </c>
      <c r="G402" s="4" t="s">
        <v>12</v>
      </c>
      <c r="H402" s="4" t="s">
        <v>58</v>
      </c>
      <c r="I402" s="4" t="s">
        <v>7</v>
      </c>
      <c r="J402" s="4" t="s">
        <v>177</v>
      </c>
      <c r="K402" s="4">
        <v>14</v>
      </c>
      <c r="L402" s="5">
        <v>171.57</v>
      </c>
      <c r="M402" s="5">
        <v>2401.98</v>
      </c>
      <c r="N402" s="5">
        <v>1391.28</v>
      </c>
      <c r="O402" s="5">
        <v>1010.7</v>
      </c>
      <c r="P402" s="4">
        <f>--AND(OR(Dashboard!$A$10="All",C402=Dashboard!$A$10),OR(Dashboard!$A$14="All",F402=Dashboard!$A$14),OR(Dashboard!$A$18="All",G402=Dashboard!$A$18),OR(Dashboard!$A$22="All",I402=Dashboard!$A$22))</f>
        <v>1</v>
      </c>
    </row>
    <row r="403" spans="1:16" ht="15.75" customHeight="1">
      <c r="A403" s="4" t="s">
        <v>609</v>
      </c>
      <c r="B403" s="6">
        <v>45366</v>
      </c>
      <c r="C403" s="4">
        <v>2024</v>
      </c>
      <c r="D403" s="4">
        <v>3</v>
      </c>
      <c r="E403" s="4" t="s">
        <v>100</v>
      </c>
      <c r="F403" s="4" t="s">
        <v>5</v>
      </c>
      <c r="G403" s="4" t="s">
        <v>6</v>
      </c>
      <c r="H403" s="4" t="s">
        <v>114</v>
      </c>
      <c r="I403" s="4" t="s">
        <v>10</v>
      </c>
      <c r="J403" s="4" t="s">
        <v>348</v>
      </c>
      <c r="K403" s="4">
        <v>1</v>
      </c>
      <c r="L403" s="5">
        <v>77.8</v>
      </c>
      <c r="M403" s="5">
        <v>77.8</v>
      </c>
      <c r="N403" s="5">
        <v>49.54</v>
      </c>
      <c r="O403" s="5">
        <v>28.26</v>
      </c>
      <c r="P403" s="4">
        <f>--AND(OR(Dashboard!$A$10="All",C403=Dashboard!$A$10),OR(Dashboard!$A$14="All",F403=Dashboard!$A$14),OR(Dashboard!$A$18="All",G403=Dashboard!$A$18),OR(Dashboard!$A$22="All",I403=Dashboard!$A$22))</f>
        <v>1</v>
      </c>
    </row>
    <row r="404" spans="1:16" ht="15.75" customHeight="1">
      <c r="A404" s="4" t="s">
        <v>610</v>
      </c>
      <c r="B404" s="6">
        <v>45560</v>
      </c>
      <c r="C404" s="4">
        <v>2024</v>
      </c>
      <c r="D404" s="4">
        <v>9</v>
      </c>
      <c r="E404" s="4" t="s">
        <v>79</v>
      </c>
      <c r="F404" s="4" t="s">
        <v>5</v>
      </c>
      <c r="G404" s="4" t="s">
        <v>9</v>
      </c>
      <c r="H404" s="4" t="s">
        <v>110</v>
      </c>
      <c r="I404" s="4" t="s">
        <v>7</v>
      </c>
      <c r="J404" s="4" t="s">
        <v>209</v>
      </c>
      <c r="K404" s="4">
        <v>1</v>
      </c>
      <c r="L404" s="5">
        <v>59.9</v>
      </c>
      <c r="M404" s="5">
        <v>59.9</v>
      </c>
      <c r="N404" s="5">
        <v>28.86</v>
      </c>
      <c r="O404" s="5">
        <v>31.04</v>
      </c>
      <c r="P404" s="4">
        <f>--AND(OR(Dashboard!$A$10="All",C404=Dashboard!$A$10),OR(Dashboard!$A$14="All",F404=Dashboard!$A$14),OR(Dashboard!$A$18="All",G404=Dashboard!$A$18),OR(Dashboard!$A$22="All",I404=Dashboard!$A$22))</f>
        <v>1</v>
      </c>
    </row>
    <row r="405" spans="1:16" ht="15.75" customHeight="1">
      <c r="A405" s="4" t="s">
        <v>611</v>
      </c>
      <c r="B405" s="6">
        <v>45674</v>
      </c>
      <c r="C405" s="4">
        <v>2025</v>
      </c>
      <c r="D405" s="4">
        <v>1</v>
      </c>
      <c r="E405" s="4" t="s">
        <v>30</v>
      </c>
      <c r="F405" s="4" t="s">
        <v>5</v>
      </c>
      <c r="G405" s="4" t="s">
        <v>12</v>
      </c>
      <c r="H405" s="4" t="s">
        <v>92</v>
      </c>
      <c r="I405" s="4" t="s">
        <v>13</v>
      </c>
      <c r="J405" s="4" t="s">
        <v>346</v>
      </c>
      <c r="K405" s="4">
        <v>1</v>
      </c>
      <c r="L405" s="5">
        <v>156.82</v>
      </c>
      <c r="M405" s="5">
        <v>156.82</v>
      </c>
      <c r="N405" s="5">
        <v>92.99</v>
      </c>
      <c r="O405" s="5">
        <v>63.83</v>
      </c>
      <c r="P405" s="4">
        <f>--AND(OR(Dashboard!$A$10="All",C405=Dashboard!$A$10),OR(Dashboard!$A$14="All",F405=Dashboard!$A$14),OR(Dashboard!$A$18="All",G405=Dashboard!$A$18),OR(Dashboard!$A$22="All",I405=Dashboard!$A$22))</f>
        <v>1</v>
      </c>
    </row>
    <row r="406" spans="1:16" ht="15.75" customHeight="1">
      <c r="A406" s="4" t="s">
        <v>612</v>
      </c>
      <c r="B406" s="6">
        <v>45315</v>
      </c>
      <c r="C406" s="4">
        <v>2024</v>
      </c>
      <c r="D406" s="4">
        <v>1</v>
      </c>
      <c r="E406" s="4" t="s">
        <v>30</v>
      </c>
      <c r="F406" s="4" t="s">
        <v>11</v>
      </c>
      <c r="G406" s="4" t="s">
        <v>6</v>
      </c>
      <c r="H406" s="4" t="s">
        <v>80</v>
      </c>
      <c r="I406" s="4" t="s">
        <v>7</v>
      </c>
      <c r="J406" s="4" t="s">
        <v>121</v>
      </c>
      <c r="K406" s="4">
        <v>4</v>
      </c>
      <c r="L406" s="5">
        <v>97.5</v>
      </c>
      <c r="M406" s="5">
        <v>390</v>
      </c>
      <c r="N406" s="5">
        <v>260.5</v>
      </c>
      <c r="O406" s="5">
        <v>129.5</v>
      </c>
      <c r="P406" s="4">
        <f>--AND(OR(Dashboard!$A$10="All",C406=Dashboard!$A$10),OR(Dashboard!$A$14="All",F406=Dashboard!$A$14),OR(Dashboard!$A$18="All",G406=Dashboard!$A$18),OR(Dashboard!$A$22="All",I406=Dashboard!$A$22))</f>
        <v>1</v>
      </c>
    </row>
    <row r="407" spans="1:16" ht="15.75" customHeight="1">
      <c r="A407" s="4" t="s">
        <v>613</v>
      </c>
      <c r="B407" s="6">
        <v>45326</v>
      </c>
      <c r="C407" s="4">
        <v>2024</v>
      </c>
      <c r="D407" s="4">
        <v>2</v>
      </c>
      <c r="E407" s="4" t="s">
        <v>70</v>
      </c>
      <c r="F407" s="4" t="s">
        <v>5</v>
      </c>
      <c r="G407" s="4" t="s">
        <v>6</v>
      </c>
      <c r="H407" s="4" t="s">
        <v>136</v>
      </c>
      <c r="I407" s="4" t="s">
        <v>13</v>
      </c>
      <c r="J407" s="4" t="s">
        <v>61</v>
      </c>
      <c r="K407" s="4">
        <v>4</v>
      </c>
      <c r="L407" s="5">
        <v>117.86</v>
      </c>
      <c r="M407" s="5">
        <v>471.44</v>
      </c>
      <c r="N407" s="5">
        <v>319.48</v>
      </c>
      <c r="O407" s="5">
        <v>151.96</v>
      </c>
      <c r="P407" s="4">
        <f>--AND(OR(Dashboard!$A$10="All",C407=Dashboard!$A$10),OR(Dashboard!$A$14="All",F407=Dashboard!$A$14),OR(Dashboard!$A$18="All",G407=Dashboard!$A$18),OR(Dashboard!$A$22="All",I407=Dashboard!$A$22))</f>
        <v>1</v>
      </c>
    </row>
    <row r="408" spans="1:16" ht="15.75" customHeight="1">
      <c r="A408" s="4" t="s">
        <v>614</v>
      </c>
      <c r="B408" s="6">
        <v>45898</v>
      </c>
      <c r="C408" s="4">
        <v>2025</v>
      </c>
      <c r="D408" s="4">
        <v>8</v>
      </c>
      <c r="E408" s="4" t="s">
        <v>67</v>
      </c>
      <c r="F408" s="4" t="s">
        <v>8</v>
      </c>
      <c r="G408" s="4" t="s">
        <v>9</v>
      </c>
      <c r="H408" s="4" t="s">
        <v>35</v>
      </c>
      <c r="I408" s="4" t="s">
        <v>13</v>
      </c>
      <c r="J408" s="4" t="s">
        <v>72</v>
      </c>
      <c r="K408" s="4">
        <v>8</v>
      </c>
      <c r="L408" s="5">
        <v>33.94</v>
      </c>
      <c r="M408" s="5">
        <v>271.52</v>
      </c>
      <c r="N408" s="5">
        <v>129.24</v>
      </c>
      <c r="O408" s="5">
        <v>142.28</v>
      </c>
      <c r="P408" s="4">
        <f>--AND(OR(Dashboard!$A$10="All",C408=Dashboard!$A$10),OR(Dashboard!$A$14="All",F408=Dashboard!$A$14),OR(Dashboard!$A$18="All",G408=Dashboard!$A$18),OR(Dashboard!$A$22="All",I408=Dashboard!$A$22))</f>
        <v>1</v>
      </c>
    </row>
    <row r="409" spans="1:16" ht="15.75" customHeight="1">
      <c r="A409" s="4" t="s">
        <v>615</v>
      </c>
      <c r="B409" s="6">
        <v>45473</v>
      </c>
      <c r="C409" s="4">
        <v>2024</v>
      </c>
      <c r="D409" s="4">
        <v>6</v>
      </c>
      <c r="E409" s="4" t="s">
        <v>34</v>
      </c>
      <c r="F409" s="4" t="s">
        <v>5</v>
      </c>
      <c r="G409" s="4" t="s">
        <v>12</v>
      </c>
      <c r="H409" s="4" t="s">
        <v>86</v>
      </c>
      <c r="I409" s="4" t="s">
        <v>7</v>
      </c>
      <c r="J409" s="4" t="s">
        <v>292</v>
      </c>
      <c r="K409" s="4">
        <v>2</v>
      </c>
      <c r="L409" s="5">
        <v>127.63</v>
      </c>
      <c r="M409" s="5">
        <v>255.26</v>
      </c>
      <c r="N409" s="5">
        <v>157.72999999999999</v>
      </c>
      <c r="O409" s="5">
        <v>97.53</v>
      </c>
      <c r="P409" s="4">
        <f>--AND(OR(Dashboard!$A$10="All",C409=Dashboard!$A$10),OR(Dashboard!$A$14="All",F409=Dashboard!$A$14),OR(Dashboard!$A$18="All",G409=Dashboard!$A$18),OR(Dashboard!$A$22="All",I409=Dashboard!$A$22))</f>
        <v>1</v>
      </c>
    </row>
    <row r="410" spans="1:16" ht="15.75" customHeight="1">
      <c r="A410" s="4" t="s">
        <v>616</v>
      </c>
      <c r="B410" s="6">
        <v>45381</v>
      </c>
      <c r="C410" s="4">
        <v>2024</v>
      </c>
      <c r="D410" s="4">
        <v>3</v>
      </c>
      <c r="E410" s="4" t="s">
        <v>100</v>
      </c>
      <c r="F410" s="4" t="s">
        <v>5</v>
      </c>
      <c r="G410" s="4" t="s">
        <v>6</v>
      </c>
      <c r="H410" s="4" t="s">
        <v>80</v>
      </c>
      <c r="I410" s="4" t="s">
        <v>7</v>
      </c>
      <c r="J410" s="4" t="s">
        <v>216</v>
      </c>
      <c r="K410" s="4">
        <v>2</v>
      </c>
      <c r="L410" s="5">
        <v>128.34</v>
      </c>
      <c r="M410" s="5">
        <v>256.68</v>
      </c>
      <c r="N410" s="5">
        <v>165.89</v>
      </c>
      <c r="O410" s="5">
        <v>90.79</v>
      </c>
      <c r="P410" s="4">
        <f>--AND(OR(Dashboard!$A$10="All",C410=Dashboard!$A$10),OR(Dashboard!$A$14="All",F410=Dashboard!$A$14),OR(Dashboard!$A$18="All",G410=Dashboard!$A$18),OR(Dashboard!$A$22="All",I410=Dashboard!$A$22))</f>
        <v>1</v>
      </c>
    </row>
    <row r="411" spans="1:16" ht="15.75" customHeight="1">
      <c r="A411" s="4" t="s">
        <v>617</v>
      </c>
      <c r="B411" s="6">
        <v>45775</v>
      </c>
      <c r="C411" s="4">
        <v>2025</v>
      </c>
      <c r="D411" s="4">
        <v>4</v>
      </c>
      <c r="E411" s="4" t="s">
        <v>106</v>
      </c>
      <c r="F411" s="4" t="s">
        <v>11</v>
      </c>
      <c r="G411" s="4" t="s">
        <v>9</v>
      </c>
      <c r="H411" s="4" t="s">
        <v>110</v>
      </c>
      <c r="I411" s="4" t="s">
        <v>7</v>
      </c>
      <c r="J411" s="4" t="s">
        <v>268</v>
      </c>
      <c r="K411" s="4">
        <v>1</v>
      </c>
      <c r="L411" s="5">
        <v>35.01</v>
      </c>
      <c r="M411" s="5">
        <v>35.01</v>
      </c>
      <c r="N411" s="5">
        <v>18.11</v>
      </c>
      <c r="O411" s="5">
        <v>16.899999999999999</v>
      </c>
      <c r="P411" s="4">
        <f>--AND(OR(Dashboard!$A$10="All",C411=Dashboard!$A$10),OR(Dashboard!$A$14="All",F411=Dashboard!$A$14),OR(Dashboard!$A$18="All",G411=Dashboard!$A$18),OR(Dashboard!$A$22="All",I411=Dashboard!$A$22))</f>
        <v>1</v>
      </c>
    </row>
    <row r="412" spans="1:16" ht="15.75" customHeight="1">
      <c r="A412" s="4" t="s">
        <v>618</v>
      </c>
      <c r="B412" s="6">
        <v>45545</v>
      </c>
      <c r="C412" s="4">
        <v>2024</v>
      </c>
      <c r="D412" s="4">
        <v>9</v>
      </c>
      <c r="E412" s="4" t="s">
        <v>79</v>
      </c>
      <c r="F412" s="4" t="s">
        <v>5</v>
      </c>
      <c r="G412" s="4" t="s">
        <v>6</v>
      </c>
      <c r="H412" s="4" t="s">
        <v>136</v>
      </c>
      <c r="I412" s="4" t="s">
        <v>7</v>
      </c>
      <c r="J412" s="4" t="s">
        <v>292</v>
      </c>
      <c r="K412" s="4">
        <v>3</v>
      </c>
      <c r="L412" s="5">
        <v>224.53</v>
      </c>
      <c r="M412" s="5">
        <v>673.59</v>
      </c>
      <c r="N412" s="5">
        <v>425.62</v>
      </c>
      <c r="O412" s="5">
        <v>247.97</v>
      </c>
      <c r="P412" s="4">
        <f>--AND(OR(Dashboard!$A$10="All",C412=Dashboard!$A$10),OR(Dashboard!$A$14="All",F412=Dashboard!$A$14),OR(Dashboard!$A$18="All",G412=Dashboard!$A$18),OR(Dashboard!$A$22="All",I412=Dashboard!$A$22))</f>
        <v>1</v>
      </c>
    </row>
    <row r="413" spans="1:16" ht="15.75" customHeight="1">
      <c r="A413" s="4" t="s">
        <v>619</v>
      </c>
      <c r="B413" s="6">
        <v>45648</v>
      </c>
      <c r="C413" s="4">
        <v>2024</v>
      </c>
      <c r="D413" s="4">
        <v>12</v>
      </c>
      <c r="E413" s="4" t="s">
        <v>57</v>
      </c>
      <c r="F413" s="4" t="s">
        <v>8</v>
      </c>
      <c r="G413" s="4" t="s">
        <v>9</v>
      </c>
      <c r="H413" s="4" t="s">
        <v>71</v>
      </c>
      <c r="I413" s="4" t="s">
        <v>10</v>
      </c>
      <c r="J413" s="4" t="s">
        <v>181</v>
      </c>
      <c r="K413" s="4">
        <v>3</v>
      </c>
      <c r="L413" s="5">
        <v>40.56</v>
      </c>
      <c r="M413" s="5">
        <v>121.68</v>
      </c>
      <c r="N413" s="5">
        <v>61.57</v>
      </c>
      <c r="O413" s="5">
        <v>60.11</v>
      </c>
      <c r="P413" s="4">
        <f>--AND(OR(Dashboard!$A$10="All",C413=Dashboard!$A$10),OR(Dashboard!$A$14="All",F413=Dashboard!$A$14),OR(Dashboard!$A$18="All",G413=Dashboard!$A$18),OR(Dashboard!$A$22="All",I413=Dashboard!$A$22))</f>
        <v>1</v>
      </c>
    </row>
    <row r="414" spans="1:16" ht="15.75" customHeight="1">
      <c r="A414" s="4" t="s">
        <v>620</v>
      </c>
      <c r="B414" s="6">
        <v>45896</v>
      </c>
      <c r="C414" s="4">
        <v>2025</v>
      </c>
      <c r="D414" s="4">
        <v>8</v>
      </c>
      <c r="E414" s="4" t="s">
        <v>67</v>
      </c>
      <c r="F414" s="4" t="s">
        <v>8</v>
      </c>
      <c r="G414" s="4" t="s">
        <v>12</v>
      </c>
      <c r="H414" s="4" t="s">
        <v>124</v>
      </c>
      <c r="I414" s="4" t="s">
        <v>7</v>
      </c>
      <c r="J414" s="4" t="s">
        <v>179</v>
      </c>
      <c r="K414" s="4">
        <v>4</v>
      </c>
      <c r="L414" s="5">
        <v>272.42</v>
      </c>
      <c r="M414" s="5">
        <v>1089.68</v>
      </c>
      <c r="N414" s="5">
        <v>649.87</v>
      </c>
      <c r="O414" s="5">
        <v>439.81</v>
      </c>
      <c r="P414" s="4">
        <f>--AND(OR(Dashboard!$A$10="All",C414=Dashboard!$A$10),OR(Dashboard!$A$14="All",F414=Dashboard!$A$14),OR(Dashboard!$A$18="All",G414=Dashboard!$A$18),OR(Dashboard!$A$22="All",I414=Dashboard!$A$22))</f>
        <v>1</v>
      </c>
    </row>
    <row r="415" spans="1:16" ht="15.75" customHeight="1">
      <c r="A415" s="4" t="s">
        <v>621</v>
      </c>
      <c r="B415" s="6">
        <v>45847</v>
      </c>
      <c r="C415" s="4">
        <v>2025</v>
      </c>
      <c r="D415" s="4">
        <v>7</v>
      </c>
      <c r="E415" s="4" t="s">
        <v>63</v>
      </c>
      <c r="F415" s="4" t="s">
        <v>8</v>
      </c>
      <c r="G415" s="4" t="s">
        <v>9</v>
      </c>
      <c r="H415" s="4" t="s">
        <v>64</v>
      </c>
      <c r="I415" s="4" t="s">
        <v>7</v>
      </c>
      <c r="J415" s="4" t="s">
        <v>261</v>
      </c>
      <c r="K415" s="4">
        <v>3</v>
      </c>
      <c r="L415" s="5">
        <v>58.69</v>
      </c>
      <c r="M415" s="5">
        <v>176.07</v>
      </c>
      <c r="N415" s="5">
        <v>90.15</v>
      </c>
      <c r="O415" s="5">
        <v>85.92</v>
      </c>
      <c r="P415" s="4">
        <f>--AND(OR(Dashboard!$A$10="All",C415=Dashboard!$A$10),OR(Dashboard!$A$14="All",F415=Dashboard!$A$14),OR(Dashboard!$A$18="All",G415=Dashboard!$A$18),OR(Dashboard!$A$22="All",I415=Dashboard!$A$22))</f>
        <v>1</v>
      </c>
    </row>
    <row r="416" spans="1:16" ht="15.75" customHeight="1">
      <c r="A416" s="4" t="s">
        <v>622</v>
      </c>
      <c r="B416" s="6">
        <v>45544</v>
      </c>
      <c r="C416" s="4">
        <v>2024</v>
      </c>
      <c r="D416" s="4">
        <v>9</v>
      </c>
      <c r="E416" s="4" t="s">
        <v>79</v>
      </c>
      <c r="F416" s="4" t="s">
        <v>11</v>
      </c>
      <c r="G416" s="4" t="s">
        <v>9</v>
      </c>
      <c r="H416" s="4" t="s">
        <v>64</v>
      </c>
      <c r="I416" s="4" t="s">
        <v>10</v>
      </c>
      <c r="J416" s="4" t="s">
        <v>153</v>
      </c>
      <c r="K416" s="4">
        <v>6</v>
      </c>
      <c r="L416" s="5">
        <v>54.8</v>
      </c>
      <c r="M416" s="5">
        <v>328.8</v>
      </c>
      <c r="N416" s="5">
        <v>171.3</v>
      </c>
      <c r="O416" s="5">
        <v>157.5</v>
      </c>
      <c r="P416" s="4">
        <f>--AND(OR(Dashboard!$A$10="All",C416=Dashboard!$A$10),OR(Dashboard!$A$14="All",F416=Dashboard!$A$14),OR(Dashboard!$A$18="All",G416=Dashboard!$A$18),OR(Dashboard!$A$22="All",I416=Dashboard!$A$22))</f>
        <v>1</v>
      </c>
    </row>
    <row r="417" spans="1:16" ht="15.75" customHeight="1">
      <c r="A417" s="4" t="s">
        <v>623</v>
      </c>
      <c r="B417" s="6">
        <v>45730</v>
      </c>
      <c r="C417" s="4">
        <v>2025</v>
      </c>
      <c r="D417" s="4">
        <v>3</v>
      </c>
      <c r="E417" s="4" t="s">
        <v>100</v>
      </c>
      <c r="F417" s="4" t="s">
        <v>5</v>
      </c>
      <c r="G417" s="4" t="s">
        <v>12</v>
      </c>
      <c r="H417" s="4" t="s">
        <v>86</v>
      </c>
      <c r="I417" s="4" t="s">
        <v>10</v>
      </c>
      <c r="J417" s="4" t="s">
        <v>247</v>
      </c>
      <c r="K417" s="4">
        <v>4</v>
      </c>
      <c r="L417" s="5">
        <v>117.22</v>
      </c>
      <c r="M417" s="5">
        <v>468.88</v>
      </c>
      <c r="N417" s="5">
        <v>270.5</v>
      </c>
      <c r="O417" s="5">
        <v>198.38</v>
      </c>
      <c r="P417" s="4">
        <f>--AND(OR(Dashboard!$A$10="All",C417=Dashboard!$A$10),OR(Dashboard!$A$14="All",F417=Dashboard!$A$14),OR(Dashboard!$A$18="All",G417=Dashboard!$A$18),OR(Dashboard!$A$22="All",I417=Dashboard!$A$22))</f>
        <v>1</v>
      </c>
    </row>
    <row r="418" spans="1:16" ht="15.75" customHeight="1">
      <c r="A418" s="4" t="s">
        <v>624</v>
      </c>
      <c r="B418" s="6">
        <v>45385</v>
      </c>
      <c r="C418" s="4">
        <v>2024</v>
      </c>
      <c r="D418" s="4">
        <v>4</v>
      </c>
      <c r="E418" s="4" t="s">
        <v>106</v>
      </c>
      <c r="F418" s="4" t="s">
        <v>14</v>
      </c>
      <c r="G418" s="4" t="s">
        <v>9</v>
      </c>
      <c r="H418" s="4" t="s">
        <v>110</v>
      </c>
      <c r="I418" s="4" t="s">
        <v>7</v>
      </c>
      <c r="J418" s="4" t="s">
        <v>216</v>
      </c>
      <c r="K418" s="4">
        <v>1</v>
      </c>
      <c r="L418" s="5">
        <v>60.37</v>
      </c>
      <c r="M418" s="5">
        <v>60.37</v>
      </c>
      <c r="N418" s="5">
        <v>30.62</v>
      </c>
      <c r="O418" s="5">
        <v>29.75</v>
      </c>
      <c r="P418" s="4">
        <f>--AND(OR(Dashboard!$A$10="All",C418=Dashboard!$A$10),OR(Dashboard!$A$14="All",F418=Dashboard!$A$14),OR(Dashboard!$A$18="All",G418=Dashboard!$A$18),OR(Dashboard!$A$22="All",I418=Dashboard!$A$22))</f>
        <v>1</v>
      </c>
    </row>
    <row r="419" spans="1:16" ht="15.75" customHeight="1">
      <c r="A419" s="4" t="s">
        <v>625</v>
      </c>
      <c r="B419" s="6">
        <v>45848</v>
      </c>
      <c r="C419" s="4">
        <v>2025</v>
      </c>
      <c r="D419" s="4">
        <v>7</v>
      </c>
      <c r="E419" s="4" t="s">
        <v>63</v>
      </c>
      <c r="F419" s="4" t="s">
        <v>8</v>
      </c>
      <c r="G419" s="4" t="s">
        <v>9</v>
      </c>
      <c r="H419" s="4" t="s">
        <v>71</v>
      </c>
      <c r="I419" s="4" t="s">
        <v>7</v>
      </c>
      <c r="J419" s="4" t="s">
        <v>131</v>
      </c>
      <c r="K419" s="4">
        <v>2</v>
      </c>
      <c r="L419" s="5">
        <v>45.76</v>
      </c>
      <c r="M419" s="5">
        <v>91.52</v>
      </c>
      <c r="N419" s="5">
        <v>44.36</v>
      </c>
      <c r="O419" s="5">
        <v>47.16</v>
      </c>
      <c r="P419" s="4">
        <f>--AND(OR(Dashboard!$A$10="All",C419=Dashboard!$A$10),OR(Dashboard!$A$14="All",F419=Dashboard!$A$14),OR(Dashboard!$A$18="All",G419=Dashboard!$A$18),OR(Dashboard!$A$22="All",I419=Dashboard!$A$22))</f>
        <v>1</v>
      </c>
    </row>
    <row r="420" spans="1:16" ht="15.75" customHeight="1">
      <c r="A420" s="4" t="s">
        <v>626</v>
      </c>
      <c r="B420" s="6">
        <v>45475</v>
      </c>
      <c r="C420" s="4">
        <v>2024</v>
      </c>
      <c r="D420" s="4">
        <v>7</v>
      </c>
      <c r="E420" s="4" t="s">
        <v>63</v>
      </c>
      <c r="F420" s="4" t="s">
        <v>5</v>
      </c>
      <c r="G420" s="4" t="s">
        <v>12</v>
      </c>
      <c r="H420" s="4" t="s">
        <v>124</v>
      </c>
      <c r="I420" s="4" t="s">
        <v>7</v>
      </c>
      <c r="J420" s="4" t="s">
        <v>299</v>
      </c>
      <c r="K420" s="4">
        <v>1</v>
      </c>
      <c r="L420" s="5">
        <v>143.88999999999999</v>
      </c>
      <c r="M420" s="5">
        <v>143.88999999999999</v>
      </c>
      <c r="N420" s="5">
        <v>87.04</v>
      </c>
      <c r="O420" s="5">
        <v>56.85</v>
      </c>
      <c r="P420" s="4">
        <f>--AND(OR(Dashboard!$A$10="All",C420=Dashboard!$A$10),OR(Dashboard!$A$14="All",F420=Dashboard!$A$14),OR(Dashboard!$A$18="All",G420=Dashboard!$A$18),OR(Dashboard!$A$22="All",I420=Dashboard!$A$22))</f>
        <v>1</v>
      </c>
    </row>
    <row r="421" spans="1:16" ht="15.75" customHeight="1">
      <c r="A421" s="4" t="s">
        <v>627</v>
      </c>
      <c r="B421" s="6">
        <v>45888</v>
      </c>
      <c r="C421" s="4">
        <v>2025</v>
      </c>
      <c r="D421" s="4">
        <v>8</v>
      </c>
      <c r="E421" s="4" t="s">
        <v>67</v>
      </c>
      <c r="F421" s="4" t="s">
        <v>5</v>
      </c>
      <c r="G421" s="4" t="s">
        <v>9</v>
      </c>
      <c r="H421" s="4" t="s">
        <v>110</v>
      </c>
      <c r="I421" s="4" t="s">
        <v>7</v>
      </c>
      <c r="J421" s="4" t="s">
        <v>280</v>
      </c>
      <c r="K421" s="4">
        <v>2</v>
      </c>
      <c r="L421" s="5">
        <v>56.16</v>
      </c>
      <c r="M421" s="5">
        <v>112.32</v>
      </c>
      <c r="N421" s="5">
        <v>56.02</v>
      </c>
      <c r="O421" s="5">
        <v>56.3</v>
      </c>
      <c r="P421" s="4">
        <f>--AND(OR(Dashboard!$A$10="All",C421=Dashboard!$A$10),OR(Dashboard!$A$14="All",F421=Dashboard!$A$14),OR(Dashboard!$A$18="All",G421=Dashboard!$A$18),OR(Dashboard!$A$22="All",I421=Dashboard!$A$22))</f>
        <v>1</v>
      </c>
    </row>
    <row r="422" spans="1:16" ht="15.75" customHeight="1">
      <c r="A422" s="4" t="s">
        <v>628</v>
      </c>
      <c r="B422" s="6">
        <v>45581</v>
      </c>
      <c r="C422" s="4">
        <v>2024</v>
      </c>
      <c r="D422" s="4">
        <v>10</v>
      </c>
      <c r="E422" s="4" t="s">
        <v>120</v>
      </c>
      <c r="F422" s="4" t="s">
        <v>5</v>
      </c>
      <c r="G422" s="4" t="s">
        <v>12</v>
      </c>
      <c r="H422" s="4" t="s">
        <v>86</v>
      </c>
      <c r="I422" s="4" t="s">
        <v>10</v>
      </c>
      <c r="J422" s="4" t="s">
        <v>94</v>
      </c>
      <c r="K422" s="4">
        <v>4</v>
      </c>
      <c r="L422" s="5">
        <v>325.85000000000002</v>
      </c>
      <c r="M422" s="5">
        <v>1303.4000000000001</v>
      </c>
      <c r="N422" s="5">
        <v>754.7</v>
      </c>
      <c r="O422" s="5">
        <v>548.70000000000005</v>
      </c>
      <c r="P422" s="4">
        <f>--AND(OR(Dashboard!$A$10="All",C422=Dashboard!$A$10),OR(Dashboard!$A$14="All",F422=Dashboard!$A$14),OR(Dashboard!$A$18="All",G422=Dashboard!$A$18),OR(Dashboard!$A$22="All",I422=Dashboard!$A$22))</f>
        <v>1</v>
      </c>
    </row>
    <row r="423" spans="1:16" ht="15.75" customHeight="1">
      <c r="A423" s="4" t="s">
        <v>629</v>
      </c>
      <c r="B423" s="6">
        <v>45461</v>
      </c>
      <c r="C423" s="4">
        <v>2024</v>
      </c>
      <c r="D423" s="4">
        <v>6</v>
      </c>
      <c r="E423" s="4" t="s">
        <v>34</v>
      </c>
      <c r="F423" s="4" t="s">
        <v>5</v>
      </c>
      <c r="G423" s="4" t="s">
        <v>6</v>
      </c>
      <c r="H423" s="4" t="s">
        <v>80</v>
      </c>
      <c r="I423" s="4" t="s">
        <v>13</v>
      </c>
      <c r="J423" s="4" t="s">
        <v>346</v>
      </c>
      <c r="K423" s="4">
        <v>9</v>
      </c>
      <c r="L423" s="5">
        <v>80.239999999999995</v>
      </c>
      <c r="M423" s="5">
        <v>722.16</v>
      </c>
      <c r="N423" s="5">
        <v>489.56</v>
      </c>
      <c r="O423" s="5">
        <v>232.6</v>
      </c>
      <c r="P423" s="4">
        <f>--AND(OR(Dashboard!$A$10="All",C423=Dashboard!$A$10),OR(Dashboard!$A$14="All",F423=Dashboard!$A$14),OR(Dashboard!$A$18="All",G423=Dashboard!$A$18),OR(Dashboard!$A$22="All",I423=Dashboard!$A$22))</f>
        <v>1</v>
      </c>
    </row>
    <row r="424" spans="1:16" ht="15.75" customHeight="1">
      <c r="A424" s="4" t="s">
        <v>630</v>
      </c>
      <c r="B424" s="6">
        <v>45681</v>
      </c>
      <c r="C424" s="4">
        <v>2025</v>
      </c>
      <c r="D424" s="4">
        <v>1</v>
      </c>
      <c r="E424" s="4" t="s">
        <v>30</v>
      </c>
      <c r="F424" s="4" t="s">
        <v>8</v>
      </c>
      <c r="G424" s="4" t="s">
        <v>6</v>
      </c>
      <c r="H424" s="4" t="s">
        <v>54</v>
      </c>
      <c r="I424" s="4" t="s">
        <v>10</v>
      </c>
      <c r="J424" s="4" t="s">
        <v>125</v>
      </c>
      <c r="K424" s="4">
        <v>8</v>
      </c>
      <c r="L424" s="5">
        <v>142.25</v>
      </c>
      <c r="M424" s="5">
        <v>1138</v>
      </c>
      <c r="N424" s="5">
        <v>721.19</v>
      </c>
      <c r="O424" s="5">
        <v>416.81</v>
      </c>
      <c r="P424" s="4">
        <f>--AND(OR(Dashboard!$A$10="All",C424=Dashboard!$A$10),OR(Dashboard!$A$14="All",F424=Dashboard!$A$14),OR(Dashboard!$A$18="All",G424=Dashboard!$A$18),OR(Dashboard!$A$22="All",I424=Dashboard!$A$22))</f>
        <v>1</v>
      </c>
    </row>
    <row r="425" spans="1:16" ht="15.75" customHeight="1">
      <c r="A425" s="4" t="s">
        <v>631</v>
      </c>
      <c r="B425" s="6">
        <v>45496</v>
      </c>
      <c r="C425" s="4">
        <v>2024</v>
      </c>
      <c r="D425" s="4">
        <v>7</v>
      </c>
      <c r="E425" s="4" t="s">
        <v>63</v>
      </c>
      <c r="F425" s="4" t="s">
        <v>5</v>
      </c>
      <c r="G425" s="4" t="s">
        <v>12</v>
      </c>
      <c r="H425" s="4" t="s">
        <v>92</v>
      </c>
      <c r="I425" s="4" t="s">
        <v>13</v>
      </c>
      <c r="J425" s="4" t="s">
        <v>379</v>
      </c>
      <c r="K425" s="4">
        <v>1</v>
      </c>
      <c r="L425" s="5">
        <v>309.91000000000003</v>
      </c>
      <c r="M425" s="5">
        <v>309.91000000000003</v>
      </c>
      <c r="N425" s="5">
        <v>191.49</v>
      </c>
      <c r="O425" s="5">
        <v>118.42</v>
      </c>
      <c r="P425" s="4">
        <f>--AND(OR(Dashboard!$A$10="All",C425=Dashboard!$A$10),OR(Dashboard!$A$14="All",F425=Dashboard!$A$14),OR(Dashboard!$A$18="All",G425=Dashboard!$A$18),OR(Dashboard!$A$22="All",I425=Dashboard!$A$22))</f>
        <v>1</v>
      </c>
    </row>
    <row r="426" spans="1:16" ht="15.75" customHeight="1">
      <c r="A426" s="4" t="s">
        <v>632</v>
      </c>
      <c r="B426" s="6">
        <v>45984</v>
      </c>
      <c r="C426" s="4">
        <v>2025</v>
      </c>
      <c r="D426" s="4">
        <v>11</v>
      </c>
      <c r="E426" s="4" t="s">
        <v>89</v>
      </c>
      <c r="F426" s="4" t="s">
        <v>8</v>
      </c>
      <c r="G426" s="4" t="s">
        <v>6</v>
      </c>
      <c r="H426" s="4" t="s">
        <v>54</v>
      </c>
      <c r="I426" s="4" t="s">
        <v>10</v>
      </c>
      <c r="J426" s="4" t="s">
        <v>191</v>
      </c>
      <c r="K426" s="4">
        <v>3</v>
      </c>
      <c r="L426" s="5">
        <v>92.09</v>
      </c>
      <c r="M426" s="5">
        <v>276.27</v>
      </c>
      <c r="N426" s="5">
        <v>180.05</v>
      </c>
      <c r="O426" s="5">
        <v>96.22</v>
      </c>
      <c r="P426" s="4">
        <f>--AND(OR(Dashboard!$A$10="All",C426=Dashboard!$A$10),OR(Dashboard!$A$14="All",F426=Dashboard!$A$14),OR(Dashboard!$A$18="All",G426=Dashboard!$A$18),OR(Dashboard!$A$22="All",I426=Dashboard!$A$22))</f>
        <v>1</v>
      </c>
    </row>
    <row r="427" spans="1:16" ht="15.75" customHeight="1">
      <c r="A427" s="4" t="s">
        <v>633</v>
      </c>
      <c r="B427" s="6">
        <v>45418</v>
      </c>
      <c r="C427" s="4">
        <v>2024</v>
      </c>
      <c r="D427" s="4">
        <v>5</v>
      </c>
      <c r="E427" s="4" t="s">
        <v>108</v>
      </c>
      <c r="F427" s="4" t="s">
        <v>14</v>
      </c>
      <c r="G427" s="4" t="s">
        <v>6</v>
      </c>
      <c r="H427" s="4" t="s">
        <v>136</v>
      </c>
      <c r="I427" s="4" t="s">
        <v>13</v>
      </c>
      <c r="J427" s="4" t="s">
        <v>65</v>
      </c>
      <c r="K427" s="4">
        <v>5</v>
      </c>
      <c r="L427" s="5">
        <v>138.53</v>
      </c>
      <c r="M427" s="5">
        <v>692.65</v>
      </c>
      <c r="N427" s="5">
        <v>442.34</v>
      </c>
      <c r="O427" s="5">
        <v>250.31</v>
      </c>
      <c r="P427" s="4">
        <f>--AND(OR(Dashboard!$A$10="All",C427=Dashboard!$A$10),OR(Dashboard!$A$14="All",F427=Dashboard!$A$14),OR(Dashboard!$A$18="All",G427=Dashboard!$A$18),OR(Dashboard!$A$22="All",I427=Dashboard!$A$22))</f>
        <v>1</v>
      </c>
    </row>
    <row r="428" spans="1:16" ht="15.75" customHeight="1">
      <c r="A428" s="4" t="s">
        <v>634</v>
      </c>
      <c r="B428" s="6">
        <v>45692</v>
      </c>
      <c r="C428" s="4">
        <v>2025</v>
      </c>
      <c r="D428" s="4">
        <v>2</v>
      </c>
      <c r="E428" s="4" t="s">
        <v>70</v>
      </c>
      <c r="F428" s="4" t="s">
        <v>8</v>
      </c>
      <c r="G428" s="4" t="s">
        <v>9</v>
      </c>
      <c r="H428" s="4" t="s">
        <v>110</v>
      </c>
      <c r="I428" s="4" t="s">
        <v>13</v>
      </c>
      <c r="J428" s="4" t="s">
        <v>235</v>
      </c>
      <c r="K428" s="4">
        <v>1</v>
      </c>
      <c r="L428" s="5">
        <v>55.99</v>
      </c>
      <c r="M428" s="5">
        <v>55.99</v>
      </c>
      <c r="N428" s="5">
        <v>27.63</v>
      </c>
      <c r="O428" s="5">
        <v>28.36</v>
      </c>
      <c r="P428" s="4">
        <f>--AND(OR(Dashboard!$A$10="All",C428=Dashboard!$A$10),OR(Dashboard!$A$14="All",F428=Dashboard!$A$14),OR(Dashboard!$A$18="All",G428=Dashboard!$A$18),OR(Dashboard!$A$22="All",I428=Dashboard!$A$22))</f>
        <v>1</v>
      </c>
    </row>
    <row r="429" spans="1:16" ht="15.75" customHeight="1">
      <c r="A429" s="4" t="s">
        <v>635</v>
      </c>
      <c r="B429" s="6">
        <v>45577</v>
      </c>
      <c r="C429" s="4">
        <v>2024</v>
      </c>
      <c r="D429" s="4">
        <v>10</v>
      </c>
      <c r="E429" s="4" t="s">
        <v>120</v>
      </c>
      <c r="F429" s="4" t="s">
        <v>5</v>
      </c>
      <c r="G429" s="4" t="s">
        <v>9</v>
      </c>
      <c r="H429" s="4" t="s">
        <v>110</v>
      </c>
      <c r="I429" s="4" t="s">
        <v>7</v>
      </c>
      <c r="J429" s="4" t="s">
        <v>299</v>
      </c>
      <c r="K429" s="4">
        <v>1</v>
      </c>
      <c r="L429" s="5">
        <v>37.51</v>
      </c>
      <c r="M429" s="5">
        <v>37.51</v>
      </c>
      <c r="N429" s="5">
        <v>17.850000000000001</v>
      </c>
      <c r="O429" s="5">
        <v>19.66</v>
      </c>
      <c r="P429" s="4">
        <f>--AND(OR(Dashboard!$A$10="All",C429=Dashboard!$A$10),OR(Dashboard!$A$14="All",F429=Dashboard!$A$14),OR(Dashboard!$A$18="All",G429=Dashboard!$A$18),OR(Dashboard!$A$22="All",I429=Dashboard!$A$22))</f>
        <v>1</v>
      </c>
    </row>
    <row r="430" spans="1:16" ht="15.75" customHeight="1">
      <c r="A430" s="4" t="s">
        <v>636</v>
      </c>
      <c r="B430" s="6">
        <v>45827</v>
      </c>
      <c r="C430" s="4">
        <v>2025</v>
      </c>
      <c r="D430" s="4">
        <v>6</v>
      </c>
      <c r="E430" s="4" t="s">
        <v>34</v>
      </c>
      <c r="F430" s="4" t="s">
        <v>5</v>
      </c>
      <c r="G430" s="4" t="s">
        <v>12</v>
      </c>
      <c r="H430" s="4" t="s">
        <v>86</v>
      </c>
      <c r="I430" s="4" t="s">
        <v>13</v>
      </c>
      <c r="J430" s="4" t="s">
        <v>276</v>
      </c>
      <c r="K430" s="4">
        <v>4</v>
      </c>
      <c r="L430" s="5">
        <v>239.7</v>
      </c>
      <c r="M430" s="5">
        <v>958.8</v>
      </c>
      <c r="N430" s="5">
        <v>560.48</v>
      </c>
      <c r="O430" s="5">
        <v>398.32</v>
      </c>
      <c r="P430" s="4">
        <f>--AND(OR(Dashboard!$A$10="All",C430=Dashboard!$A$10),OR(Dashboard!$A$14="All",F430=Dashboard!$A$14),OR(Dashboard!$A$18="All",G430=Dashboard!$A$18),OR(Dashboard!$A$22="All",I430=Dashboard!$A$22))</f>
        <v>1</v>
      </c>
    </row>
    <row r="431" spans="1:16" ht="15.75" customHeight="1">
      <c r="A431" s="4" t="s">
        <v>637</v>
      </c>
      <c r="B431" s="6">
        <v>45826</v>
      </c>
      <c r="C431" s="4">
        <v>2025</v>
      </c>
      <c r="D431" s="4">
        <v>6</v>
      </c>
      <c r="E431" s="4" t="s">
        <v>34</v>
      </c>
      <c r="F431" s="4" t="s">
        <v>5</v>
      </c>
      <c r="G431" s="4" t="s">
        <v>6</v>
      </c>
      <c r="H431" s="4" t="s">
        <v>114</v>
      </c>
      <c r="I431" s="4" t="s">
        <v>13</v>
      </c>
      <c r="J431" s="4" t="s">
        <v>263</v>
      </c>
      <c r="K431" s="4">
        <v>5</v>
      </c>
      <c r="L431" s="5">
        <v>100.4</v>
      </c>
      <c r="M431" s="5">
        <v>502</v>
      </c>
      <c r="N431" s="5">
        <v>315.2</v>
      </c>
      <c r="O431" s="5">
        <v>186.8</v>
      </c>
      <c r="P431" s="4">
        <f>--AND(OR(Dashboard!$A$10="All",C431=Dashboard!$A$10),OR(Dashboard!$A$14="All",F431=Dashboard!$A$14),OR(Dashboard!$A$18="All",G431=Dashboard!$A$18),OR(Dashboard!$A$22="All",I431=Dashboard!$A$22))</f>
        <v>1</v>
      </c>
    </row>
    <row r="432" spans="1:16" ht="15.75" customHeight="1">
      <c r="A432" s="4" t="s">
        <v>638</v>
      </c>
      <c r="B432" s="6">
        <v>45542</v>
      </c>
      <c r="C432" s="4">
        <v>2024</v>
      </c>
      <c r="D432" s="4">
        <v>9</v>
      </c>
      <c r="E432" s="4" t="s">
        <v>79</v>
      </c>
      <c r="F432" s="4" t="s">
        <v>8</v>
      </c>
      <c r="G432" s="4" t="s">
        <v>9</v>
      </c>
      <c r="H432" s="4" t="s">
        <v>110</v>
      </c>
      <c r="I432" s="4" t="s">
        <v>10</v>
      </c>
      <c r="J432" s="4" t="s">
        <v>230</v>
      </c>
      <c r="K432" s="4">
        <v>1</v>
      </c>
      <c r="L432" s="5">
        <v>51.87</v>
      </c>
      <c r="M432" s="5">
        <v>51.87</v>
      </c>
      <c r="N432" s="5">
        <v>25.27</v>
      </c>
      <c r="O432" s="5">
        <v>26.6</v>
      </c>
      <c r="P432" s="4">
        <f>--AND(OR(Dashboard!$A$10="All",C432=Dashboard!$A$10),OR(Dashboard!$A$14="All",F432=Dashboard!$A$14),OR(Dashboard!$A$18="All",G432=Dashboard!$A$18),OR(Dashboard!$A$22="All",I432=Dashboard!$A$22))</f>
        <v>1</v>
      </c>
    </row>
    <row r="433" spans="1:16" ht="15.75" customHeight="1">
      <c r="A433" s="4" t="s">
        <v>639</v>
      </c>
      <c r="B433" s="6">
        <v>45548</v>
      </c>
      <c r="C433" s="4">
        <v>2024</v>
      </c>
      <c r="D433" s="4">
        <v>9</v>
      </c>
      <c r="E433" s="4" t="s">
        <v>79</v>
      </c>
      <c r="F433" s="4" t="s">
        <v>5</v>
      </c>
      <c r="G433" s="4" t="s">
        <v>12</v>
      </c>
      <c r="H433" s="4" t="s">
        <v>124</v>
      </c>
      <c r="I433" s="4" t="s">
        <v>13</v>
      </c>
      <c r="J433" s="4" t="s">
        <v>104</v>
      </c>
      <c r="K433" s="4">
        <v>6</v>
      </c>
      <c r="L433" s="5">
        <v>313.3</v>
      </c>
      <c r="M433" s="5">
        <v>1879.8</v>
      </c>
      <c r="N433" s="5">
        <v>1167.6600000000001</v>
      </c>
      <c r="O433" s="5">
        <v>712.14</v>
      </c>
      <c r="P433" s="4">
        <f>--AND(OR(Dashboard!$A$10="All",C433=Dashboard!$A$10),OR(Dashboard!$A$14="All",F433=Dashboard!$A$14),OR(Dashboard!$A$18="All",G433=Dashboard!$A$18),OR(Dashboard!$A$22="All",I433=Dashboard!$A$22))</f>
        <v>1</v>
      </c>
    </row>
    <row r="434" spans="1:16" ht="15.75" customHeight="1">
      <c r="A434" s="4" t="s">
        <v>640</v>
      </c>
      <c r="B434" s="6">
        <v>46005</v>
      </c>
      <c r="C434" s="4">
        <v>2025</v>
      </c>
      <c r="D434" s="4">
        <v>12</v>
      </c>
      <c r="E434" s="4" t="s">
        <v>57</v>
      </c>
      <c r="F434" s="4" t="s">
        <v>11</v>
      </c>
      <c r="G434" s="4" t="s">
        <v>6</v>
      </c>
      <c r="H434" s="4" t="s">
        <v>80</v>
      </c>
      <c r="I434" s="4" t="s">
        <v>7</v>
      </c>
      <c r="J434" s="4" t="s">
        <v>207</v>
      </c>
      <c r="K434" s="4">
        <v>2</v>
      </c>
      <c r="L434" s="5">
        <v>113.15</v>
      </c>
      <c r="M434" s="5">
        <v>226.3</v>
      </c>
      <c r="N434" s="5">
        <v>150.99</v>
      </c>
      <c r="O434" s="5">
        <v>75.31</v>
      </c>
      <c r="P434" s="4">
        <f>--AND(OR(Dashboard!$A$10="All",C434=Dashboard!$A$10),OR(Dashboard!$A$14="All",F434=Dashboard!$A$14),OR(Dashboard!$A$18="All",G434=Dashboard!$A$18),OR(Dashboard!$A$22="All",I434=Dashboard!$A$22))</f>
        <v>1</v>
      </c>
    </row>
    <row r="435" spans="1:16" ht="15.75" customHeight="1">
      <c r="A435" s="4" t="s">
        <v>641</v>
      </c>
      <c r="B435" s="6">
        <v>45362</v>
      </c>
      <c r="C435" s="4">
        <v>2024</v>
      </c>
      <c r="D435" s="4">
        <v>3</v>
      </c>
      <c r="E435" s="4" t="s">
        <v>100</v>
      </c>
      <c r="F435" s="4" t="s">
        <v>11</v>
      </c>
      <c r="G435" s="4" t="s">
        <v>9</v>
      </c>
      <c r="H435" s="4" t="s">
        <v>71</v>
      </c>
      <c r="I435" s="4" t="s">
        <v>7</v>
      </c>
      <c r="J435" s="4" t="s">
        <v>37</v>
      </c>
      <c r="K435" s="4">
        <v>3</v>
      </c>
      <c r="L435" s="5">
        <v>66.84</v>
      </c>
      <c r="M435" s="5">
        <v>200.52</v>
      </c>
      <c r="N435" s="5">
        <v>99.84</v>
      </c>
      <c r="O435" s="5">
        <v>100.68</v>
      </c>
      <c r="P435" s="4">
        <f>--AND(OR(Dashboard!$A$10="All",C435=Dashboard!$A$10),OR(Dashboard!$A$14="All",F435=Dashboard!$A$14),OR(Dashboard!$A$18="All",G435=Dashboard!$A$18),OR(Dashboard!$A$22="All",I435=Dashboard!$A$22))</f>
        <v>1</v>
      </c>
    </row>
    <row r="436" spans="1:16" ht="15.75" customHeight="1">
      <c r="A436" s="4" t="s">
        <v>642</v>
      </c>
      <c r="B436" s="6">
        <v>45682</v>
      </c>
      <c r="C436" s="4">
        <v>2025</v>
      </c>
      <c r="D436" s="4">
        <v>1</v>
      </c>
      <c r="E436" s="4" t="s">
        <v>30</v>
      </c>
      <c r="F436" s="4" t="s">
        <v>5</v>
      </c>
      <c r="G436" s="4" t="s">
        <v>6</v>
      </c>
      <c r="H436" s="4" t="s">
        <v>54</v>
      </c>
      <c r="I436" s="4" t="s">
        <v>7</v>
      </c>
      <c r="J436" s="4" t="s">
        <v>170</v>
      </c>
      <c r="K436" s="4">
        <v>1</v>
      </c>
      <c r="L436" s="5">
        <v>79.430000000000007</v>
      </c>
      <c r="M436" s="5">
        <v>79.430000000000007</v>
      </c>
      <c r="N436" s="5">
        <v>50.57</v>
      </c>
      <c r="O436" s="5">
        <v>28.86</v>
      </c>
      <c r="P436" s="4">
        <f>--AND(OR(Dashboard!$A$10="All",C436=Dashboard!$A$10),OR(Dashboard!$A$14="All",F436=Dashboard!$A$14),OR(Dashboard!$A$18="All",G436=Dashboard!$A$18),OR(Dashboard!$A$22="All",I436=Dashboard!$A$22))</f>
        <v>1</v>
      </c>
    </row>
    <row r="437" spans="1:16" ht="15.75" customHeight="1">
      <c r="A437" s="4" t="s">
        <v>643</v>
      </c>
      <c r="B437" s="6">
        <v>45678</v>
      </c>
      <c r="C437" s="4">
        <v>2025</v>
      </c>
      <c r="D437" s="4">
        <v>1</v>
      </c>
      <c r="E437" s="4" t="s">
        <v>30</v>
      </c>
      <c r="F437" s="4" t="s">
        <v>11</v>
      </c>
      <c r="G437" s="4" t="s">
        <v>6</v>
      </c>
      <c r="H437" s="4" t="s">
        <v>114</v>
      </c>
      <c r="I437" s="4" t="s">
        <v>10</v>
      </c>
      <c r="J437" s="4" t="s">
        <v>381</v>
      </c>
      <c r="K437" s="4">
        <v>7</v>
      </c>
      <c r="L437" s="5">
        <v>148.19</v>
      </c>
      <c r="M437" s="5">
        <v>1037.33</v>
      </c>
      <c r="N437" s="5">
        <v>694.49</v>
      </c>
      <c r="O437" s="5">
        <v>342.84</v>
      </c>
      <c r="P437" s="4">
        <f>--AND(OR(Dashboard!$A$10="All",C437=Dashboard!$A$10),OR(Dashboard!$A$14="All",F437=Dashboard!$A$14),OR(Dashboard!$A$18="All",G437=Dashboard!$A$18),OR(Dashboard!$A$22="All",I437=Dashboard!$A$22))</f>
        <v>1</v>
      </c>
    </row>
    <row r="438" spans="1:16" ht="15.75" customHeight="1">
      <c r="A438" s="4" t="s">
        <v>644</v>
      </c>
      <c r="B438" s="6">
        <v>45492</v>
      </c>
      <c r="C438" s="4">
        <v>2024</v>
      </c>
      <c r="D438" s="4">
        <v>7</v>
      </c>
      <c r="E438" s="4" t="s">
        <v>63</v>
      </c>
      <c r="F438" s="4" t="s">
        <v>8</v>
      </c>
      <c r="G438" s="4" t="s">
        <v>9</v>
      </c>
      <c r="H438" s="4" t="s">
        <v>110</v>
      </c>
      <c r="I438" s="4" t="s">
        <v>7</v>
      </c>
      <c r="J438" s="4" t="s">
        <v>202</v>
      </c>
      <c r="K438" s="4">
        <v>2</v>
      </c>
      <c r="L438" s="5">
        <v>32.47</v>
      </c>
      <c r="M438" s="5">
        <v>64.94</v>
      </c>
      <c r="N438" s="5">
        <v>32.67</v>
      </c>
      <c r="O438" s="5">
        <v>32.270000000000003</v>
      </c>
      <c r="P438" s="4">
        <f>--AND(OR(Dashboard!$A$10="All",C438=Dashboard!$A$10),OR(Dashboard!$A$14="All",F438=Dashboard!$A$14),OR(Dashboard!$A$18="All",G438=Dashboard!$A$18),OR(Dashboard!$A$22="All",I438=Dashboard!$A$22))</f>
        <v>1</v>
      </c>
    </row>
    <row r="439" spans="1:16" ht="15.75" customHeight="1">
      <c r="A439" s="4" t="s">
        <v>645</v>
      </c>
      <c r="B439" s="6">
        <v>45298</v>
      </c>
      <c r="C439" s="4">
        <v>2024</v>
      </c>
      <c r="D439" s="4">
        <v>1</v>
      </c>
      <c r="E439" s="4" t="s">
        <v>30</v>
      </c>
      <c r="F439" s="4" t="s">
        <v>5</v>
      </c>
      <c r="G439" s="4" t="s">
        <v>9</v>
      </c>
      <c r="H439" s="4" t="s">
        <v>35</v>
      </c>
      <c r="I439" s="4" t="s">
        <v>13</v>
      </c>
      <c r="J439" s="4" t="s">
        <v>268</v>
      </c>
      <c r="K439" s="4">
        <v>5</v>
      </c>
      <c r="L439" s="5">
        <v>59.88</v>
      </c>
      <c r="M439" s="5">
        <v>299.39999999999998</v>
      </c>
      <c r="N439" s="5">
        <v>149.37</v>
      </c>
      <c r="O439" s="5">
        <v>150.03</v>
      </c>
      <c r="P439" s="4">
        <f>--AND(OR(Dashboard!$A$10="All",C439=Dashboard!$A$10),OR(Dashboard!$A$14="All",F439=Dashboard!$A$14),OR(Dashboard!$A$18="All",G439=Dashboard!$A$18),OR(Dashboard!$A$22="All",I439=Dashboard!$A$22))</f>
        <v>1</v>
      </c>
    </row>
    <row r="440" spans="1:16" ht="15.75" customHeight="1">
      <c r="A440" s="4" t="s">
        <v>646</v>
      </c>
      <c r="B440" s="6">
        <v>45303</v>
      </c>
      <c r="C440" s="4">
        <v>2024</v>
      </c>
      <c r="D440" s="4">
        <v>1</v>
      </c>
      <c r="E440" s="4" t="s">
        <v>30</v>
      </c>
      <c r="F440" s="4" t="s">
        <v>14</v>
      </c>
      <c r="G440" s="4" t="s">
        <v>12</v>
      </c>
      <c r="H440" s="4" t="s">
        <v>92</v>
      </c>
      <c r="I440" s="4" t="s">
        <v>10</v>
      </c>
      <c r="J440" s="4" t="s">
        <v>104</v>
      </c>
      <c r="K440" s="4">
        <v>3</v>
      </c>
      <c r="L440" s="5">
        <v>143.85</v>
      </c>
      <c r="M440" s="5">
        <v>431.55</v>
      </c>
      <c r="N440" s="5">
        <v>261.16000000000003</v>
      </c>
      <c r="O440" s="5">
        <v>170.39</v>
      </c>
      <c r="P440" s="4">
        <f>--AND(OR(Dashboard!$A$10="All",C440=Dashboard!$A$10),OR(Dashboard!$A$14="All",F440=Dashboard!$A$14),OR(Dashboard!$A$18="All",G440=Dashboard!$A$18),OR(Dashboard!$A$22="All",I440=Dashboard!$A$22))</f>
        <v>1</v>
      </c>
    </row>
    <row r="441" spans="1:16" ht="15.75" customHeight="1">
      <c r="A441" s="4" t="s">
        <v>647</v>
      </c>
      <c r="B441" s="6">
        <v>45670</v>
      </c>
      <c r="C441" s="4">
        <v>2025</v>
      </c>
      <c r="D441" s="4">
        <v>1</v>
      </c>
      <c r="E441" s="4" t="s">
        <v>30</v>
      </c>
      <c r="F441" s="4" t="s">
        <v>8</v>
      </c>
      <c r="G441" s="4" t="s">
        <v>9</v>
      </c>
      <c r="H441" s="4" t="s">
        <v>35</v>
      </c>
      <c r="I441" s="4" t="s">
        <v>7</v>
      </c>
      <c r="J441" s="4" t="s">
        <v>186</v>
      </c>
      <c r="K441" s="4">
        <v>3</v>
      </c>
      <c r="L441" s="5">
        <v>59.54</v>
      </c>
      <c r="M441" s="5">
        <v>178.62</v>
      </c>
      <c r="N441" s="5">
        <v>92.16</v>
      </c>
      <c r="O441" s="5">
        <v>86.46</v>
      </c>
      <c r="P441" s="4">
        <f>--AND(OR(Dashboard!$A$10="All",C441=Dashboard!$A$10),OR(Dashboard!$A$14="All",F441=Dashboard!$A$14),OR(Dashboard!$A$18="All",G441=Dashboard!$A$18),OR(Dashboard!$A$22="All",I441=Dashboard!$A$22))</f>
        <v>1</v>
      </c>
    </row>
    <row r="442" spans="1:16" ht="15.75" customHeight="1">
      <c r="A442" s="4" t="s">
        <v>648</v>
      </c>
      <c r="B442" s="6">
        <v>45819</v>
      </c>
      <c r="C442" s="4">
        <v>2025</v>
      </c>
      <c r="D442" s="4">
        <v>6</v>
      </c>
      <c r="E442" s="4" t="s">
        <v>34</v>
      </c>
      <c r="F442" s="4" t="s">
        <v>8</v>
      </c>
      <c r="G442" s="4" t="s">
        <v>9</v>
      </c>
      <c r="H442" s="4" t="s">
        <v>71</v>
      </c>
      <c r="I442" s="4" t="s">
        <v>10</v>
      </c>
      <c r="J442" s="4" t="s">
        <v>218</v>
      </c>
      <c r="K442" s="4">
        <v>5</v>
      </c>
      <c r="L442" s="5">
        <v>49.37</v>
      </c>
      <c r="M442" s="5">
        <v>246.85</v>
      </c>
      <c r="N442" s="5">
        <v>129.28</v>
      </c>
      <c r="O442" s="5">
        <v>117.57</v>
      </c>
      <c r="P442" s="4">
        <f>--AND(OR(Dashboard!$A$10="All",C442=Dashboard!$A$10),OR(Dashboard!$A$14="All",F442=Dashboard!$A$14),OR(Dashboard!$A$18="All",G442=Dashboard!$A$18),OR(Dashboard!$A$22="All",I442=Dashboard!$A$22))</f>
        <v>1</v>
      </c>
    </row>
    <row r="443" spans="1:16" ht="15.75" customHeight="1">
      <c r="A443" s="4" t="s">
        <v>649</v>
      </c>
      <c r="B443" s="6">
        <v>45502</v>
      </c>
      <c r="C443" s="4">
        <v>2024</v>
      </c>
      <c r="D443" s="4">
        <v>7</v>
      </c>
      <c r="E443" s="4" t="s">
        <v>63</v>
      </c>
      <c r="F443" s="4" t="s">
        <v>14</v>
      </c>
      <c r="G443" s="4" t="s">
        <v>6</v>
      </c>
      <c r="H443" s="4" t="s">
        <v>114</v>
      </c>
      <c r="I443" s="4" t="s">
        <v>7</v>
      </c>
      <c r="J443" s="4" t="s">
        <v>402</v>
      </c>
      <c r="K443" s="4">
        <v>1</v>
      </c>
      <c r="L443" s="5">
        <v>133.47</v>
      </c>
      <c r="M443" s="5">
        <v>133.47</v>
      </c>
      <c r="N443" s="5">
        <v>91.48</v>
      </c>
      <c r="O443" s="5">
        <v>41.99</v>
      </c>
      <c r="P443" s="4">
        <f>--AND(OR(Dashboard!$A$10="All",C443=Dashboard!$A$10),OR(Dashboard!$A$14="All",F443=Dashboard!$A$14),OR(Dashboard!$A$18="All",G443=Dashboard!$A$18),OR(Dashboard!$A$22="All",I443=Dashboard!$A$22))</f>
        <v>1</v>
      </c>
    </row>
    <row r="444" spans="1:16" ht="15.75" customHeight="1">
      <c r="A444" s="4" t="s">
        <v>650</v>
      </c>
      <c r="B444" s="6">
        <v>45484</v>
      </c>
      <c r="C444" s="4">
        <v>2024</v>
      </c>
      <c r="D444" s="4">
        <v>7</v>
      </c>
      <c r="E444" s="4" t="s">
        <v>63</v>
      </c>
      <c r="F444" s="4" t="s">
        <v>5</v>
      </c>
      <c r="G444" s="4" t="s">
        <v>12</v>
      </c>
      <c r="H444" s="4" t="s">
        <v>58</v>
      </c>
      <c r="I444" s="4" t="s">
        <v>7</v>
      </c>
      <c r="J444" s="4" t="s">
        <v>321</v>
      </c>
      <c r="K444" s="4">
        <v>2</v>
      </c>
      <c r="L444" s="5">
        <v>139.99</v>
      </c>
      <c r="M444" s="5">
        <v>279.98</v>
      </c>
      <c r="N444" s="5">
        <v>165.06</v>
      </c>
      <c r="O444" s="5">
        <v>114.92</v>
      </c>
      <c r="P444" s="4">
        <f>--AND(OR(Dashboard!$A$10="All",C444=Dashboard!$A$10),OR(Dashboard!$A$14="All",F444=Dashboard!$A$14),OR(Dashboard!$A$18="All",G444=Dashboard!$A$18),OR(Dashboard!$A$22="All",I444=Dashboard!$A$22))</f>
        <v>1</v>
      </c>
    </row>
    <row r="445" spans="1:16" ht="15.75" customHeight="1">
      <c r="A445" s="4" t="s">
        <v>651</v>
      </c>
      <c r="B445" s="6">
        <v>45640</v>
      </c>
      <c r="C445" s="4">
        <v>2024</v>
      </c>
      <c r="D445" s="4">
        <v>12</v>
      </c>
      <c r="E445" s="4" t="s">
        <v>57</v>
      </c>
      <c r="F445" s="4" t="s">
        <v>8</v>
      </c>
      <c r="G445" s="4" t="s">
        <v>12</v>
      </c>
      <c r="H445" s="4" t="s">
        <v>124</v>
      </c>
      <c r="I445" s="4" t="s">
        <v>7</v>
      </c>
      <c r="J445" s="4" t="s">
        <v>360</v>
      </c>
      <c r="K445" s="4">
        <v>1</v>
      </c>
      <c r="L445" s="5">
        <v>319.85000000000002</v>
      </c>
      <c r="M445" s="5">
        <v>319.85000000000002</v>
      </c>
      <c r="N445" s="5">
        <v>184.64</v>
      </c>
      <c r="O445" s="5">
        <v>135.21</v>
      </c>
      <c r="P445" s="4">
        <f>--AND(OR(Dashboard!$A$10="All",C445=Dashboard!$A$10),OR(Dashboard!$A$14="All",F445=Dashboard!$A$14),OR(Dashboard!$A$18="All",G445=Dashboard!$A$18),OR(Dashboard!$A$22="All",I445=Dashboard!$A$22))</f>
        <v>1</v>
      </c>
    </row>
    <row r="446" spans="1:16" ht="15.75" customHeight="1">
      <c r="A446" s="4" t="s">
        <v>652</v>
      </c>
      <c r="B446" s="6">
        <v>45994</v>
      </c>
      <c r="C446" s="4">
        <v>2025</v>
      </c>
      <c r="D446" s="4">
        <v>12</v>
      </c>
      <c r="E446" s="4" t="s">
        <v>57</v>
      </c>
      <c r="F446" s="4" t="s">
        <v>8</v>
      </c>
      <c r="G446" s="4" t="s">
        <v>6</v>
      </c>
      <c r="H446" s="4" t="s">
        <v>80</v>
      </c>
      <c r="I446" s="4" t="s">
        <v>10</v>
      </c>
      <c r="J446" s="4" t="s">
        <v>207</v>
      </c>
      <c r="K446" s="4">
        <v>3</v>
      </c>
      <c r="L446" s="5">
        <v>179.9</v>
      </c>
      <c r="M446" s="5">
        <v>539.70000000000005</v>
      </c>
      <c r="N446" s="5">
        <v>351.56</v>
      </c>
      <c r="O446" s="5">
        <v>188.14</v>
      </c>
      <c r="P446" s="4">
        <f>--AND(OR(Dashboard!$A$10="All",C446=Dashboard!$A$10),OR(Dashboard!$A$14="All",F446=Dashboard!$A$14),OR(Dashboard!$A$18="All",G446=Dashboard!$A$18),OR(Dashboard!$A$22="All",I446=Dashboard!$A$22))</f>
        <v>1</v>
      </c>
    </row>
    <row r="447" spans="1:16" ht="15.75" customHeight="1">
      <c r="A447" s="4" t="s">
        <v>653</v>
      </c>
      <c r="B447" s="6">
        <v>45751</v>
      </c>
      <c r="C447" s="4">
        <v>2025</v>
      </c>
      <c r="D447" s="4">
        <v>4</v>
      </c>
      <c r="E447" s="4" t="s">
        <v>106</v>
      </c>
      <c r="F447" s="4" t="s">
        <v>5</v>
      </c>
      <c r="G447" s="4" t="s">
        <v>12</v>
      </c>
      <c r="H447" s="4" t="s">
        <v>58</v>
      </c>
      <c r="I447" s="4" t="s">
        <v>7</v>
      </c>
      <c r="J447" s="4" t="s">
        <v>268</v>
      </c>
      <c r="K447" s="4">
        <v>3</v>
      </c>
      <c r="L447" s="5">
        <v>147.22999999999999</v>
      </c>
      <c r="M447" s="5">
        <v>441.69</v>
      </c>
      <c r="N447" s="5">
        <v>263.51</v>
      </c>
      <c r="O447" s="5">
        <v>178.18</v>
      </c>
      <c r="P447" s="4">
        <f>--AND(OR(Dashboard!$A$10="All",C447=Dashboard!$A$10),OR(Dashboard!$A$14="All",F447=Dashboard!$A$14),OR(Dashboard!$A$18="All",G447=Dashboard!$A$18),OR(Dashboard!$A$22="All",I447=Dashboard!$A$22))</f>
        <v>1</v>
      </c>
    </row>
    <row r="448" spans="1:16" ht="15.75" customHeight="1">
      <c r="A448" s="4" t="s">
        <v>654</v>
      </c>
      <c r="B448" s="6">
        <v>45750</v>
      </c>
      <c r="C448" s="4">
        <v>2025</v>
      </c>
      <c r="D448" s="4">
        <v>4</v>
      </c>
      <c r="E448" s="4" t="s">
        <v>106</v>
      </c>
      <c r="F448" s="4" t="s">
        <v>5</v>
      </c>
      <c r="G448" s="4" t="s">
        <v>6</v>
      </c>
      <c r="H448" s="4" t="s">
        <v>114</v>
      </c>
      <c r="I448" s="4" t="s">
        <v>7</v>
      </c>
      <c r="J448" s="4" t="s">
        <v>205</v>
      </c>
      <c r="K448" s="4">
        <v>3</v>
      </c>
      <c r="L448" s="5">
        <v>218.75</v>
      </c>
      <c r="M448" s="5">
        <v>656.25</v>
      </c>
      <c r="N448" s="5">
        <v>445.25</v>
      </c>
      <c r="O448" s="5">
        <v>211</v>
      </c>
      <c r="P448" s="4">
        <f>--AND(OR(Dashboard!$A$10="All",C448=Dashboard!$A$10),OR(Dashboard!$A$14="All",F448=Dashboard!$A$14),OR(Dashboard!$A$18="All",G448=Dashboard!$A$18),OR(Dashboard!$A$22="All",I448=Dashboard!$A$22))</f>
        <v>1</v>
      </c>
    </row>
    <row r="449" spans="1:16" ht="15.75" customHeight="1">
      <c r="A449" s="4" t="s">
        <v>655</v>
      </c>
      <c r="B449" s="6">
        <v>45999</v>
      </c>
      <c r="C449" s="4">
        <v>2025</v>
      </c>
      <c r="D449" s="4">
        <v>12</v>
      </c>
      <c r="E449" s="4" t="s">
        <v>57</v>
      </c>
      <c r="F449" s="4" t="s">
        <v>8</v>
      </c>
      <c r="G449" s="4" t="s">
        <v>9</v>
      </c>
      <c r="H449" s="4" t="s">
        <v>64</v>
      </c>
      <c r="I449" s="4" t="s">
        <v>7</v>
      </c>
      <c r="J449" s="4" t="s">
        <v>144</v>
      </c>
      <c r="K449" s="4">
        <v>1</v>
      </c>
      <c r="L449" s="5">
        <v>51.85</v>
      </c>
      <c r="M449" s="5">
        <v>51.85</v>
      </c>
      <c r="N449" s="5">
        <v>26.54</v>
      </c>
      <c r="O449" s="5">
        <v>25.31</v>
      </c>
      <c r="P449" s="4">
        <f>--AND(OR(Dashboard!$A$10="All",C449=Dashboard!$A$10),OR(Dashboard!$A$14="All",F449=Dashboard!$A$14),OR(Dashboard!$A$18="All",G449=Dashboard!$A$18),OR(Dashboard!$A$22="All",I449=Dashboard!$A$22))</f>
        <v>1</v>
      </c>
    </row>
    <row r="450" spans="1:16" ht="15.75" customHeight="1">
      <c r="A450" s="4" t="s">
        <v>656</v>
      </c>
      <c r="B450" s="6">
        <v>45545</v>
      </c>
      <c r="C450" s="4">
        <v>2024</v>
      </c>
      <c r="D450" s="4">
        <v>9</v>
      </c>
      <c r="E450" s="4" t="s">
        <v>79</v>
      </c>
      <c r="F450" s="4" t="s">
        <v>14</v>
      </c>
      <c r="G450" s="4" t="s">
        <v>6</v>
      </c>
      <c r="H450" s="4" t="s">
        <v>136</v>
      </c>
      <c r="I450" s="4" t="s">
        <v>7</v>
      </c>
      <c r="J450" s="4" t="s">
        <v>104</v>
      </c>
      <c r="K450" s="4">
        <v>3</v>
      </c>
      <c r="L450" s="5">
        <v>117.35</v>
      </c>
      <c r="M450" s="5">
        <v>352.05</v>
      </c>
      <c r="N450" s="5">
        <v>239.57</v>
      </c>
      <c r="O450" s="5">
        <v>112.48</v>
      </c>
      <c r="P450" s="4">
        <f>--AND(OR(Dashboard!$A$10="All",C450=Dashboard!$A$10),OR(Dashboard!$A$14="All",F450=Dashboard!$A$14),OR(Dashboard!$A$18="All",G450=Dashboard!$A$18),OR(Dashboard!$A$22="All",I450=Dashboard!$A$22))</f>
        <v>1</v>
      </c>
    </row>
    <row r="451" spans="1:16" ht="15.75" customHeight="1">
      <c r="A451" s="4" t="s">
        <v>657</v>
      </c>
      <c r="B451" s="6">
        <v>45347</v>
      </c>
      <c r="C451" s="4">
        <v>2024</v>
      </c>
      <c r="D451" s="4">
        <v>2</v>
      </c>
      <c r="E451" s="4" t="s">
        <v>70</v>
      </c>
      <c r="F451" s="4" t="s">
        <v>11</v>
      </c>
      <c r="G451" s="4" t="s">
        <v>6</v>
      </c>
      <c r="H451" s="4" t="s">
        <v>54</v>
      </c>
      <c r="I451" s="4" t="s">
        <v>7</v>
      </c>
      <c r="J451" s="4" t="s">
        <v>189</v>
      </c>
      <c r="K451" s="4">
        <v>1</v>
      </c>
      <c r="L451" s="5">
        <v>213.63</v>
      </c>
      <c r="M451" s="5">
        <v>213.63</v>
      </c>
      <c r="N451" s="5">
        <v>144.43</v>
      </c>
      <c r="O451" s="5">
        <v>69.2</v>
      </c>
      <c r="P451" s="4">
        <f>--AND(OR(Dashboard!$A$10="All",C451=Dashboard!$A$10),OR(Dashboard!$A$14="All",F451=Dashboard!$A$14),OR(Dashboard!$A$18="All",G451=Dashboard!$A$18),OR(Dashboard!$A$22="All",I451=Dashboard!$A$22))</f>
        <v>1</v>
      </c>
    </row>
    <row r="452" spans="1:16" ht="15.75" customHeight="1">
      <c r="A452" s="4" t="s">
        <v>658</v>
      </c>
      <c r="B452" s="6">
        <v>45578</v>
      </c>
      <c r="C452" s="4">
        <v>2024</v>
      </c>
      <c r="D452" s="4">
        <v>10</v>
      </c>
      <c r="E452" s="4" t="s">
        <v>120</v>
      </c>
      <c r="F452" s="4" t="s">
        <v>5</v>
      </c>
      <c r="G452" s="4" t="s">
        <v>9</v>
      </c>
      <c r="H452" s="4" t="s">
        <v>35</v>
      </c>
      <c r="I452" s="4" t="s">
        <v>7</v>
      </c>
      <c r="J452" s="4" t="s">
        <v>259</v>
      </c>
      <c r="K452" s="4">
        <v>8</v>
      </c>
      <c r="L452" s="5">
        <v>29.69</v>
      </c>
      <c r="M452" s="5">
        <v>237.52</v>
      </c>
      <c r="N452" s="5">
        <v>113.18</v>
      </c>
      <c r="O452" s="5">
        <v>124.34</v>
      </c>
      <c r="P452" s="4">
        <f>--AND(OR(Dashboard!$A$10="All",C452=Dashboard!$A$10),OR(Dashboard!$A$14="All",F452=Dashboard!$A$14),OR(Dashboard!$A$18="All",G452=Dashboard!$A$18),OR(Dashboard!$A$22="All",I452=Dashboard!$A$22))</f>
        <v>1</v>
      </c>
    </row>
    <row r="453" spans="1:16" ht="15.75" customHeight="1">
      <c r="A453" s="4" t="s">
        <v>659</v>
      </c>
      <c r="B453" s="6">
        <v>45957</v>
      </c>
      <c r="C453" s="4">
        <v>2025</v>
      </c>
      <c r="D453" s="4">
        <v>10</v>
      </c>
      <c r="E453" s="4" t="s">
        <v>120</v>
      </c>
      <c r="F453" s="4" t="s">
        <v>5</v>
      </c>
      <c r="G453" s="4" t="s">
        <v>12</v>
      </c>
      <c r="H453" s="4" t="s">
        <v>127</v>
      </c>
      <c r="I453" s="4" t="s">
        <v>13</v>
      </c>
      <c r="J453" s="4" t="s">
        <v>420</v>
      </c>
      <c r="K453" s="4">
        <v>1</v>
      </c>
      <c r="L453" s="5">
        <v>244.9</v>
      </c>
      <c r="M453" s="5">
        <v>244.9</v>
      </c>
      <c r="N453" s="5">
        <v>150.29</v>
      </c>
      <c r="O453" s="5">
        <v>94.61</v>
      </c>
      <c r="P453" s="4">
        <f>--AND(OR(Dashboard!$A$10="All",C453=Dashboard!$A$10),OR(Dashboard!$A$14="All",F453=Dashboard!$A$14),OR(Dashboard!$A$18="All",G453=Dashboard!$A$18),OR(Dashboard!$A$22="All",I453=Dashboard!$A$22))</f>
        <v>1</v>
      </c>
    </row>
    <row r="454" spans="1:16" ht="15.75" customHeight="1">
      <c r="A454" s="4" t="s">
        <v>660</v>
      </c>
      <c r="B454" s="6">
        <v>45961</v>
      </c>
      <c r="C454" s="4">
        <v>2025</v>
      </c>
      <c r="D454" s="4">
        <v>10</v>
      </c>
      <c r="E454" s="4" t="s">
        <v>120</v>
      </c>
      <c r="F454" s="4" t="s">
        <v>5</v>
      </c>
      <c r="G454" s="4" t="s">
        <v>9</v>
      </c>
      <c r="H454" s="4" t="s">
        <v>71</v>
      </c>
      <c r="I454" s="4" t="s">
        <v>7</v>
      </c>
      <c r="J454" s="4" t="s">
        <v>202</v>
      </c>
      <c r="K454" s="4">
        <v>1</v>
      </c>
      <c r="L454" s="5">
        <v>38.35</v>
      </c>
      <c r="M454" s="5">
        <v>38.35</v>
      </c>
      <c r="N454" s="5">
        <v>18.79</v>
      </c>
      <c r="O454" s="5">
        <v>19.559999999999999</v>
      </c>
      <c r="P454" s="4">
        <f>--AND(OR(Dashboard!$A$10="All",C454=Dashboard!$A$10),OR(Dashboard!$A$14="All",F454=Dashboard!$A$14),OR(Dashboard!$A$18="All",G454=Dashboard!$A$18),OR(Dashboard!$A$22="All",I454=Dashboard!$A$22))</f>
        <v>1</v>
      </c>
    </row>
    <row r="455" spans="1:16" ht="15.75" customHeight="1">
      <c r="A455" s="4" t="s">
        <v>661</v>
      </c>
      <c r="B455" s="6">
        <v>45599</v>
      </c>
      <c r="C455" s="4">
        <v>2024</v>
      </c>
      <c r="D455" s="4">
        <v>11</v>
      </c>
      <c r="E455" s="4" t="s">
        <v>89</v>
      </c>
      <c r="F455" s="4" t="s">
        <v>5</v>
      </c>
      <c r="G455" s="4" t="s">
        <v>6</v>
      </c>
      <c r="H455" s="4" t="s">
        <v>98</v>
      </c>
      <c r="I455" s="4" t="s">
        <v>7</v>
      </c>
      <c r="J455" s="4" t="s">
        <v>121</v>
      </c>
      <c r="K455" s="4">
        <v>3</v>
      </c>
      <c r="L455" s="5">
        <v>202.79</v>
      </c>
      <c r="M455" s="5">
        <v>608.37</v>
      </c>
      <c r="N455" s="5">
        <v>405.97</v>
      </c>
      <c r="O455" s="5">
        <v>202.4</v>
      </c>
      <c r="P455" s="4">
        <f>--AND(OR(Dashboard!$A$10="All",C455=Dashboard!$A$10),OR(Dashboard!$A$14="All",F455=Dashboard!$A$14),OR(Dashboard!$A$18="All",G455=Dashboard!$A$18),OR(Dashboard!$A$22="All",I455=Dashboard!$A$22))</f>
        <v>1</v>
      </c>
    </row>
    <row r="456" spans="1:16" ht="15.75" customHeight="1">
      <c r="A456" s="4" t="s">
        <v>662</v>
      </c>
      <c r="B456" s="6">
        <v>45930</v>
      </c>
      <c r="C456" s="4">
        <v>2025</v>
      </c>
      <c r="D456" s="4">
        <v>9</v>
      </c>
      <c r="E456" s="4" t="s">
        <v>79</v>
      </c>
      <c r="F456" s="4" t="s">
        <v>5</v>
      </c>
      <c r="G456" s="4" t="s">
        <v>6</v>
      </c>
      <c r="H456" s="4" t="s">
        <v>98</v>
      </c>
      <c r="I456" s="4" t="s">
        <v>7</v>
      </c>
      <c r="J456" s="4" t="s">
        <v>115</v>
      </c>
      <c r="K456" s="4">
        <v>5</v>
      </c>
      <c r="L456" s="5">
        <v>159.72</v>
      </c>
      <c r="M456" s="5">
        <v>798.6</v>
      </c>
      <c r="N456" s="5">
        <v>518.84</v>
      </c>
      <c r="O456" s="5">
        <v>279.76</v>
      </c>
      <c r="P456" s="4">
        <f>--AND(OR(Dashboard!$A$10="All",C456=Dashboard!$A$10),OR(Dashboard!$A$14="All",F456=Dashboard!$A$14),OR(Dashboard!$A$18="All",G456=Dashboard!$A$18),OR(Dashboard!$A$22="All",I456=Dashboard!$A$22))</f>
        <v>1</v>
      </c>
    </row>
    <row r="457" spans="1:16" ht="15.75" customHeight="1">
      <c r="A457" s="4" t="s">
        <v>663</v>
      </c>
      <c r="B457" s="6">
        <v>45632</v>
      </c>
      <c r="C457" s="4">
        <v>2024</v>
      </c>
      <c r="D457" s="4">
        <v>12</v>
      </c>
      <c r="E457" s="4" t="s">
        <v>57</v>
      </c>
      <c r="F457" s="4" t="s">
        <v>11</v>
      </c>
      <c r="G457" s="4" t="s">
        <v>9</v>
      </c>
      <c r="H457" s="4" t="s">
        <v>142</v>
      </c>
      <c r="I457" s="4" t="s">
        <v>7</v>
      </c>
      <c r="J457" s="4" t="s">
        <v>280</v>
      </c>
      <c r="K457" s="4">
        <v>1</v>
      </c>
      <c r="L457" s="5">
        <v>34.770000000000003</v>
      </c>
      <c r="M457" s="5">
        <v>34.770000000000003</v>
      </c>
      <c r="N457" s="5">
        <v>17.29</v>
      </c>
      <c r="O457" s="5">
        <v>17.48</v>
      </c>
      <c r="P457" s="4">
        <f>--AND(OR(Dashboard!$A$10="All",C457=Dashboard!$A$10),OR(Dashboard!$A$14="All",F457=Dashboard!$A$14),OR(Dashboard!$A$18="All",G457=Dashboard!$A$18),OR(Dashboard!$A$22="All",I457=Dashboard!$A$22))</f>
        <v>1</v>
      </c>
    </row>
    <row r="458" spans="1:16" ht="15.75" customHeight="1">
      <c r="A458" s="4" t="s">
        <v>664</v>
      </c>
      <c r="B458" s="6">
        <v>45340</v>
      </c>
      <c r="C458" s="4">
        <v>2024</v>
      </c>
      <c r="D458" s="4">
        <v>2</v>
      </c>
      <c r="E458" s="4" t="s">
        <v>70</v>
      </c>
      <c r="F458" s="4" t="s">
        <v>14</v>
      </c>
      <c r="G458" s="4" t="s">
        <v>9</v>
      </c>
      <c r="H458" s="4" t="s">
        <v>142</v>
      </c>
      <c r="I458" s="4" t="s">
        <v>10</v>
      </c>
      <c r="J458" s="4" t="s">
        <v>336</v>
      </c>
      <c r="K458" s="4">
        <v>6</v>
      </c>
      <c r="L458" s="5">
        <v>23.15</v>
      </c>
      <c r="M458" s="5">
        <v>138.9</v>
      </c>
      <c r="N458" s="5">
        <v>67.78</v>
      </c>
      <c r="O458" s="5">
        <v>71.12</v>
      </c>
      <c r="P458" s="4">
        <f>--AND(OR(Dashboard!$A$10="All",C458=Dashboard!$A$10),OR(Dashboard!$A$14="All",F458=Dashboard!$A$14),OR(Dashboard!$A$18="All",G458=Dashboard!$A$18),OR(Dashboard!$A$22="All",I458=Dashboard!$A$22))</f>
        <v>1</v>
      </c>
    </row>
    <row r="459" spans="1:16" ht="15.75" customHeight="1">
      <c r="A459" s="4" t="s">
        <v>665</v>
      </c>
      <c r="B459" s="6">
        <v>45388</v>
      </c>
      <c r="C459" s="4">
        <v>2024</v>
      </c>
      <c r="D459" s="4">
        <v>4</v>
      </c>
      <c r="E459" s="4" t="s">
        <v>106</v>
      </c>
      <c r="F459" s="4" t="s">
        <v>11</v>
      </c>
      <c r="G459" s="4" t="s">
        <v>9</v>
      </c>
      <c r="H459" s="4" t="s">
        <v>142</v>
      </c>
      <c r="I459" s="4" t="s">
        <v>7</v>
      </c>
      <c r="J459" s="4" t="s">
        <v>381</v>
      </c>
      <c r="K459" s="4">
        <v>1</v>
      </c>
      <c r="L459" s="5">
        <v>43.79</v>
      </c>
      <c r="M459" s="5">
        <v>43.79</v>
      </c>
      <c r="N459" s="5">
        <v>21.51</v>
      </c>
      <c r="O459" s="5">
        <v>22.28</v>
      </c>
      <c r="P459" s="4">
        <f>--AND(OR(Dashboard!$A$10="All",C459=Dashboard!$A$10),OR(Dashboard!$A$14="All",F459=Dashboard!$A$14),OR(Dashboard!$A$18="All",G459=Dashboard!$A$18),OR(Dashboard!$A$22="All",I459=Dashboard!$A$22))</f>
        <v>1</v>
      </c>
    </row>
    <row r="460" spans="1:16" ht="15.75" customHeight="1">
      <c r="A460" s="4" t="s">
        <v>666</v>
      </c>
      <c r="B460" s="6">
        <v>45499</v>
      </c>
      <c r="C460" s="4">
        <v>2024</v>
      </c>
      <c r="D460" s="4">
        <v>7</v>
      </c>
      <c r="E460" s="4" t="s">
        <v>63</v>
      </c>
      <c r="F460" s="4" t="s">
        <v>8</v>
      </c>
      <c r="G460" s="4" t="s">
        <v>9</v>
      </c>
      <c r="H460" s="4" t="s">
        <v>142</v>
      </c>
      <c r="I460" s="4" t="s">
        <v>10</v>
      </c>
      <c r="J460" s="4" t="s">
        <v>485</v>
      </c>
      <c r="K460" s="4">
        <v>1</v>
      </c>
      <c r="L460" s="5">
        <v>64.53</v>
      </c>
      <c r="M460" s="5">
        <v>64.53</v>
      </c>
      <c r="N460" s="5">
        <v>30.89</v>
      </c>
      <c r="O460" s="5">
        <v>33.64</v>
      </c>
      <c r="P460" s="4">
        <f>--AND(OR(Dashboard!$A$10="All",C460=Dashboard!$A$10),OR(Dashboard!$A$14="All",F460=Dashboard!$A$14),OR(Dashboard!$A$18="All",G460=Dashboard!$A$18),OR(Dashboard!$A$22="All",I460=Dashboard!$A$22))</f>
        <v>1</v>
      </c>
    </row>
    <row r="461" spans="1:16" ht="15.75" customHeight="1">
      <c r="A461" s="4" t="s">
        <v>667</v>
      </c>
      <c r="B461" s="6">
        <v>45748</v>
      </c>
      <c r="C461" s="4">
        <v>2025</v>
      </c>
      <c r="D461" s="4">
        <v>4</v>
      </c>
      <c r="E461" s="4" t="s">
        <v>106</v>
      </c>
      <c r="F461" s="4" t="s">
        <v>5</v>
      </c>
      <c r="G461" s="4" t="s">
        <v>6</v>
      </c>
      <c r="H461" s="4" t="s">
        <v>114</v>
      </c>
      <c r="I461" s="4" t="s">
        <v>7</v>
      </c>
      <c r="J461" s="4" t="s">
        <v>81</v>
      </c>
      <c r="K461" s="4">
        <v>11</v>
      </c>
      <c r="L461" s="5">
        <v>90.18</v>
      </c>
      <c r="M461" s="5">
        <v>991.98</v>
      </c>
      <c r="N461" s="5">
        <v>644.30999999999995</v>
      </c>
      <c r="O461" s="5">
        <v>347.67</v>
      </c>
      <c r="P461" s="4">
        <f>--AND(OR(Dashboard!$A$10="All",C461=Dashboard!$A$10),OR(Dashboard!$A$14="All",F461=Dashboard!$A$14),OR(Dashboard!$A$18="All",G461=Dashboard!$A$18),OR(Dashboard!$A$22="All",I461=Dashboard!$A$22))</f>
        <v>1</v>
      </c>
    </row>
    <row r="462" spans="1:16" ht="15.75" customHeight="1">
      <c r="A462" s="4" t="s">
        <v>668</v>
      </c>
      <c r="B462" s="6">
        <v>45552</v>
      </c>
      <c r="C462" s="4">
        <v>2024</v>
      </c>
      <c r="D462" s="4">
        <v>9</v>
      </c>
      <c r="E462" s="4" t="s">
        <v>79</v>
      </c>
      <c r="F462" s="4" t="s">
        <v>5</v>
      </c>
      <c r="G462" s="4" t="s">
        <v>12</v>
      </c>
      <c r="H462" s="4" t="s">
        <v>124</v>
      </c>
      <c r="I462" s="4" t="s">
        <v>13</v>
      </c>
      <c r="J462" s="4" t="s">
        <v>170</v>
      </c>
      <c r="K462" s="4">
        <v>9</v>
      </c>
      <c r="L462" s="5">
        <v>116.99</v>
      </c>
      <c r="M462" s="5">
        <v>1052.9100000000001</v>
      </c>
      <c r="N462" s="5">
        <v>645.51</v>
      </c>
      <c r="O462" s="5">
        <v>407.4</v>
      </c>
      <c r="P462" s="4">
        <f>--AND(OR(Dashboard!$A$10="All",C462=Dashboard!$A$10),OR(Dashboard!$A$14="All",F462=Dashboard!$A$14),OR(Dashboard!$A$18="All",G462=Dashboard!$A$18),OR(Dashboard!$A$22="All",I462=Dashboard!$A$22))</f>
        <v>1</v>
      </c>
    </row>
    <row r="463" spans="1:16" ht="15.75" customHeight="1">
      <c r="A463" s="4" t="s">
        <v>669</v>
      </c>
      <c r="B463" s="6">
        <v>45308</v>
      </c>
      <c r="C463" s="4">
        <v>2024</v>
      </c>
      <c r="D463" s="4">
        <v>1</v>
      </c>
      <c r="E463" s="4" t="s">
        <v>30</v>
      </c>
      <c r="F463" s="4" t="s">
        <v>5</v>
      </c>
      <c r="G463" s="4" t="s">
        <v>6</v>
      </c>
      <c r="H463" s="4" t="s">
        <v>54</v>
      </c>
      <c r="I463" s="4" t="s">
        <v>7</v>
      </c>
      <c r="J463" s="4" t="s">
        <v>494</v>
      </c>
      <c r="K463" s="4">
        <v>1</v>
      </c>
      <c r="L463" s="5">
        <v>121.82</v>
      </c>
      <c r="M463" s="5">
        <v>121.82</v>
      </c>
      <c r="N463" s="5">
        <v>77.22</v>
      </c>
      <c r="O463" s="5">
        <v>44.6</v>
      </c>
      <c r="P463" s="4">
        <f>--AND(OR(Dashboard!$A$10="All",C463=Dashboard!$A$10),OR(Dashboard!$A$14="All",F463=Dashboard!$A$14),OR(Dashboard!$A$18="All",G463=Dashboard!$A$18),OR(Dashboard!$A$22="All",I463=Dashboard!$A$22))</f>
        <v>1</v>
      </c>
    </row>
    <row r="464" spans="1:16" ht="15.75" customHeight="1">
      <c r="A464" s="4" t="s">
        <v>670</v>
      </c>
      <c r="B464" s="6">
        <v>45985</v>
      </c>
      <c r="C464" s="4">
        <v>2025</v>
      </c>
      <c r="D464" s="4">
        <v>11</v>
      </c>
      <c r="E464" s="4" t="s">
        <v>89</v>
      </c>
      <c r="F464" s="4" t="s">
        <v>11</v>
      </c>
      <c r="G464" s="4" t="s">
        <v>6</v>
      </c>
      <c r="H464" s="4" t="s">
        <v>80</v>
      </c>
      <c r="I464" s="4" t="s">
        <v>10</v>
      </c>
      <c r="J464" s="4" t="s">
        <v>333</v>
      </c>
      <c r="K464" s="4">
        <v>5</v>
      </c>
      <c r="L464" s="5">
        <v>137.61000000000001</v>
      </c>
      <c r="M464" s="5">
        <v>688.05</v>
      </c>
      <c r="N464" s="5">
        <v>436.03</v>
      </c>
      <c r="O464" s="5">
        <v>252.02</v>
      </c>
      <c r="P464" s="4">
        <f>--AND(OR(Dashboard!$A$10="All",C464=Dashboard!$A$10),OR(Dashboard!$A$14="All",F464=Dashboard!$A$14),OR(Dashboard!$A$18="All",G464=Dashboard!$A$18),OR(Dashboard!$A$22="All",I464=Dashboard!$A$22))</f>
        <v>1</v>
      </c>
    </row>
    <row r="465" spans="1:16" ht="15.75" customHeight="1">
      <c r="A465" s="4" t="s">
        <v>671</v>
      </c>
      <c r="B465" s="6">
        <v>46009</v>
      </c>
      <c r="C465" s="4">
        <v>2025</v>
      </c>
      <c r="D465" s="4">
        <v>12</v>
      </c>
      <c r="E465" s="4" t="s">
        <v>57</v>
      </c>
      <c r="F465" s="4" t="s">
        <v>5</v>
      </c>
      <c r="G465" s="4" t="s">
        <v>12</v>
      </c>
      <c r="H465" s="4" t="s">
        <v>92</v>
      </c>
      <c r="I465" s="4" t="s">
        <v>10</v>
      </c>
      <c r="J465" s="4" t="s">
        <v>218</v>
      </c>
      <c r="K465" s="4">
        <v>1</v>
      </c>
      <c r="L465" s="5">
        <v>274.69</v>
      </c>
      <c r="M465" s="5">
        <v>274.69</v>
      </c>
      <c r="N465" s="5">
        <v>168.08</v>
      </c>
      <c r="O465" s="5">
        <v>106.61</v>
      </c>
      <c r="P465" s="4">
        <f>--AND(OR(Dashboard!$A$10="All",C465=Dashboard!$A$10),OR(Dashboard!$A$14="All",F465=Dashboard!$A$14),OR(Dashboard!$A$18="All",G465=Dashboard!$A$18),OR(Dashboard!$A$22="All",I465=Dashboard!$A$22))</f>
        <v>1</v>
      </c>
    </row>
    <row r="466" spans="1:16" ht="15.75" customHeight="1">
      <c r="A466" s="4" t="s">
        <v>672</v>
      </c>
      <c r="B466" s="6">
        <v>45553</v>
      </c>
      <c r="C466" s="4">
        <v>2024</v>
      </c>
      <c r="D466" s="4">
        <v>9</v>
      </c>
      <c r="E466" s="4" t="s">
        <v>79</v>
      </c>
      <c r="F466" s="4" t="s">
        <v>5</v>
      </c>
      <c r="G466" s="4" t="s">
        <v>12</v>
      </c>
      <c r="H466" s="4" t="s">
        <v>127</v>
      </c>
      <c r="I466" s="4" t="s">
        <v>7</v>
      </c>
      <c r="J466" s="4" t="s">
        <v>319</v>
      </c>
      <c r="K466" s="4">
        <v>1</v>
      </c>
      <c r="L466" s="5">
        <v>312.14999999999998</v>
      </c>
      <c r="M466" s="5">
        <v>312.14999999999998</v>
      </c>
      <c r="N466" s="5">
        <v>180.82</v>
      </c>
      <c r="O466" s="5">
        <v>131.33000000000001</v>
      </c>
      <c r="P466" s="4">
        <f>--AND(OR(Dashboard!$A$10="All",C466=Dashboard!$A$10),OR(Dashboard!$A$14="All",F466=Dashboard!$A$14),OR(Dashboard!$A$18="All",G466=Dashboard!$A$18),OR(Dashboard!$A$22="All",I466=Dashboard!$A$22))</f>
        <v>1</v>
      </c>
    </row>
    <row r="467" spans="1:16" ht="15.75" customHeight="1">
      <c r="A467" s="4" t="s">
        <v>673</v>
      </c>
      <c r="B467" s="6">
        <v>45300</v>
      </c>
      <c r="C467" s="4">
        <v>2024</v>
      </c>
      <c r="D467" s="4">
        <v>1</v>
      </c>
      <c r="E467" s="4" t="s">
        <v>30</v>
      </c>
      <c r="F467" s="4" t="s">
        <v>8</v>
      </c>
      <c r="G467" s="4" t="s">
        <v>12</v>
      </c>
      <c r="H467" s="4" t="s">
        <v>127</v>
      </c>
      <c r="I467" s="4" t="s">
        <v>7</v>
      </c>
      <c r="J467" s="4" t="s">
        <v>319</v>
      </c>
      <c r="K467" s="4">
        <v>5</v>
      </c>
      <c r="L467" s="5">
        <v>203.68</v>
      </c>
      <c r="M467" s="5">
        <v>1018.4</v>
      </c>
      <c r="N467" s="5">
        <v>619.69000000000005</v>
      </c>
      <c r="O467" s="5">
        <v>398.71</v>
      </c>
      <c r="P467" s="4">
        <f>--AND(OR(Dashboard!$A$10="All",C467=Dashboard!$A$10),OR(Dashboard!$A$14="All",F467=Dashboard!$A$14),OR(Dashboard!$A$18="All",G467=Dashboard!$A$18),OR(Dashboard!$A$22="All",I467=Dashboard!$A$22))</f>
        <v>1</v>
      </c>
    </row>
    <row r="468" spans="1:16" ht="15.75" customHeight="1">
      <c r="A468" s="4" t="s">
        <v>674</v>
      </c>
      <c r="B468" s="6">
        <v>45803</v>
      </c>
      <c r="C468" s="4">
        <v>2025</v>
      </c>
      <c r="D468" s="4">
        <v>5</v>
      </c>
      <c r="E468" s="4" t="s">
        <v>108</v>
      </c>
      <c r="F468" s="4" t="s">
        <v>5</v>
      </c>
      <c r="G468" s="4" t="s">
        <v>12</v>
      </c>
      <c r="H468" s="4" t="s">
        <v>92</v>
      </c>
      <c r="I468" s="4" t="s">
        <v>7</v>
      </c>
      <c r="J468" s="4" t="s">
        <v>314</v>
      </c>
      <c r="K468" s="4">
        <v>5</v>
      </c>
      <c r="L468" s="5">
        <v>151.32</v>
      </c>
      <c r="M468" s="5">
        <v>756.6</v>
      </c>
      <c r="N468" s="5">
        <v>467.97</v>
      </c>
      <c r="O468" s="5">
        <v>288.63</v>
      </c>
      <c r="P468" s="4">
        <f>--AND(OR(Dashboard!$A$10="All",C468=Dashboard!$A$10),OR(Dashboard!$A$14="All",F468=Dashboard!$A$14),OR(Dashboard!$A$18="All",G468=Dashboard!$A$18),OR(Dashboard!$A$22="All",I468=Dashboard!$A$22))</f>
        <v>1</v>
      </c>
    </row>
    <row r="469" spans="1:16" ht="15.75" customHeight="1">
      <c r="A469" s="4" t="s">
        <v>675</v>
      </c>
      <c r="B469" s="6">
        <v>45549</v>
      </c>
      <c r="C469" s="4">
        <v>2024</v>
      </c>
      <c r="D469" s="4">
        <v>9</v>
      </c>
      <c r="E469" s="4" t="s">
        <v>79</v>
      </c>
      <c r="F469" s="4" t="s">
        <v>5</v>
      </c>
      <c r="G469" s="4" t="s">
        <v>12</v>
      </c>
      <c r="H469" s="4" t="s">
        <v>58</v>
      </c>
      <c r="I469" s="4" t="s">
        <v>7</v>
      </c>
      <c r="J469" s="4" t="s">
        <v>420</v>
      </c>
      <c r="K469" s="4">
        <v>2</v>
      </c>
      <c r="L469" s="5">
        <v>322.61</v>
      </c>
      <c r="M469" s="5">
        <v>645.22</v>
      </c>
      <c r="N469" s="5">
        <v>369.6</v>
      </c>
      <c r="O469" s="5">
        <v>275.62</v>
      </c>
      <c r="P469" s="4">
        <f>--AND(OR(Dashboard!$A$10="All",C469=Dashboard!$A$10),OR(Dashboard!$A$14="All",F469=Dashboard!$A$14),OR(Dashboard!$A$18="All",G469=Dashboard!$A$18),OR(Dashboard!$A$22="All",I469=Dashboard!$A$22))</f>
        <v>1</v>
      </c>
    </row>
    <row r="470" spans="1:16" ht="15.75" customHeight="1">
      <c r="A470" s="4" t="s">
        <v>676</v>
      </c>
      <c r="B470" s="6">
        <v>45414</v>
      </c>
      <c r="C470" s="4">
        <v>2024</v>
      </c>
      <c r="D470" s="4">
        <v>5</v>
      </c>
      <c r="E470" s="4" t="s">
        <v>108</v>
      </c>
      <c r="F470" s="4" t="s">
        <v>8</v>
      </c>
      <c r="G470" s="4" t="s">
        <v>6</v>
      </c>
      <c r="H470" s="4" t="s">
        <v>98</v>
      </c>
      <c r="I470" s="4" t="s">
        <v>7</v>
      </c>
      <c r="J470" s="4" t="s">
        <v>263</v>
      </c>
      <c r="K470" s="4">
        <v>3</v>
      </c>
      <c r="L470" s="5">
        <v>96.24</v>
      </c>
      <c r="M470" s="5">
        <v>288.72000000000003</v>
      </c>
      <c r="N470" s="5">
        <v>198.55</v>
      </c>
      <c r="O470" s="5">
        <v>90.17</v>
      </c>
      <c r="P470" s="4">
        <f>--AND(OR(Dashboard!$A$10="All",C470=Dashboard!$A$10),OR(Dashboard!$A$14="All",F470=Dashboard!$A$14),OR(Dashboard!$A$18="All",G470=Dashboard!$A$18),OR(Dashboard!$A$22="All",I470=Dashboard!$A$22))</f>
        <v>1</v>
      </c>
    </row>
    <row r="471" spans="1:16" ht="15.75" customHeight="1">
      <c r="A471" s="4" t="s">
        <v>677</v>
      </c>
      <c r="B471" s="6">
        <v>46022</v>
      </c>
      <c r="C471" s="4">
        <v>2025</v>
      </c>
      <c r="D471" s="4">
        <v>12</v>
      </c>
      <c r="E471" s="4" t="s">
        <v>57</v>
      </c>
      <c r="F471" s="4" t="s">
        <v>5</v>
      </c>
      <c r="G471" s="4" t="s">
        <v>12</v>
      </c>
      <c r="H471" s="4" t="s">
        <v>124</v>
      </c>
      <c r="I471" s="4" t="s">
        <v>7</v>
      </c>
      <c r="J471" s="4" t="s">
        <v>362</v>
      </c>
      <c r="K471" s="4">
        <v>5</v>
      </c>
      <c r="L471" s="5">
        <v>326.62</v>
      </c>
      <c r="M471" s="5">
        <v>1633.1</v>
      </c>
      <c r="N471" s="5">
        <v>973.34</v>
      </c>
      <c r="O471" s="5">
        <v>659.76</v>
      </c>
      <c r="P471" s="4">
        <f>--AND(OR(Dashboard!$A$10="All",C471=Dashboard!$A$10),OR(Dashboard!$A$14="All",F471=Dashboard!$A$14),OR(Dashboard!$A$18="All",G471=Dashboard!$A$18),OR(Dashboard!$A$22="All",I471=Dashboard!$A$22))</f>
        <v>1</v>
      </c>
    </row>
    <row r="472" spans="1:16" ht="15.75" customHeight="1">
      <c r="A472" s="4" t="s">
        <v>678</v>
      </c>
      <c r="B472" s="6">
        <v>45801</v>
      </c>
      <c r="C472" s="4">
        <v>2025</v>
      </c>
      <c r="D472" s="4">
        <v>5</v>
      </c>
      <c r="E472" s="4" t="s">
        <v>108</v>
      </c>
      <c r="F472" s="4" t="s">
        <v>11</v>
      </c>
      <c r="G472" s="4" t="s">
        <v>6</v>
      </c>
      <c r="H472" s="4" t="s">
        <v>114</v>
      </c>
      <c r="I472" s="4" t="s">
        <v>7</v>
      </c>
      <c r="J472" s="4" t="s">
        <v>153</v>
      </c>
      <c r="K472" s="4">
        <v>2</v>
      </c>
      <c r="L472" s="5">
        <v>133.62</v>
      </c>
      <c r="M472" s="5">
        <v>267.24</v>
      </c>
      <c r="N472" s="5">
        <v>176.83</v>
      </c>
      <c r="O472" s="5">
        <v>90.41</v>
      </c>
      <c r="P472" s="4">
        <f>--AND(OR(Dashboard!$A$10="All",C472=Dashboard!$A$10),OR(Dashboard!$A$14="All",F472=Dashboard!$A$14),OR(Dashboard!$A$18="All",G472=Dashboard!$A$18),OR(Dashboard!$A$22="All",I472=Dashboard!$A$22))</f>
        <v>1</v>
      </c>
    </row>
    <row r="473" spans="1:16" ht="15.75" customHeight="1">
      <c r="A473" s="4" t="s">
        <v>679</v>
      </c>
      <c r="B473" s="6">
        <v>46022</v>
      </c>
      <c r="C473" s="4">
        <v>2025</v>
      </c>
      <c r="D473" s="4">
        <v>12</v>
      </c>
      <c r="E473" s="4" t="s">
        <v>57</v>
      </c>
      <c r="F473" s="4" t="s">
        <v>8</v>
      </c>
      <c r="G473" s="4" t="s">
        <v>9</v>
      </c>
      <c r="H473" s="4" t="s">
        <v>71</v>
      </c>
      <c r="I473" s="4" t="s">
        <v>7</v>
      </c>
      <c r="J473" s="4" t="s">
        <v>128</v>
      </c>
      <c r="K473" s="4">
        <v>1</v>
      </c>
      <c r="L473" s="5">
        <v>36.96</v>
      </c>
      <c r="M473" s="5">
        <v>36.96</v>
      </c>
      <c r="N473" s="5">
        <v>18.059999999999999</v>
      </c>
      <c r="O473" s="5">
        <v>18.899999999999999</v>
      </c>
      <c r="P473" s="4">
        <f>--AND(OR(Dashboard!$A$10="All",C473=Dashboard!$A$10),OR(Dashboard!$A$14="All",F473=Dashboard!$A$14),OR(Dashboard!$A$18="All",G473=Dashboard!$A$18),OR(Dashboard!$A$22="All",I473=Dashboard!$A$22))</f>
        <v>1</v>
      </c>
    </row>
    <row r="474" spans="1:16" ht="15.75" customHeight="1">
      <c r="A474" s="4" t="s">
        <v>680</v>
      </c>
      <c r="B474" s="6">
        <v>45673</v>
      </c>
      <c r="C474" s="4">
        <v>2025</v>
      </c>
      <c r="D474" s="4">
        <v>1</v>
      </c>
      <c r="E474" s="4" t="s">
        <v>30</v>
      </c>
      <c r="F474" s="4" t="s">
        <v>5</v>
      </c>
      <c r="G474" s="4" t="s">
        <v>6</v>
      </c>
      <c r="H474" s="4" t="s">
        <v>54</v>
      </c>
      <c r="I474" s="4" t="s">
        <v>13</v>
      </c>
      <c r="J474" s="4" t="s">
        <v>297</v>
      </c>
      <c r="K474" s="4">
        <v>3</v>
      </c>
      <c r="L474" s="5">
        <v>140.93</v>
      </c>
      <c r="M474" s="5">
        <v>422.79</v>
      </c>
      <c r="N474" s="5">
        <v>276</v>
      </c>
      <c r="O474" s="5">
        <v>146.79</v>
      </c>
      <c r="P474" s="4">
        <f>--AND(OR(Dashboard!$A$10="All",C474=Dashboard!$A$10),OR(Dashboard!$A$14="All",F474=Dashboard!$A$14),OR(Dashboard!$A$18="All",G474=Dashboard!$A$18),OR(Dashboard!$A$22="All",I474=Dashboard!$A$22))</f>
        <v>1</v>
      </c>
    </row>
    <row r="475" spans="1:16" ht="15.75" customHeight="1">
      <c r="A475" s="4" t="s">
        <v>681</v>
      </c>
      <c r="B475" s="6">
        <v>45861</v>
      </c>
      <c r="C475" s="4">
        <v>2025</v>
      </c>
      <c r="D475" s="4">
        <v>7</v>
      </c>
      <c r="E475" s="4" t="s">
        <v>63</v>
      </c>
      <c r="F475" s="4" t="s">
        <v>8</v>
      </c>
      <c r="G475" s="4" t="s">
        <v>9</v>
      </c>
      <c r="H475" s="4" t="s">
        <v>110</v>
      </c>
      <c r="I475" s="4" t="s">
        <v>7</v>
      </c>
      <c r="J475" s="4" t="s">
        <v>162</v>
      </c>
      <c r="K475" s="4">
        <v>3</v>
      </c>
      <c r="L475" s="5">
        <v>56.61</v>
      </c>
      <c r="M475" s="5">
        <v>169.83</v>
      </c>
      <c r="N475" s="5">
        <v>81.05</v>
      </c>
      <c r="O475" s="5">
        <v>88.78</v>
      </c>
      <c r="P475" s="4">
        <f>--AND(OR(Dashboard!$A$10="All",C475=Dashboard!$A$10),OR(Dashboard!$A$14="All",F475=Dashboard!$A$14),OR(Dashboard!$A$18="All",G475=Dashboard!$A$18),OR(Dashboard!$A$22="All",I475=Dashboard!$A$22))</f>
        <v>1</v>
      </c>
    </row>
    <row r="476" spans="1:16" ht="15.75" customHeight="1">
      <c r="A476" s="4" t="s">
        <v>682</v>
      </c>
      <c r="B476" s="6">
        <v>45666</v>
      </c>
      <c r="C476" s="4">
        <v>2025</v>
      </c>
      <c r="D476" s="4">
        <v>1</v>
      </c>
      <c r="E476" s="4" t="s">
        <v>30</v>
      </c>
      <c r="F476" s="4" t="s">
        <v>5</v>
      </c>
      <c r="G476" s="4" t="s">
        <v>9</v>
      </c>
      <c r="H476" s="4" t="s">
        <v>142</v>
      </c>
      <c r="I476" s="4" t="s">
        <v>7</v>
      </c>
      <c r="J476" s="4" t="s">
        <v>61</v>
      </c>
      <c r="K476" s="4">
        <v>2</v>
      </c>
      <c r="L476" s="5">
        <v>31.91</v>
      </c>
      <c r="M476" s="5">
        <v>63.82</v>
      </c>
      <c r="N476" s="5">
        <v>32.03</v>
      </c>
      <c r="O476" s="5">
        <v>31.79</v>
      </c>
      <c r="P476" s="4">
        <f>--AND(OR(Dashboard!$A$10="All",C476=Dashboard!$A$10),OR(Dashboard!$A$14="All",F476=Dashboard!$A$14),OR(Dashboard!$A$18="All",G476=Dashboard!$A$18),OR(Dashboard!$A$22="All",I476=Dashboard!$A$22))</f>
        <v>1</v>
      </c>
    </row>
    <row r="477" spans="1:16" ht="15.75" customHeight="1">
      <c r="A477" s="4" t="s">
        <v>683</v>
      </c>
      <c r="B477" s="6">
        <v>45437</v>
      </c>
      <c r="C477" s="4">
        <v>2024</v>
      </c>
      <c r="D477" s="4">
        <v>5</v>
      </c>
      <c r="E477" s="4" t="s">
        <v>108</v>
      </c>
      <c r="F477" s="4" t="s">
        <v>5</v>
      </c>
      <c r="G477" s="4" t="s">
        <v>12</v>
      </c>
      <c r="H477" s="4" t="s">
        <v>92</v>
      </c>
      <c r="I477" s="4" t="s">
        <v>7</v>
      </c>
      <c r="J477" s="4" t="s">
        <v>301</v>
      </c>
      <c r="K477" s="4">
        <v>10</v>
      </c>
      <c r="L477" s="5">
        <v>308.39999999999998</v>
      </c>
      <c r="M477" s="5">
        <v>3084</v>
      </c>
      <c r="N477" s="5">
        <v>1926.01</v>
      </c>
      <c r="O477" s="5">
        <v>1157.99</v>
      </c>
      <c r="P477" s="4">
        <f>--AND(OR(Dashboard!$A$10="All",C477=Dashboard!$A$10),OR(Dashboard!$A$14="All",F477=Dashboard!$A$14),OR(Dashboard!$A$18="All",G477=Dashboard!$A$18),OR(Dashboard!$A$22="All",I477=Dashboard!$A$22))</f>
        <v>1</v>
      </c>
    </row>
    <row r="478" spans="1:16" ht="15.75" customHeight="1">
      <c r="A478" s="4" t="s">
        <v>684</v>
      </c>
      <c r="B478" s="6">
        <v>45747</v>
      </c>
      <c r="C478" s="4">
        <v>2025</v>
      </c>
      <c r="D478" s="4">
        <v>3</v>
      </c>
      <c r="E478" s="4" t="s">
        <v>100</v>
      </c>
      <c r="F478" s="4" t="s">
        <v>5</v>
      </c>
      <c r="G478" s="4" t="s">
        <v>9</v>
      </c>
      <c r="H478" s="4" t="s">
        <v>142</v>
      </c>
      <c r="I478" s="4" t="s">
        <v>7</v>
      </c>
      <c r="J478" s="4" t="s">
        <v>189</v>
      </c>
      <c r="K478" s="4">
        <v>5</v>
      </c>
      <c r="L478" s="5">
        <v>54.13</v>
      </c>
      <c r="M478" s="5">
        <v>270.64999999999998</v>
      </c>
      <c r="N478" s="5">
        <v>136.62</v>
      </c>
      <c r="O478" s="5">
        <v>134.03</v>
      </c>
      <c r="P478" s="4">
        <f>--AND(OR(Dashboard!$A$10="All",C478=Dashboard!$A$10),OR(Dashboard!$A$14="All",F478=Dashboard!$A$14),OR(Dashboard!$A$18="All",G478=Dashboard!$A$18),OR(Dashboard!$A$22="All",I478=Dashboard!$A$22))</f>
        <v>1</v>
      </c>
    </row>
    <row r="479" spans="1:16" ht="15.75" customHeight="1">
      <c r="A479" s="4" t="s">
        <v>685</v>
      </c>
      <c r="B479" s="6">
        <v>45519</v>
      </c>
      <c r="C479" s="4">
        <v>2024</v>
      </c>
      <c r="D479" s="4">
        <v>8</v>
      </c>
      <c r="E479" s="4" t="s">
        <v>67</v>
      </c>
      <c r="F479" s="4" t="s">
        <v>8</v>
      </c>
      <c r="G479" s="4" t="s">
        <v>9</v>
      </c>
      <c r="H479" s="4" t="s">
        <v>142</v>
      </c>
      <c r="I479" s="4" t="s">
        <v>7</v>
      </c>
      <c r="J479" s="4" t="s">
        <v>379</v>
      </c>
      <c r="K479" s="4">
        <v>3</v>
      </c>
      <c r="L479" s="5">
        <v>61</v>
      </c>
      <c r="M479" s="5">
        <v>183</v>
      </c>
      <c r="N479" s="5">
        <v>89.94</v>
      </c>
      <c r="O479" s="5">
        <v>93.06</v>
      </c>
      <c r="P479" s="4">
        <f>--AND(OR(Dashboard!$A$10="All",C479=Dashboard!$A$10),OR(Dashboard!$A$14="All",F479=Dashboard!$A$14),OR(Dashboard!$A$18="All",G479=Dashboard!$A$18),OR(Dashboard!$A$22="All",I479=Dashboard!$A$22))</f>
        <v>1</v>
      </c>
    </row>
    <row r="480" spans="1:16" ht="15.75" customHeight="1">
      <c r="A480" s="4" t="s">
        <v>686</v>
      </c>
      <c r="B480" s="6">
        <v>45374</v>
      </c>
      <c r="C480" s="4">
        <v>2024</v>
      </c>
      <c r="D480" s="4">
        <v>3</v>
      </c>
      <c r="E480" s="4" t="s">
        <v>100</v>
      </c>
      <c r="F480" s="4" t="s">
        <v>14</v>
      </c>
      <c r="G480" s="4" t="s">
        <v>6</v>
      </c>
      <c r="H480" s="4" t="s">
        <v>80</v>
      </c>
      <c r="I480" s="4" t="s">
        <v>13</v>
      </c>
      <c r="J480" s="4" t="s">
        <v>55</v>
      </c>
      <c r="K480" s="4">
        <v>3</v>
      </c>
      <c r="L480" s="5">
        <v>98.03</v>
      </c>
      <c r="M480" s="5">
        <v>294.08999999999997</v>
      </c>
      <c r="N480" s="5">
        <v>193.22</v>
      </c>
      <c r="O480" s="5">
        <v>100.87</v>
      </c>
      <c r="P480" s="4">
        <f>--AND(OR(Dashboard!$A$10="All",C480=Dashboard!$A$10),OR(Dashboard!$A$14="All",F480=Dashboard!$A$14),OR(Dashboard!$A$18="All",G480=Dashboard!$A$18),OR(Dashboard!$A$22="All",I480=Dashboard!$A$22))</f>
        <v>1</v>
      </c>
    </row>
    <row r="481" spans="1:16" ht="15.75" customHeight="1">
      <c r="A481" s="4" t="s">
        <v>687</v>
      </c>
      <c r="B481" s="6">
        <v>45653</v>
      </c>
      <c r="C481" s="4">
        <v>2024</v>
      </c>
      <c r="D481" s="4">
        <v>12</v>
      </c>
      <c r="E481" s="4" t="s">
        <v>57</v>
      </c>
      <c r="F481" s="4" t="s">
        <v>11</v>
      </c>
      <c r="G481" s="4" t="s">
        <v>12</v>
      </c>
      <c r="H481" s="4" t="s">
        <v>127</v>
      </c>
      <c r="I481" s="4" t="s">
        <v>13</v>
      </c>
      <c r="J481" s="4" t="s">
        <v>184</v>
      </c>
      <c r="K481" s="4">
        <v>3</v>
      </c>
      <c r="L481" s="5">
        <v>178.06</v>
      </c>
      <c r="M481" s="5">
        <v>534.17999999999995</v>
      </c>
      <c r="N481" s="5">
        <v>316.04000000000002</v>
      </c>
      <c r="O481" s="5">
        <v>218.14</v>
      </c>
      <c r="P481" s="4">
        <f>--AND(OR(Dashboard!$A$10="All",C481=Dashboard!$A$10),OR(Dashboard!$A$14="All",F481=Dashboard!$A$14),OR(Dashboard!$A$18="All",G481=Dashboard!$A$18),OR(Dashboard!$A$22="All",I481=Dashboard!$A$22))</f>
        <v>1</v>
      </c>
    </row>
    <row r="482" spans="1:16" ht="15.75" customHeight="1">
      <c r="A482" s="4" t="s">
        <v>688</v>
      </c>
      <c r="B482" s="6">
        <v>45325</v>
      </c>
      <c r="C482" s="4">
        <v>2024</v>
      </c>
      <c r="D482" s="4">
        <v>2</v>
      </c>
      <c r="E482" s="4" t="s">
        <v>70</v>
      </c>
      <c r="F482" s="4" t="s">
        <v>8</v>
      </c>
      <c r="G482" s="4" t="s">
        <v>6</v>
      </c>
      <c r="H482" s="4" t="s">
        <v>54</v>
      </c>
      <c r="I482" s="4" t="s">
        <v>7</v>
      </c>
      <c r="J482" s="4" t="s">
        <v>55</v>
      </c>
      <c r="K482" s="4">
        <v>12</v>
      </c>
      <c r="L482" s="5">
        <v>181.51</v>
      </c>
      <c r="M482" s="5">
        <v>2178.12</v>
      </c>
      <c r="N482" s="5">
        <v>1388.62</v>
      </c>
      <c r="O482" s="5">
        <v>789.5</v>
      </c>
      <c r="P482" s="4">
        <f>--AND(OR(Dashboard!$A$10="All",C482=Dashboard!$A$10),OR(Dashboard!$A$14="All",F482=Dashboard!$A$14),OR(Dashboard!$A$18="All",G482=Dashboard!$A$18),OR(Dashboard!$A$22="All",I482=Dashboard!$A$22))</f>
        <v>1</v>
      </c>
    </row>
    <row r="483" spans="1:16" ht="15.75" customHeight="1">
      <c r="A483" s="4" t="s">
        <v>689</v>
      </c>
      <c r="B483" s="6">
        <v>46010</v>
      </c>
      <c r="C483" s="4">
        <v>2025</v>
      </c>
      <c r="D483" s="4">
        <v>12</v>
      </c>
      <c r="E483" s="4" t="s">
        <v>57</v>
      </c>
      <c r="F483" s="4" t="s">
        <v>11</v>
      </c>
      <c r="G483" s="4" t="s">
        <v>6</v>
      </c>
      <c r="H483" s="4" t="s">
        <v>114</v>
      </c>
      <c r="I483" s="4" t="s">
        <v>7</v>
      </c>
      <c r="J483" s="4" t="s">
        <v>218</v>
      </c>
      <c r="K483" s="4">
        <v>1</v>
      </c>
      <c r="L483" s="5">
        <v>135.26</v>
      </c>
      <c r="M483" s="5">
        <v>135.26</v>
      </c>
      <c r="N483" s="5">
        <v>88.83</v>
      </c>
      <c r="O483" s="5">
        <v>46.43</v>
      </c>
      <c r="P483" s="4">
        <f>--AND(OR(Dashboard!$A$10="All",C483=Dashboard!$A$10),OR(Dashboard!$A$14="All",F483=Dashboard!$A$14),OR(Dashboard!$A$18="All",G483=Dashboard!$A$18),OR(Dashboard!$A$22="All",I483=Dashboard!$A$22))</f>
        <v>1</v>
      </c>
    </row>
    <row r="484" spans="1:16" ht="15.75" customHeight="1">
      <c r="A484" s="4" t="s">
        <v>690</v>
      </c>
      <c r="B484" s="6">
        <v>45566</v>
      </c>
      <c r="C484" s="4">
        <v>2024</v>
      </c>
      <c r="D484" s="4">
        <v>10</v>
      </c>
      <c r="E484" s="4" t="s">
        <v>120</v>
      </c>
      <c r="F484" s="4" t="s">
        <v>5</v>
      </c>
      <c r="G484" s="4" t="s">
        <v>9</v>
      </c>
      <c r="H484" s="4" t="s">
        <v>64</v>
      </c>
      <c r="I484" s="4" t="s">
        <v>7</v>
      </c>
      <c r="J484" s="4" t="s">
        <v>121</v>
      </c>
      <c r="K484" s="4">
        <v>1</v>
      </c>
      <c r="L484" s="5">
        <v>54.11</v>
      </c>
      <c r="M484" s="5">
        <v>54.11</v>
      </c>
      <c r="N484" s="5">
        <v>26.94</v>
      </c>
      <c r="O484" s="5">
        <v>27.17</v>
      </c>
      <c r="P484" s="4">
        <f>--AND(OR(Dashboard!$A$10="All",C484=Dashboard!$A$10),OR(Dashboard!$A$14="All",F484=Dashboard!$A$14),OR(Dashboard!$A$18="All",G484=Dashboard!$A$18),OR(Dashboard!$A$22="All",I484=Dashboard!$A$22))</f>
        <v>1</v>
      </c>
    </row>
    <row r="485" spans="1:16" ht="15.75" customHeight="1">
      <c r="A485" s="4" t="s">
        <v>691</v>
      </c>
      <c r="B485" s="6">
        <v>45439</v>
      </c>
      <c r="C485" s="4">
        <v>2024</v>
      </c>
      <c r="D485" s="4">
        <v>5</v>
      </c>
      <c r="E485" s="4" t="s">
        <v>108</v>
      </c>
      <c r="F485" s="4" t="s">
        <v>5</v>
      </c>
      <c r="G485" s="4" t="s">
        <v>9</v>
      </c>
      <c r="H485" s="4" t="s">
        <v>71</v>
      </c>
      <c r="I485" s="4" t="s">
        <v>10</v>
      </c>
      <c r="J485" s="4" t="s">
        <v>121</v>
      </c>
      <c r="K485" s="4">
        <v>1</v>
      </c>
      <c r="L485" s="5">
        <v>48.54</v>
      </c>
      <c r="M485" s="5">
        <v>48.54</v>
      </c>
      <c r="N485" s="5">
        <v>24.31</v>
      </c>
      <c r="O485" s="5">
        <v>24.23</v>
      </c>
      <c r="P485" s="4">
        <f>--AND(OR(Dashboard!$A$10="All",C485=Dashboard!$A$10),OR(Dashboard!$A$14="All",F485=Dashboard!$A$14),OR(Dashboard!$A$18="All",G485=Dashboard!$A$18),OR(Dashboard!$A$22="All",I485=Dashboard!$A$22))</f>
        <v>1</v>
      </c>
    </row>
    <row r="486" spans="1:16" ht="15.75" customHeight="1">
      <c r="A486" s="4" t="s">
        <v>692</v>
      </c>
      <c r="B486" s="6">
        <v>45313</v>
      </c>
      <c r="C486" s="4">
        <v>2024</v>
      </c>
      <c r="D486" s="4">
        <v>1</v>
      </c>
      <c r="E486" s="4" t="s">
        <v>30</v>
      </c>
      <c r="F486" s="4" t="s">
        <v>5</v>
      </c>
      <c r="G486" s="4" t="s">
        <v>6</v>
      </c>
      <c r="H486" s="4" t="s">
        <v>80</v>
      </c>
      <c r="I486" s="4" t="s">
        <v>7</v>
      </c>
      <c r="J486" s="4" t="s">
        <v>37</v>
      </c>
      <c r="K486" s="4">
        <v>7</v>
      </c>
      <c r="L486" s="5">
        <v>184.08</v>
      </c>
      <c r="M486" s="5">
        <v>1288.56</v>
      </c>
      <c r="N486" s="5">
        <v>853.27</v>
      </c>
      <c r="O486" s="5">
        <v>435.29</v>
      </c>
      <c r="P486" s="4">
        <f>--AND(OR(Dashboard!$A$10="All",C486=Dashboard!$A$10),OR(Dashboard!$A$14="All",F486=Dashboard!$A$14),OR(Dashboard!$A$18="All",G486=Dashboard!$A$18),OR(Dashboard!$A$22="All",I486=Dashboard!$A$22))</f>
        <v>1</v>
      </c>
    </row>
    <row r="487" spans="1:16" ht="15.75" customHeight="1">
      <c r="A487" s="4" t="s">
        <v>693</v>
      </c>
      <c r="B487" s="6">
        <v>45733</v>
      </c>
      <c r="C487" s="4">
        <v>2025</v>
      </c>
      <c r="D487" s="4">
        <v>3</v>
      </c>
      <c r="E487" s="4" t="s">
        <v>100</v>
      </c>
      <c r="F487" s="4" t="s">
        <v>8</v>
      </c>
      <c r="G487" s="4" t="s">
        <v>12</v>
      </c>
      <c r="H487" s="4" t="s">
        <v>92</v>
      </c>
      <c r="I487" s="4" t="s">
        <v>7</v>
      </c>
      <c r="J487" s="4" t="s">
        <v>174</v>
      </c>
      <c r="K487" s="4">
        <v>4</v>
      </c>
      <c r="L487" s="5">
        <v>137.19</v>
      </c>
      <c r="M487" s="5">
        <v>548.76</v>
      </c>
      <c r="N487" s="5">
        <v>321.43</v>
      </c>
      <c r="O487" s="5">
        <v>227.33</v>
      </c>
      <c r="P487" s="4">
        <f>--AND(OR(Dashboard!$A$10="All",C487=Dashboard!$A$10),OR(Dashboard!$A$14="All",F487=Dashboard!$A$14),OR(Dashboard!$A$18="All",G487=Dashboard!$A$18),OR(Dashboard!$A$22="All",I487=Dashboard!$A$22))</f>
        <v>1</v>
      </c>
    </row>
    <row r="488" spans="1:16" ht="15.75" customHeight="1">
      <c r="A488" s="4" t="s">
        <v>694</v>
      </c>
      <c r="B488" s="6">
        <v>45444</v>
      </c>
      <c r="C488" s="4">
        <v>2024</v>
      </c>
      <c r="D488" s="4">
        <v>6</v>
      </c>
      <c r="E488" s="4" t="s">
        <v>34</v>
      </c>
      <c r="F488" s="4" t="s">
        <v>5</v>
      </c>
      <c r="G488" s="4" t="s">
        <v>9</v>
      </c>
      <c r="H488" s="4" t="s">
        <v>64</v>
      </c>
      <c r="I488" s="4" t="s">
        <v>10</v>
      </c>
      <c r="J488" s="4" t="s">
        <v>218</v>
      </c>
      <c r="K488" s="4">
        <v>3</v>
      </c>
      <c r="L488" s="5">
        <v>33.76</v>
      </c>
      <c r="M488" s="5">
        <v>101.28</v>
      </c>
      <c r="N488" s="5">
        <v>52.43</v>
      </c>
      <c r="O488" s="5">
        <v>48.85</v>
      </c>
      <c r="P488" s="4">
        <f>--AND(OR(Dashboard!$A$10="All",C488=Dashboard!$A$10),OR(Dashboard!$A$14="All",F488=Dashboard!$A$14),OR(Dashboard!$A$18="All",G488=Dashboard!$A$18),OR(Dashboard!$A$22="All",I488=Dashboard!$A$22))</f>
        <v>1</v>
      </c>
    </row>
    <row r="489" spans="1:16" ht="15.75" customHeight="1">
      <c r="A489" s="4" t="s">
        <v>695</v>
      </c>
      <c r="B489" s="6">
        <v>45445</v>
      </c>
      <c r="C489" s="4">
        <v>2024</v>
      </c>
      <c r="D489" s="4">
        <v>6</v>
      </c>
      <c r="E489" s="4" t="s">
        <v>34</v>
      </c>
      <c r="F489" s="4" t="s">
        <v>5</v>
      </c>
      <c r="G489" s="4" t="s">
        <v>6</v>
      </c>
      <c r="H489" s="4" t="s">
        <v>98</v>
      </c>
      <c r="I489" s="4" t="s">
        <v>7</v>
      </c>
      <c r="J489" s="4" t="s">
        <v>181</v>
      </c>
      <c r="K489" s="4">
        <v>3</v>
      </c>
      <c r="L489" s="5">
        <v>116.87</v>
      </c>
      <c r="M489" s="5">
        <v>350.61</v>
      </c>
      <c r="N489" s="5">
        <v>240.34</v>
      </c>
      <c r="O489" s="5">
        <v>110.27</v>
      </c>
      <c r="P489" s="4">
        <f>--AND(OR(Dashboard!$A$10="All",C489=Dashboard!$A$10),OR(Dashboard!$A$14="All",F489=Dashboard!$A$14),OR(Dashboard!$A$18="All",G489=Dashboard!$A$18),OR(Dashboard!$A$22="All",I489=Dashboard!$A$22))</f>
        <v>1</v>
      </c>
    </row>
    <row r="490" spans="1:16" ht="15.75" customHeight="1">
      <c r="A490" s="4" t="s">
        <v>696</v>
      </c>
      <c r="B490" s="6">
        <v>45471</v>
      </c>
      <c r="C490" s="4">
        <v>2024</v>
      </c>
      <c r="D490" s="4">
        <v>6</v>
      </c>
      <c r="E490" s="4" t="s">
        <v>34</v>
      </c>
      <c r="F490" s="4" t="s">
        <v>11</v>
      </c>
      <c r="G490" s="4" t="s">
        <v>6</v>
      </c>
      <c r="H490" s="4" t="s">
        <v>98</v>
      </c>
      <c r="I490" s="4" t="s">
        <v>7</v>
      </c>
      <c r="J490" s="4" t="s">
        <v>170</v>
      </c>
      <c r="K490" s="4">
        <v>4</v>
      </c>
      <c r="L490" s="5">
        <v>167.33</v>
      </c>
      <c r="M490" s="5">
        <v>669.32</v>
      </c>
      <c r="N490" s="5">
        <v>439.1</v>
      </c>
      <c r="O490" s="5">
        <v>230.22</v>
      </c>
      <c r="P490" s="4">
        <f>--AND(OR(Dashboard!$A$10="All",C490=Dashboard!$A$10),OR(Dashboard!$A$14="All",F490=Dashboard!$A$14),OR(Dashboard!$A$18="All",G490=Dashboard!$A$18),OR(Dashboard!$A$22="All",I490=Dashboard!$A$22))</f>
        <v>1</v>
      </c>
    </row>
    <row r="491" spans="1:16" ht="15.75" customHeight="1">
      <c r="A491" s="4" t="s">
        <v>697</v>
      </c>
      <c r="B491" s="6">
        <v>45971</v>
      </c>
      <c r="C491" s="4">
        <v>2025</v>
      </c>
      <c r="D491" s="4">
        <v>11</v>
      </c>
      <c r="E491" s="4" t="s">
        <v>89</v>
      </c>
      <c r="F491" s="4" t="s">
        <v>5</v>
      </c>
      <c r="G491" s="4" t="s">
        <v>9</v>
      </c>
      <c r="H491" s="4" t="s">
        <v>110</v>
      </c>
      <c r="I491" s="4" t="s">
        <v>7</v>
      </c>
      <c r="J491" s="4" t="s">
        <v>144</v>
      </c>
      <c r="K491" s="4">
        <v>1</v>
      </c>
      <c r="L491" s="5">
        <v>59.31</v>
      </c>
      <c r="M491" s="5">
        <v>59.31</v>
      </c>
      <c r="N491" s="5">
        <v>29.28</v>
      </c>
      <c r="O491" s="5">
        <v>30.03</v>
      </c>
      <c r="P491" s="4">
        <f>--AND(OR(Dashboard!$A$10="All",C491=Dashboard!$A$10),OR(Dashboard!$A$14="All",F491=Dashboard!$A$14),OR(Dashboard!$A$18="All",G491=Dashboard!$A$18),OR(Dashboard!$A$22="All",I491=Dashboard!$A$22))</f>
        <v>1</v>
      </c>
    </row>
    <row r="492" spans="1:16" ht="15.75" customHeight="1">
      <c r="A492" s="4" t="s">
        <v>698</v>
      </c>
      <c r="B492" s="6">
        <v>45703</v>
      </c>
      <c r="C492" s="4">
        <v>2025</v>
      </c>
      <c r="D492" s="4">
        <v>2</v>
      </c>
      <c r="E492" s="4" t="s">
        <v>70</v>
      </c>
      <c r="F492" s="4" t="s">
        <v>5</v>
      </c>
      <c r="G492" s="4" t="s">
        <v>6</v>
      </c>
      <c r="H492" s="4" t="s">
        <v>136</v>
      </c>
      <c r="I492" s="4" t="s">
        <v>7</v>
      </c>
      <c r="J492" s="4" t="s">
        <v>68</v>
      </c>
      <c r="K492" s="4">
        <v>2</v>
      </c>
      <c r="L492" s="5">
        <v>131.21</v>
      </c>
      <c r="M492" s="5">
        <v>262.42</v>
      </c>
      <c r="N492" s="5">
        <v>177.59</v>
      </c>
      <c r="O492" s="5">
        <v>84.83</v>
      </c>
      <c r="P492" s="4">
        <f>--AND(OR(Dashboard!$A$10="All",C492=Dashboard!$A$10),OR(Dashboard!$A$14="All",F492=Dashboard!$A$14),OR(Dashboard!$A$18="All",G492=Dashboard!$A$18),OR(Dashboard!$A$22="All",I492=Dashboard!$A$22))</f>
        <v>1</v>
      </c>
    </row>
    <row r="493" spans="1:16" ht="15.75" customHeight="1">
      <c r="A493" s="4" t="s">
        <v>699</v>
      </c>
      <c r="B493" s="6">
        <v>45534</v>
      </c>
      <c r="C493" s="4">
        <v>2024</v>
      </c>
      <c r="D493" s="4">
        <v>8</v>
      </c>
      <c r="E493" s="4" t="s">
        <v>67</v>
      </c>
      <c r="F493" s="4" t="s">
        <v>5</v>
      </c>
      <c r="G493" s="4" t="s">
        <v>9</v>
      </c>
      <c r="H493" s="4" t="s">
        <v>35</v>
      </c>
      <c r="I493" s="4" t="s">
        <v>13</v>
      </c>
      <c r="J493" s="4" t="s">
        <v>346</v>
      </c>
      <c r="K493" s="4">
        <v>1</v>
      </c>
      <c r="L493" s="5">
        <v>50.58</v>
      </c>
      <c r="M493" s="5">
        <v>50.58</v>
      </c>
      <c r="N493" s="5">
        <v>26.25</v>
      </c>
      <c r="O493" s="5">
        <v>24.33</v>
      </c>
      <c r="P493" s="4">
        <f>--AND(OR(Dashboard!$A$10="All",C493=Dashboard!$A$10),OR(Dashboard!$A$14="All",F493=Dashboard!$A$14),OR(Dashboard!$A$18="All",G493=Dashboard!$A$18),OR(Dashboard!$A$22="All",I493=Dashboard!$A$22))</f>
        <v>1</v>
      </c>
    </row>
    <row r="494" spans="1:16" ht="15.75" customHeight="1">
      <c r="A494" s="4" t="s">
        <v>700</v>
      </c>
      <c r="B494" s="6">
        <v>45628</v>
      </c>
      <c r="C494" s="4">
        <v>2024</v>
      </c>
      <c r="D494" s="4">
        <v>12</v>
      </c>
      <c r="E494" s="4" t="s">
        <v>57</v>
      </c>
      <c r="F494" s="4" t="s">
        <v>5</v>
      </c>
      <c r="G494" s="4" t="s">
        <v>9</v>
      </c>
      <c r="H494" s="4" t="s">
        <v>64</v>
      </c>
      <c r="I494" s="4" t="s">
        <v>7</v>
      </c>
      <c r="J494" s="4" t="s">
        <v>360</v>
      </c>
      <c r="K494" s="4">
        <v>1</v>
      </c>
      <c r="L494" s="5">
        <v>54.95</v>
      </c>
      <c r="M494" s="5">
        <v>54.95</v>
      </c>
      <c r="N494" s="5">
        <v>28.42</v>
      </c>
      <c r="O494" s="5">
        <v>26.53</v>
      </c>
      <c r="P494" s="4">
        <f>--AND(OR(Dashboard!$A$10="All",C494=Dashboard!$A$10),OR(Dashboard!$A$14="All",F494=Dashboard!$A$14),OR(Dashboard!$A$18="All",G494=Dashboard!$A$18),OR(Dashboard!$A$22="All",I494=Dashboard!$A$22))</f>
        <v>1</v>
      </c>
    </row>
    <row r="495" spans="1:16" ht="15.75" customHeight="1">
      <c r="A495" s="4" t="s">
        <v>701</v>
      </c>
      <c r="B495" s="6">
        <v>45331</v>
      </c>
      <c r="C495" s="4">
        <v>2024</v>
      </c>
      <c r="D495" s="4">
        <v>2</v>
      </c>
      <c r="E495" s="4" t="s">
        <v>70</v>
      </c>
      <c r="F495" s="4" t="s">
        <v>5</v>
      </c>
      <c r="G495" s="4" t="s">
        <v>12</v>
      </c>
      <c r="H495" s="4" t="s">
        <v>124</v>
      </c>
      <c r="I495" s="4" t="s">
        <v>7</v>
      </c>
      <c r="J495" s="4" t="s">
        <v>121</v>
      </c>
      <c r="K495" s="4">
        <v>1</v>
      </c>
      <c r="L495" s="5">
        <v>241.94</v>
      </c>
      <c r="M495" s="5">
        <v>241.94</v>
      </c>
      <c r="N495" s="5">
        <v>145.94999999999999</v>
      </c>
      <c r="O495" s="5">
        <v>95.99</v>
      </c>
      <c r="P495" s="4">
        <f>--AND(OR(Dashboard!$A$10="All",C495=Dashboard!$A$10),OR(Dashboard!$A$14="All",F495=Dashboard!$A$14),OR(Dashboard!$A$18="All",G495=Dashboard!$A$18),OR(Dashboard!$A$22="All",I495=Dashboard!$A$22))</f>
        <v>1</v>
      </c>
    </row>
    <row r="496" spans="1:16" ht="15.75" customHeight="1">
      <c r="A496" s="4" t="s">
        <v>702</v>
      </c>
      <c r="B496" s="6">
        <v>45733</v>
      </c>
      <c r="C496" s="4">
        <v>2025</v>
      </c>
      <c r="D496" s="4">
        <v>3</v>
      </c>
      <c r="E496" s="4" t="s">
        <v>100</v>
      </c>
      <c r="F496" s="4" t="s">
        <v>11</v>
      </c>
      <c r="G496" s="4" t="s">
        <v>9</v>
      </c>
      <c r="H496" s="4" t="s">
        <v>142</v>
      </c>
      <c r="I496" s="4" t="s">
        <v>7</v>
      </c>
      <c r="J496" s="4" t="s">
        <v>240</v>
      </c>
      <c r="K496" s="4">
        <v>8</v>
      </c>
      <c r="L496" s="5">
        <v>55.04</v>
      </c>
      <c r="M496" s="5">
        <v>440.32</v>
      </c>
      <c r="N496" s="5">
        <v>210.75</v>
      </c>
      <c r="O496" s="5">
        <v>229.57</v>
      </c>
      <c r="P496" s="4">
        <f>--AND(OR(Dashboard!$A$10="All",C496=Dashboard!$A$10),OR(Dashboard!$A$14="All",F496=Dashboard!$A$14),OR(Dashboard!$A$18="All",G496=Dashboard!$A$18),OR(Dashboard!$A$22="All",I496=Dashboard!$A$22))</f>
        <v>1</v>
      </c>
    </row>
    <row r="497" spans="1:16" ht="15.75" customHeight="1">
      <c r="A497" s="4" t="s">
        <v>703</v>
      </c>
      <c r="B497" s="6">
        <v>45366</v>
      </c>
      <c r="C497" s="4">
        <v>2024</v>
      </c>
      <c r="D497" s="4">
        <v>3</v>
      </c>
      <c r="E497" s="4" t="s">
        <v>100</v>
      </c>
      <c r="F497" s="4" t="s">
        <v>8</v>
      </c>
      <c r="G497" s="4" t="s">
        <v>6</v>
      </c>
      <c r="H497" s="4" t="s">
        <v>98</v>
      </c>
      <c r="I497" s="4" t="s">
        <v>7</v>
      </c>
      <c r="J497" s="4" t="s">
        <v>209</v>
      </c>
      <c r="K497" s="4">
        <v>4</v>
      </c>
      <c r="L497" s="5">
        <v>171.95</v>
      </c>
      <c r="M497" s="5">
        <v>687.8</v>
      </c>
      <c r="N497" s="5">
        <v>441.48</v>
      </c>
      <c r="O497" s="5">
        <v>246.32</v>
      </c>
      <c r="P497" s="4">
        <f>--AND(OR(Dashboard!$A$10="All",C497=Dashboard!$A$10),OR(Dashboard!$A$14="All",F497=Dashboard!$A$14),OR(Dashboard!$A$18="All",G497=Dashboard!$A$18),OR(Dashboard!$A$22="All",I497=Dashboard!$A$22))</f>
        <v>1</v>
      </c>
    </row>
    <row r="498" spans="1:16" ht="15.75" customHeight="1">
      <c r="A498" s="4" t="s">
        <v>704</v>
      </c>
      <c r="B498" s="6">
        <v>45851</v>
      </c>
      <c r="C498" s="4">
        <v>2025</v>
      </c>
      <c r="D498" s="4">
        <v>7</v>
      </c>
      <c r="E498" s="4" t="s">
        <v>63</v>
      </c>
      <c r="F498" s="4" t="s">
        <v>11</v>
      </c>
      <c r="G498" s="4" t="s">
        <v>9</v>
      </c>
      <c r="H498" s="4" t="s">
        <v>64</v>
      </c>
      <c r="I498" s="4" t="s">
        <v>7</v>
      </c>
      <c r="J498" s="4" t="s">
        <v>280</v>
      </c>
      <c r="K498" s="4">
        <v>1</v>
      </c>
      <c r="L498" s="5">
        <v>52.01</v>
      </c>
      <c r="M498" s="5">
        <v>52.01</v>
      </c>
      <c r="N498" s="5">
        <v>25.35</v>
      </c>
      <c r="O498" s="5">
        <v>26.66</v>
      </c>
      <c r="P498" s="4">
        <f>--AND(OR(Dashboard!$A$10="All",C498=Dashboard!$A$10),OR(Dashboard!$A$14="All",F498=Dashboard!$A$14),OR(Dashboard!$A$18="All",G498=Dashboard!$A$18),OR(Dashboard!$A$22="All",I498=Dashboard!$A$22))</f>
        <v>1</v>
      </c>
    </row>
    <row r="499" spans="1:16" ht="15.75" customHeight="1">
      <c r="A499" s="4" t="s">
        <v>705</v>
      </c>
      <c r="B499" s="6">
        <v>45800</v>
      </c>
      <c r="C499" s="4">
        <v>2025</v>
      </c>
      <c r="D499" s="4">
        <v>5</v>
      </c>
      <c r="E499" s="4" t="s">
        <v>108</v>
      </c>
      <c r="F499" s="4" t="s">
        <v>5</v>
      </c>
      <c r="G499" s="4" t="s">
        <v>12</v>
      </c>
      <c r="H499" s="4" t="s">
        <v>58</v>
      </c>
      <c r="I499" s="4" t="s">
        <v>7</v>
      </c>
      <c r="J499" s="4" t="s">
        <v>230</v>
      </c>
      <c r="K499" s="4">
        <v>5</v>
      </c>
      <c r="L499" s="5">
        <v>274.02999999999997</v>
      </c>
      <c r="M499" s="5">
        <v>1370.15</v>
      </c>
      <c r="N499" s="5">
        <v>823.58</v>
      </c>
      <c r="O499" s="5">
        <v>546.57000000000005</v>
      </c>
      <c r="P499" s="4">
        <f>--AND(OR(Dashboard!$A$10="All",C499=Dashboard!$A$10),OR(Dashboard!$A$14="All",F499=Dashboard!$A$14),OR(Dashboard!$A$18="All",G499=Dashboard!$A$18),OR(Dashboard!$A$22="All",I499=Dashboard!$A$22))</f>
        <v>1</v>
      </c>
    </row>
    <row r="500" spans="1:16" ht="15.75" customHeight="1">
      <c r="A500" s="4" t="s">
        <v>706</v>
      </c>
      <c r="B500" s="6">
        <v>45300</v>
      </c>
      <c r="C500" s="4">
        <v>2024</v>
      </c>
      <c r="D500" s="4">
        <v>1</v>
      </c>
      <c r="E500" s="4" t="s">
        <v>30</v>
      </c>
      <c r="F500" s="4" t="s">
        <v>8</v>
      </c>
      <c r="G500" s="4" t="s">
        <v>6</v>
      </c>
      <c r="H500" s="4" t="s">
        <v>80</v>
      </c>
      <c r="I500" s="4" t="s">
        <v>7</v>
      </c>
      <c r="J500" s="4" t="s">
        <v>209</v>
      </c>
      <c r="K500" s="4">
        <v>10</v>
      </c>
      <c r="L500" s="5">
        <v>187.46</v>
      </c>
      <c r="M500" s="5">
        <v>1874.6</v>
      </c>
      <c r="N500" s="5">
        <v>1233.6199999999999</v>
      </c>
      <c r="O500" s="5">
        <v>640.98</v>
      </c>
      <c r="P500" s="4">
        <f>--AND(OR(Dashboard!$A$10="All",C500=Dashboard!$A$10),OR(Dashboard!$A$14="All",F500=Dashboard!$A$14),OR(Dashboard!$A$18="All",G500=Dashboard!$A$18),OR(Dashboard!$A$22="All",I500=Dashboard!$A$22))</f>
        <v>1</v>
      </c>
    </row>
    <row r="501" spans="1:16" ht="15.75" customHeight="1">
      <c r="A501" s="4" t="s">
        <v>707</v>
      </c>
      <c r="B501" s="6">
        <v>45443</v>
      </c>
      <c r="C501" s="4">
        <v>2024</v>
      </c>
      <c r="D501" s="4">
        <v>5</v>
      </c>
      <c r="E501" s="4" t="s">
        <v>108</v>
      </c>
      <c r="F501" s="4" t="s">
        <v>8</v>
      </c>
      <c r="G501" s="4" t="s">
        <v>12</v>
      </c>
      <c r="H501" s="4" t="s">
        <v>127</v>
      </c>
      <c r="I501" s="4" t="s">
        <v>7</v>
      </c>
      <c r="J501" s="4" t="s">
        <v>321</v>
      </c>
      <c r="K501" s="4">
        <v>1</v>
      </c>
      <c r="L501" s="5">
        <v>163.21</v>
      </c>
      <c r="M501" s="5">
        <v>163.21</v>
      </c>
      <c r="N501" s="5">
        <v>93.19</v>
      </c>
      <c r="O501" s="5">
        <v>70.02</v>
      </c>
      <c r="P501" s="4">
        <f>--AND(OR(Dashboard!$A$10="All",C501=Dashboard!$A$10),OR(Dashboard!$A$14="All",F501=Dashboard!$A$14),OR(Dashboard!$A$18="All",G501=Dashboard!$A$18),OR(Dashboard!$A$22="All",I501=Dashboard!$A$22))</f>
        <v>1</v>
      </c>
    </row>
    <row r="502" spans="1:16" ht="15.75" customHeight="1">
      <c r="A502" s="4" t="s">
        <v>708</v>
      </c>
      <c r="B502" s="6">
        <v>45901</v>
      </c>
      <c r="C502" s="4">
        <v>2025</v>
      </c>
      <c r="D502" s="4">
        <v>9</v>
      </c>
      <c r="E502" s="4" t="s">
        <v>79</v>
      </c>
      <c r="F502" s="4" t="s">
        <v>5</v>
      </c>
      <c r="G502" s="4" t="s">
        <v>9</v>
      </c>
      <c r="H502" s="4" t="s">
        <v>35</v>
      </c>
      <c r="I502" s="4" t="s">
        <v>7</v>
      </c>
      <c r="J502" s="4" t="s">
        <v>149</v>
      </c>
      <c r="K502" s="4">
        <v>1</v>
      </c>
      <c r="L502" s="5">
        <v>33.19</v>
      </c>
      <c r="M502" s="5">
        <v>33.19</v>
      </c>
      <c r="N502" s="5">
        <v>16.53</v>
      </c>
      <c r="O502" s="5">
        <v>16.66</v>
      </c>
      <c r="P502" s="4">
        <f>--AND(OR(Dashboard!$A$10="All",C502=Dashboard!$A$10),OR(Dashboard!$A$14="All",F502=Dashboard!$A$14),OR(Dashboard!$A$18="All",G502=Dashboard!$A$18),OR(Dashboard!$A$22="All",I502=Dashboard!$A$22))</f>
        <v>1</v>
      </c>
    </row>
    <row r="503" spans="1:16" ht="15.75" customHeight="1">
      <c r="A503" s="4" t="s">
        <v>709</v>
      </c>
      <c r="B503" s="6">
        <v>45919</v>
      </c>
      <c r="C503" s="4">
        <v>2025</v>
      </c>
      <c r="D503" s="4">
        <v>9</v>
      </c>
      <c r="E503" s="4" t="s">
        <v>79</v>
      </c>
      <c r="F503" s="4" t="s">
        <v>5</v>
      </c>
      <c r="G503" s="4" t="s">
        <v>12</v>
      </c>
      <c r="H503" s="4" t="s">
        <v>86</v>
      </c>
      <c r="I503" s="4" t="s">
        <v>7</v>
      </c>
      <c r="J503" s="4" t="s">
        <v>263</v>
      </c>
      <c r="K503" s="4">
        <v>1</v>
      </c>
      <c r="L503" s="5">
        <v>239.13</v>
      </c>
      <c r="M503" s="5">
        <v>239.13</v>
      </c>
      <c r="N503" s="5">
        <v>149.78</v>
      </c>
      <c r="O503" s="5">
        <v>89.35</v>
      </c>
      <c r="P503" s="4">
        <f>--AND(OR(Dashboard!$A$10="All",C503=Dashboard!$A$10),OR(Dashboard!$A$14="All",F503=Dashboard!$A$14),OR(Dashboard!$A$18="All",G503=Dashboard!$A$18),OR(Dashboard!$A$22="All",I503=Dashboard!$A$22))</f>
        <v>1</v>
      </c>
    </row>
    <row r="504" spans="1:16" ht="15.75" customHeight="1">
      <c r="A504" s="4" t="s">
        <v>710</v>
      </c>
      <c r="B504" s="6">
        <v>45861</v>
      </c>
      <c r="C504" s="4">
        <v>2025</v>
      </c>
      <c r="D504" s="4">
        <v>7</v>
      </c>
      <c r="E504" s="4" t="s">
        <v>63</v>
      </c>
      <c r="F504" s="4" t="s">
        <v>5</v>
      </c>
      <c r="G504" s="4" t="s">
        <v>12</v>
      </c>
      <c r="H504" s="4" t="s">
        <v>127</v>
      </c>
      <c r="I504" s="4" t="s">
        <v>7</v>
      </c>
      <c r="J504" s="4" t="s">
        <v>232</v>
      </c>
      <c r="K504" s="4">
        <v>1</v>
      </c>
      <c r="L504" s="5">
        <v>261.41000000000003</v>
      </c>
      <c r="M504" s="5">
        <v>261.41000000000003</v>
      </c>
      <c r="N504" s="5">
        <v>163.98</v>
      </c>
      <c r="O504" s="5">
        <v>97.43</v>
      </c>
      <c r="P504" s="4">
        <f>--AND(OR(Dashboard!$A$10="All",C504=Dashboard!$A$10),OR(Dashboard!$A$14="All",F504=Dashboard!$A$14),OR(Dashboard!$A$18="All",G504=Dashboard!$A$18),OR(Dashboard!$A$22="All",I504=Dashboard!$A$22))</f>
        <v>1</v>
      </c>
    </row>
    <row r="505" spans="1:16" ht="15.75" customHeight="1">
      <c r="A505" s="4" t="s">
        <v>711</v>
      </c>
      <c r="B505" s="6">
        <v>45561</v>
      </c>
      <c r="C505" s="4">
        <v>2024</v>
      </c>
      <c r="D505" s="4">
        <v>9</v>
      </c>
      <c r="E505" s="4" t="s">
        <v>79</v>
      </c>
      <c r="F505" s="4" t="s">
        <v>5</v>
      </c>
      <c r="G505" s="4" t="s">
        <v>6</v>
      </c>
      <c r="H505" s="4" t="s">
        <v>114</v>
      </c>
      <c r="I505" s="4" t="s">
        <v>7</v>
      </c>
      <c r="J505" s="4" t="s">
        <v>159</v>
      </c>
      <c r="K505" s="4">
        <v>6</v>
      </c>
      <c r="L505" s="5">
        <v>199.12</v>
      </c>
      <c r="M505" s="5">
        <v>1194.72</v>
      </c>
      <c r="N505" s="5">
        <v>791.5</v>
      </c>
      <c r="O505" s="5">
        <v>403.22</v>
      </c>
      <c r="P505" s="4">
        <f>--AND(OR(Dashboard!$A$10="All",C505=Dashboard!$A$10),OR(Dashboard!$A$14="All",F505=Dashboard!$A$14),OR(Dashboard!$A$18="All",G505=Dashboard!$A$18),OR(Dashboard!$A$22="All",I505=Dashboard!$A$22))</f>
        <v>1</v>
      </c>
    </row>
    <row r="506" spans="1:16" ht="15.75" customHeight="1">
      <c r="A506" s="4" t="s">
        <v>712</v>
      </c>
      <c r="B506" s="6">
        <v>45658</v>
      </c>
      <c r="C506" s="4">
        <v>2025</v>
      </c>
      <c r="D506" s="4">
        <v>1</v>
      </c>
      <c r="E506" s="4" t="s">
        <v>30</v>
      </c>
      <c r="F506" s="4" t="s">
        <v>5</v>
      </c>
      <c r="G506" s="4" t="s">
        <v>12</v>
      </c>
      <c r="H506" s="4" t="s">
        <v>58</v>
      </c>
      <c r="I506" s="4" t="s">
        <v>7</v>
      </c>
      <c r="J506" s="4" t="s">
        <v>162</v>
      </c>
      <c r="K506" s="4">
        <v>3</v>
      </c>
      <c r="L506" s="5">
        <v>320.29000000000002</v>
      </c>
      <c r="M506" s="5">
        <v>960.87</v>
      </c>
      <c r="N506" s="5">
        <v>588.66</v>
      </c>
      <c r="O506" s="5">
        <v>372.21</v>
      </c>
      <c r="P506" s="4">
        <f>--AND(OR(Dashboard!$A$10="All",C506=Dashboard!$A$10),OR(Dashboard!$A$14="All",F506=Dashboard!$A$14),OR(Dashboard!$A$18="All",G506=Dashboard!$A$18),OR(Dashboard!$A$22="All",I506=Dashboard!$A$22))</f>
        <v>1</v>
      </c>
    </row>
    <row r="507" spans="1:16" ht="15.75" customHeight="1">
      <c r="A507" s="4" t="s">
        <v>713</v>
      </c>
      <c r="B507" s="6">
        <v>45524</v>
      </c>
      <c r="C507" s="4">
        <v>2024</v>
      </c>
      <c r="D507" s="4">
        <v>8</v>
      </c>
      <c r="E507" s="4" t="s">
        <v>67</v>
      </c>
      <c r="F507" s="4" t="s">
        <v>5</v>
      </c>
      <c r="G507" s="4" t="s">
        <v>9</v>
      </c>
      <c r="H507" s="4" t="s">
        <v>110</v>
      </c>
      <c r="I507" s="4" t="s">
        <v>10</v>
      </c>
      <c r="J507" s="4" t="s">
        <v>68</v>
      </c>
      <c r="K507" s="4">
        <v>2</v>
      </c>
      <c r="L507" s="5">
        <v>56.48</v>
      </c>
      <c r="M507" s="5">
        <v>112.96</v>
      </c>
      <c r="N507" s="5">
        <v>57.85</v>
      </c>
      <c r="O507" s="5">
        <v>55.11</v>
      </c>
      <c r="P507" s="4">
        <f>--AND(OR(Dashboard!$A$10="All",C507=Dashboard!$A$10),OR(Dashboard!$A$14="All",F507=Dashboard!$A$14),OR(Dashboard!$A$18="All",G507=Dashboard!$A$18),OR(Dashboard!$A$22="All",I507=Dashboard!$A$22))</f>
        <v>1</v>
      </c>
    </row>
    <row r="508" spans="1:16" ht="15.75" customHeight="1">
      <c r="A508" s="4" t="s">
        <v>714</v>
      </c>
      <c r="B508" s="6">
        <v>45734</v>
      </c>
      <c r="C508" s="4">
        <v>2025</v>
      </c>
      <c r="D508" s="4">
        <v>3</v>
      </c>
      <c r="E508" s="4" t="s">
        <v>100</v>
      </c>
      <c r="F508" s="4" t="s">
        <v>5</v>
      </c>
      <c r="G508" s="4" t="s">
        <v>9</v>
      </c>
      <c r="H508" s="4" t="s">
        <v>142</v>
      </c>
      <c r="I508" s="4" t="s">
        <v>7</v>
      </c>
      <c r="J508" s="4" t="s">
        <v>179</v>
      </c>
      <c r="K508" s="4">
        <v>3</v>
      </c>
      <c r="L508" s="5">
        <v>35.4</v>
      </c>
      <c r="M508" s="5">
        <v>106.2</v>
      </c>
      <c r="N508" s="5">
        <v>53.08</v>
      </c>
      <c r="O508" s="5">
        <v>53.12</v>
      </c>
      <c r="P508" s="4">
        <f>--AND(OR(Dashboard!$A$10="All",C508=Dashboard!$A$10),OR(Dashboard!$A$14="All",F508=Dashboard!$A$14),OR(Dashboard!$A$18="All",G508=Dashboard!$A$18),OR(Dashboard!$A$22="All",I508=Dashboard!$A$22))</f>
        <v>1</v>
      </c>
    </row>
    <row r="509" spans="1:16" ht="15.75" customHeight="1">
      <c r="A509" s="4" t="s">
        <v>715</v>
      </c>
      <c r="B509" s="6">
        <v>45450</v>
      </c>
      <c r="C509" s="4">
        <v>2024</v>
      </c>
      <c r="D509" s="4">
        <v>6</v>
      </c>
      <c r="E509" s="4" t="s">
        <v>34</v>
      </c>
      <c r="F509" s="4" t="s">
        <v>8</v>
      </c>
      <c r="G509" s="4" t="s">
        <v>12</v>
      </c>
      <c r="H509" s="4" t="s">
        <v>127</v>
      </c>
      <c r="I509" s="4" t="s">
        <v>10</v>
      </c>
      <c r="J509" s="4" t="s">
        <v>118</v>
      </c>
      <c r="K509" s="4">
        <v>2</v>
      </c>
      <c r="L509" s="5">
        <v>119.62</v>
      </c>
      <c r="M509" s="5">
        <v>239.24</v>
      </c>
      <c r="N509" s="5">
        <v>146.57</v>
      </c>
      <c r="O509" s="5">
        <v>92.67</v>
      </c>
      <c r="P509" s="4">
        <f>--AND(OR(Dashboard!$A$10="All",C509=Dashboard!$A$10),OR(Dashboard!$A$14="All",F509=Dashboard!$A$14),OR(Dashboard!$A$18="All",G509=Dashboard!$A$18),OR(Dashboard!$A$22="All",I509=Dashboard!$A$22))</f>
        <v>1</v>
      </c>
    </row>
    <row r="510" spans="1:16" ht="15.75" customHeight="1">
      <c r="A510" s="4" t="s">
        <v>716</v>
      </c>
      <c r="B510" s="6">
        <v>45772</v>
      </c>
      <c r="C510" s="4">
        <v>2025</v>
      </c>
      <c r="D510" s="4">
        <v>4</v>
      </c>
      <c r="E510" s="4" t="s">
        <v>106</v>
      </c>
      <c r="F510" s="4" t="s">
        <v>5</v>
      </c>
      <c r="G510" s="4" t="s">
        <v>9</v>
      </c>
      <c r="H510" s="4" t="s">
        <v>142</v>
      </c>
      <c r="I510" s="4" t="s">
        <v>7</v>
      </c>
      <c r="J510" s="4" t="s">
        <v>371</v>
      </c>
      <c r="K510" s="4">
        <v>2</v>
      </c>
      <c r="L510" s="5">
        <v>34.229999999999997</v>
      </c>
      <c r="M510" s="5">
        <v>68.459999999999994</v>
      </c>
      <c r="N510" s="5">
        <v>32.71</v>
      </c>
      <c r="O510" s="5">
        <v>35.75</v>
      </c>
      <c r="P510" s="4">
        <f>--AND(OR(Dashboard!$A$10="All",C510=Dashboard!$A$10),OR(Dashboard!$A$14="All",F510=Dashboard!$A$14),OR(Dashboard!$A$18="All",G510=Dashboard!$A$18),OR(Dashboard!$A$22="All",I510=Dashboard!$A$22))</f>
        <v>1</v>
      </c>
    </row>
    <row r="511" spans="1:16" ht="15.75" customHeight="1">
      <c r="A511" s="4" t="s">
        <v>717</v>
      </c>
      <c r="B511" s="6">
        <v>45487</v>
      </c>
      <c r="C511" s="4">
        <v>2024</v>
      </c>
      <c r="D511" s="4">
        <v>7</v>
      </c>
      <c r="E511" s="4" t="s">
        <v>63</v>
      </c>
      <c r="F511" s="4" t="s">
        <v>8</v>
      </c>
      <c r="G511" s="4" t="s">
        <v>6</v>
      </c>
      <c r="H511" s="4" t="s">
        <v>114</v>
      </c>
      <c r="I511" s="4" t="s">
        <v>13</v>
      </c>
      <c r="J511" s="4" t="s">
        <v>81</v>
      </c>
      <c r="K511" s="4">
        <v>12</v>
      </c>
      <c r="L511" s="5">
        <v>148.33000000000001</v>
      </c>
      <c r="M511" s="5">
        <v>1779.96</v>
      </c>
      <c r="N511" s="5">
        <v>1170.32</v>
      </c>
      <c r="O511" s="5">
        <v>609.64</v>
      </c>
      <c r="P511" s="4">
        <f>--AND(OR(Dashboard!$A$10="All",C511=Dashboard!$A$10),OR(Dashboard!$A$14="All",F511=Dashboard!$A$14),OR(Dashboard!$A$18="All",G511=Dashboard!$A$18),OR(Dashboard!$A$22="All",I511=Dashboard!$A$22))</f>
        <v>1</v>
      </c>
    </row>
    <row r="512" spans="1:16" ht="15.75" customHeight="1">
      <c r="A512" s="4" t="s">
        <v>718</v>
      </c>
      <c r="B512" s="6">
        <v>45845</v>
      </c>
      <c r="C512" s="4">
        <v>2025</v>
      </c>
      <c r="D512" s="4">
        <v>7</v>
      </c>
      <c r="E512" s="4" t="s">
        <v>63</v>
      </c>
      <c r="F512" s="4" t="s">
        <v>5</v>
      </c>
      <c r="G512" s="4" t="s">
        <v>9</v>
      </c>
      <c r="H512" s="4" t="s">
        <v>142</v>
      </c>
      <c r="I512" s="4" t="s">
        <v>10</v>
      </c>
      <c r="J512" s="4" t="s">
        <v>214</v>
      </c>
      <c r="K512" s="4">
        <v>3</v>
      </c>
      <c r="L512" s="5">
        <v>46.11</v>
      </c>
      <c r="M512" s="5">
        <v>138.33000000000001</v>
      </c>
      <c r="N512" s="5">
        <v>67.63</v>
      </c>
      <c r="O512" s="5">
        <v>70.7</v>
      </c>
      <c r="P512" s="4">
        <f>--AND(OR(Dashboard!$A$10="All",C512=Dashboard!$A$10),OR(Dashboard!$A$14="All",F512=Dashboard!$A$14),OR(Dashboard!$A$18="All",G512=Dashboard!$A$18),OR(Dashboard!$A$22="All",I512=Dashboard!$A$22))</f>
        <v>1</v>
      </c>
    </row>
    <row r="513" spans="1:16" ht="15.75" customHeight="1">
      <c r="A513" s="4" t="s">
        <v>719</v>
      </c>
      <c r="B513" s="6">
        <v>45444</v>
      </c>
      <c r="C513" s="4">
        <v>2024</v>
      </c>
      <c r="D513" s="4">
        <v>6</v>
      </c>
      <c r="E513" s="4" t="s">
        <v>34</v>
      </c>
      <c r="F513" s="4" t="s">
        <v>14</v>
      </c>
      <c r="G513" s="4" t="s">
        <v>12</v>
      </c>
      <c r="H513" s="4" t="s">
        <v>58</v>
      </c>
      <c r="I513" s="4" t="s">
        <v>7</v>
      </c>
      <c r="J513" s="4" t="s">
        <v>280</v>
      </c>
      <c r="K513" s="4">
        <v>4</v>
      </c>
      <c r="L513" s="5">
        <v>179.91</v>
      </c>
      <c r="M513" s="5">
        <v>719.64</v>
      </c>
      <c r="N513" s="5">
        <v>431.25</v>
      </c>
      <c r="O513" s="5">
        <v>288.39</v>
      </c>
      <c r="P513" s="4">
        <f>--AND(OR(Dashboard!$A$10="All",C513=Dashboard!$A$10),OR(Dashboard!$A$14="All",F513=Dashboard!$A$14),OR(Dashboard!$A$18="All",G513=Dashboard!$A$18),OR(Dashboard!$A$22="All",I513=Dashboard!$A$22))</f>
        <v>1</v>
      </c>
    </row>
    <row r="514" spans="1:16" ht="15.75" customHeight="1">
      <c r="A514" s="4" t="s">
        <v>720</v>
      </c>
      <c r="B514" s="6">
        <v>45809</v>
      </c>
      <c r="C514" s="4">
        <v>2025</v>
      </c>
      <c r="D514" s="4">
        <v>6</v>
      </c>
      <c r="E514" s="4" t="s">
        <v>34</v>
      </c>
      <c r="F514" s="4" t="s">
        <v>5</v>
      </c>
      <c r="G514" s="4" t="s">
        <v>6</v>
      </c>
      <c r="H514" s="4" t="s">
        <v>136</v>
      </c>
      <c r="I514" s="4" t="s">
        <v>7</v>
      </c>
      <c r="J514" s="4" t="s">
        <v>68</v>
      </c>
      <c r="K514" s="4">
        <v>1</v>
      </c>
      <c r="L514" s="5">
        <v>121.32</v>
      </c>
      <c r="M514" s="5">
        <v>121.32</v>
      </c>
      <c r="N514" s="5">
        <v>78.31</v>
      </c>
      <c r="O514" s="5">
        <v>43.01</v>
      </c>
      <c r="P514" s="4">
        <f>--AND(OR(Dashboard!$A$10="All",C514=Dashboard!$A$10),OR(Dashboard!$A$14="All",F514=Dashboard!$A$14),OR(Dashboard!$A$18="All",G514=Dashboard!$A$18),OR(Dashboard!$A$22="All",I514=Dashboard!$A$22))</f>
        <v>1</v>
      </c>
    </row>
    <row r="515" spans="1:16" ht="15.75" customHeight="1">
      <c r="A515" s="4" t="s">
        <v>721</v>
      </c>
      <c r="B515" s="6">
        <v>45667</v>
      </c>
      <c r="C515" s="4">
        <v>2025</v>
      </c>
      <c r="D515" s="4">
        <v>1</v>
      </c>
      <c r="E515" s="4" t="s">
        <v>30</v>
      </c>
      <c r="F515" s="4" t="s">
        <v>8</v>
      </c>
      <c r="G515" s="4" t="s">
        <v>12</v>
      </c>
      <c r="H515" s="4" t="s">
        <v>92</v>
      </c>
      <c r="I515" s="4" t="s">
        <v>10</v>
      </c>
      <c r="J515" s="4" t="s">
        <v>240</v>
      </c>
      <c r="K515" s="4">
        <v>10</v>
      </c>
      <c r="L515" s="5">
        <v>279.19</v>
      </c>
      <c r="M515" s="5">
        <v>2791.9</v>
      </c>
      <c r="N515" s="5">
        <v>1728.07</v>
      </c>
      <c r="O515" s="5">
        <v>1063.83</v>
      </c>
      <c r="P515" s="4">
        <f>--AND(OR(Dashboard!$A$10="All",C515=Dashboard!$A$10),OR(Dashboard!$A$14="All",F515=Dashboard!$A$14),OR(Dashboard!$A$18="All",G515=Dashboard!$A$18),OR(Dashboard!$A$22="All",I515=Dashboard!$A$22))</f>
        <v>1</v>
      </c>
    </row>
    <row r="516" spans="1:16" ht="15.75" customHeight="1">
      <c r="A516" s="4" t="s">
        <v>722</v>
      </c>
      <c r="B516" s="6">
        <v>45637</v>
      </c>
      <c r="C516" s="4">
        <v>2024</v>
      </c>
      <c r="D516" s="4">
        <v>12</v>
      </c>
      <c r="E516" s="4" t="s">
        <v>57</v>
      </c>
      <c r="F516" s="4" t="s">
        <v>5</v>
      </c>
      <c r="G516" s="4" t="s">
        <v>12</v>
      </c>
      <c r="H516" s="4" t="s">
        <v>58</v>
      </c>
      <c r="I516" s="4" t="s">
        <v>10</v>
      </c>
      <c r="J516" s="4" t="s">
        <v>214</v>
      </c>
      <c r="K516" s="4">
        <v>3</v>
      </c>
      <c r="L516" s="5">
        <v>281.81</v>
      </c>
      <c r="M516" s="5">
        <v>845.43</v>
      </c>
      <c r="N516" s="5">
        <v>496.22</v>
      </c>
      <c r="O516" s="5">
        <v>349.21</v>
      </c>
      <c r="P516" s="4">
        <f>--AND(OR(Dashboard!$A$10="All",C516=Dashboard!$A$10),OR(Dashboard!$A$14="All",F516=Dashboard!$A$14),OR(Dashboard!$A$18="All",G516=Dashboard!$A$18),OR(Dashboard!$A$22="All",I516=Dashboard!$A$22))</f>
        <v>1</v>
      </c>
    </row>
    <row r="517" spans="1:16" ht="15.75" customHeight="1">
      <c r="A517" s="4" t="s">
        <v>723</v>
      </c>
      <c r="B517" s="6">
        <v>45706</v>
      </c>
      <c r="C517" s="4">
        <v>2025</v>
      </c>
      <c r="D517" s="4">
        <v>2</v>
      </c>
      <c r="E517" s="4" t="s">
        <v>70</v>
      </c>
      <c r="F517" s="4" t="s">
        <v>5</v>
      </c>
      <c r="G517" s="4" t="s">
        <v>12</v>
      </c>
      <c r="H517" s="4" t="s">
        <v>92</v>
      </c>
      <c r="I517" s="4" t="s">
        <v>10</v>
      </c>
      <c r="J517" s="4" t="s">
        <v>317</v>
      </c>
      <c r="K517" s="4">
        <v>8</v>
      </c>
      <c r="L517" s="5">
        <v>223.42</v>
      </c>
      <c r="M517" s="5">
        <v>1787.36</v>
      </c>
      <c r="N517" s="5">
        <v>1037.47</v>
      </c>
      <c r="O517" s="5">
        <v>749.89</v>
      </c>
      <c r="P517" s="4">
        <f>--AND(OR(Dashboard!$A$10="All",C517=Dashboard!$A$10),OR(Dashboard!$A$14="All",F517=Dashboard!$A$14),OR(Dashboard!$A$18="All",G517=Dashboard!$A$18),OR(Dashboard!$A$22="All",I517=Dashboard!$A$22))</f>
        <v>1</v>
      </c>
    </row>
    <row r="518" spans="1:16" ht="15.75" customHeight="1">
      <c r="A518" s="4" t="s">
        <v>724</v>
      </c>
      <c r="B518" s="6">
        <v>46003</v>
      </c>
      <c r="C518" s="4">
        <v>2025</v>
      </c>
      <c r="D518" s="4">
        <v>12</v>
      </c>
      <c r="E518" s="4" t="s">
        <v>57</v>
      </c>
      <c r="F518" s="4" t="s">
        <v>14</v>
      </c>
      <c r="G518" s="4" t="s">
        <v>6</v>
      </c>
      <c r="H518" s="4" t="s">
        <v>114</v>
      </c>
      <c r="I518" s="4" t="s">
        <v>7</v>
      </c>
      <c r="J518" s="4" t="s">
        <v>362</v>
      </c>
      <c r="K518" s="4">
        <v>3</v>
      </c>
      <c r="L518" s="5">
        <v>212.92</v>
      </c>
      <c r="M518" s="5">
        <v>638.76</v>
      </c>
      <c r="N518" s="5">
        <v>402.67</v>
      </c>
      <c r="O518" s="5">
        <v>236.09</v>
      </c>
      <c r="P518" s="4">
        <f>--AND(OR(Dashboard!$A$10="All",C518=Dashboard!$A$10),OR(Dashboard!$A$14="All",F518=Dashboard!$A$14),OR(Dashboard!$A$18="All",G518=Dashboard!$A$18),OR(Dashboard!$A$22="All",I518=Dashboard!$A$22))</f>
        <v>1</v>
      </c>
    </row>
    <row r="519" spans="1:16" ht="15.75" customHeight="1">
      <c r="A519" s="4" t="s">
        <v>725</v>
      </c>
      <c r="B519" s="6">
        <v>45875</v>
      </c>
      <c r="C519" s="4">
        <v>2025</v>
      </c>
      <c r="D519" s="4">
        <v>8</v>
      </c>
      <c r="E519" s="4" t="s">
        <v>67</v>
      </c>
      <c r="F519" s="4" t="s">
        <v>11</v>
      </c>
      <c r="G519" s="4" t="s">
        <v>12</v>
      </c>
      <c r="H519" s="4" t="s">
        <v>124</v>
      </c>
      <c r="I519" s="4" t="s">
        <v>13</v>
      </c>
      <c r="J519" s="4" t="s">
        <v>257</v>
      </c>
      <c r="K519" s="4">
        <v>11</v>
      </c>
      <c r="L519" s="5">
        <v>140.1</v>
      </c>
      <c r="M519" s="5">
        <v>1541.1</v>
      </c>
      <c r="N519" s="5">
        <v>943.18</v>
      </c>
      <c r="O519" s="5">
        <v>597.91999999999996</v>
      </c>
      <c r="P519" s="4">
        <f>--AND(OR(Dashboard!$A$10="All",C519=Dashboard!$A$10),OR(Dashboard!$A$14="All",F519=Dashboard!$A$14),OR(Dashboard!$A$18="All",G519=Dashboard!$A$18),OR(Dashboard!$A$22="All",I519=Dashboard!$A$22))</f>
        <v>1</v>
      </c>
    </row>
    <row r="520" spans="1:16" ht="15.75" customHeight="1">
      <c r="A520" s="4" t="s">
        <v>726</v>
      </c>
      <c r="B520" s="6">
        <v>45456</v>
      </c>
      <c r="C520" s="4">
        <v>2024</v>
      </c>
      <c r="D520" s="4">
        <v>6</v>
      </c>
      <c r="E520" s="4" t="s">
        <v>34</v>
      </c>
      <c r="F520" s="4" t="s">
        <v>11</v>
      </c>
      <c r="G520" s="4" t="s">
        <v>9</v>
      </c>
      <c r="H520" s="4" t="s">
        <v>71</v>
      </c>
      <c r="I520" s="4" t="s">
        <v>10</v>
      </c>
      <c r="J520" s="4" t="s">
        <v>111</v>
      </c>
      <c r="K520" s="4">
        <v>2</v>
      </c>
      <c r="L520" s="5">
        <v>62.06</v>
      </c>
      <c r="M520" s="5">
        <v>124.12</v>
      </c>
      <c r="N520" s="5">
        <v>63.74</v>
      </c>
      <c r="O520" s="5">
        <v>60.38</v>
      </c>
      <c r="P520" s="4">
        <f>--AND(OR(Dashboard!$A$10="All",C520=Dashboard!$A$10),OR(Dashboard!$A$14="All",F520=Dashboard!$A$14),OR(Dashboard!$A$18="All",G520=Dashboard!$A$18),OR(Dashboard!$A$22="All",I520=Dashboard!$A$22))</f>
        <v>1</v>
      </c>
    </row>
    <row r="521" spans="1:16" ht="15.75" customHeight="1">
      <c r="A521" s="4" t="s">
        <v>727</v>
      </c>
      <c r="B521" s="6">
        <v>45786</v>
      </c>
      <c r="C521" s="4">
        <v>2025</v>
      </c>
      <c r="D521" s="4">
        <v>5</v>
      </c>
      <c r="E521" s="4" t="s">
        <v>108</v>
      </c>
      <c r="F521" s="4" t="s">
        <v>5</v>
      </c>
      <c r="G521" s="4" t="s">
        <v>6</v>
      </c>
      <c r="H521" s="4" t="s">
        <v>80</v>
      </c>
      <c r="I521" s="4" t="s">
        <v>7</v>
      </c>
      <c r="J521" s="4" t="s">
        <v>128</v>
      </c>
      <c r="K521" s="4">
        <v>2</v>
      </c>
      <c r="L521" s="5">
        <v>219.46</v>
      </c>
      <c r="M521" s="5">
        <v>438.92</v>
      </c>
      <c r="N521" s="5">
        <v>287.62</v>
      </c>
      <c r="O521" s="5">
        <v>151.30000000000001</v>
      </c>
      <c r="P521" s="4">
        <f>--AND(OR(Dashboard!$A$10="All",C521=Dashboard!$A$10),OR(Dashboard!$A$14="All",F521=Dashboard!$A$14),OR(Dashboard!$A$18="All",G521=Dashboard!$A$18),OR(Dashboard!$A$22="All",I521=Dashboard!$A$22))</f>
        <v>1</v>
      </c>
    </row>
    <row r="522" spans="1:16" ht="15.75" customHeight="1">
      <c r="A522" s="4" t="s">
        <v>728</v>
      </c>
      <c r="B522" s="6">
        <v>45360</v>
      </c>
      <c r="C522" s="4">
        <v>2024</v>
      </c>
      <c r="D522" s="4">
        <v>3</v>
      </c>
      <c r="E522" s="4" t="s">
        <v>100</v>
      </c>
      <c r="F522" s="4" t="s">
        <v>5</v>
      </c>
      <c r="G522" s="4" t="s">
        <v>6</v>
      </c>
      <c r="H522" s="4" t="s">
        <v>98</v>
      </c>
      <c r="I522" s="4" t="s">
        <v>13</v>
      </c>
      <c r="J522" s="4" t="s">
        <v>371</v>
      </c>
      <c r="K522" s="4">
        <v>5</v>
      </c>
      <c r="L522" s="5">
        <v>217.41</v>
      </c>
      <c r="M522" s="5">
        <v>1087.05</v>
      </c>
      <c r="N522" s="5">
        <v>750.34</v>
      </c>
      <c r="O522" s="5">
        <v>336.71</v>
      </c>
      <c r="P522" s="4">
        <f>--AND(OR(Dashboard!$A$10="All",C522=Dashboard!$A$10),OR(Dashboard!$A$14="All",F522=Dashboard!$A$14),OR(Dashboard!$A$18="All",G522=Dashboard!$A$18),OR(Dashboard!$A$22="All",I522=Dashboard!$A$22))</f>
        <v>1</v>
      </c>
    </row>
    <row r="523" spans="1:16" ht="15.75" customHeight="1">
      <c r="A523" s="4" t="s">
        <v>729</v>
      </c>
      <c r="B523" s="6">
        <v>45562</v>
      </c>
      <c r="C523" s="4">
        <v>2024</v>
      </c>
      <c r="D523" s="4">
        <v>9</v>
      </c>
      <c r="E523" s="4" t="s">
        <v>79</v>
      </c>
      <c r="F523" s="4" t="s">
        <v>8</v>
      </c>
      <c r="G523" s="4" t="s">
        <v>9</v>
      </c>
      <c r="H523" s="4" t="s">
        <v>142</v>
      </c>
      <c r="I523" s="4" t="s">
        <v>10</v>
      </c>
      <c r="J523" s="4" t="s">
        <v>68</v>
      </c>
      <c r="K523" s="4">
        <v>3</v>
      </c>
      <c r="L523" s="5">
        <v>50.33</v>
      </c>
      <c r="M523" s="5">
        <v>150.99</v>
      </c>
      <c r="N523" s="5">
        <v>73.989999999999995</v>
      </c>
      <c r="O523" s="5">
        <v>77</v>
      </c>
      <c r="P523" s="4">
        <f>--AND(OR(Dashboard!$A$10="All",C523=Dashboard!$A$10),OR(Dashboard!$A$14="All",F523=Dashboard!$A$14),OR(Dashboard!$A$18="All",G523=Dashboard!$A$18),OR(Dashboard!$A$22="All",I523=Dashboard!$A$22))</f>
        <v>1</v>
      </c>
    </row>
    <row r="524" spans="1:16" ht="15.75" customHeight="1">
      <c r="A524" s="4" t="s">
        <v>730</v>
      </c>
      <c r="B524" s="6">
        <v>45438</v>
      </c>
      <c r="C524" s="4">
        <v>2024</v>
      </c>
      <c r="D524" s="4">
        <v>5</v>
      </c>
      <c r="E524" s="4" t="s">
        <v>108</v>
      </c>
      <c r="F524" s="4" t="s">
        <v>14</v>
      </c>
      <c r="G524" s="4" t="s">
        <v>12</v>
      </c>
      <c r="H524" s="4" t="s">
        <v>127</v>
      </c>
      <c r="I524" s="4" t="s">
        <v>7</v>
      </c>
      <c r="J524" s="4" t="s">
        <v>270</v>
      </c>
      <c r="K524" s="4">
        <v>1</v>
      </c>
      <c r="L524" s="5">
        <v>298.33</v>
      </c>
      <c r="M524" s="5">
        <v>298.33</v>
      </c>
      <c r="N524" s="5">
        <v>170.26</v>
      </c>
      <c r="O524" s="5">
        <v>128.07</v>
      </c>
      <c r="P524" s="4">
        <f>--AND(OR(Dashboard!$A$10="All",C524=Dashboard!$A$10),OR(Dashboard!$A$14="All",F524=Dashboard!$A$14),OR(Dashboard!$A$18="All",G524=Dashboard!$A$18),OR(Dashboard!$A$22="All",I524=Dashboard!$A$22))</f>
        <v>1</v>
      </c>
    </row>
    <row r="525" spans="1:16" ht="15.75" customHeight="1">
      <c r="A525" s="4" t="s">
        <v>731</v>
      </c>
      <c r="B525" s="6">
        <v>45973</v>
      </c>
      <c r="C525" s="4">
        <v>2025</v>
      </c>
      <c r="D525" s="4">
        <v>11</v>
      </c>
      <c r="E525" s="4" t="s">
        <v>89</v>
      </c>
      <c r="F525" s="4" t="s">
        <v>5</v>
      </c>
      <c r="G525" s="4" t="s">
        <v>12</v>
      </c>
      <c r="H525" s="4" t="s">
        <v>92</v>
      </c>
      <c r="I525" s="4" t="s">
        <v>10</v>
      </c>
      <c r="J525" s="4" t="s">
        <v>146</v>
      </c>
      <c r="K525" s="4">
        <v>2</v>
      </c>
      <c r="L525" s="5">
        <v>289.08</v>
      </c>
      <c r="M525" s="5">
        <v>578.16</v>
      </c>
      <c r="N525" s="5">
        <v>334.2</v>
      </c>
      <c r="O525" s="5">
        <v>243.96</v>
      </c>
      <c r="P525" s="4">
        <f>--AND(OR(Dashboard!$A$10="All",C525=Dashboard!$A$10),OR(Dashboard!$A$14="All",F525=Dashboard!$A$14),OR(Dashboard!$A$18="All",G525=Dashboard!$A$18),OR(Dashboard!$A$22="All",I525=Dashboard!$A$22))</f>
        <v>1</v>
      </c>
    </row>
    <row r="526" spans="1:16" ht="15.75" customHeight="1">
      <c r="A526" s="4" t="s">
        <v>732</v>
      </c>
      <c r="B526" s="6">
        <v>45537</v>
      </c>
      <c r="C526" s="4">
        <v>2024</v>
      </c>
      <c r="D526" s="4">
        <v>9</v>
      </c>
      <c r="E526" s="4" t="s">
        <v>79</v>
      </c>
      <c r="F526" s="4" t="s">
        <v>5</v>
      </c>
      <c r="G526" s="4" t="s">
        <v>9</v>
      </c>
      <c r="H526" s="4" t="s">
        <v>35</v>
      </c>
      <c r="I526" s="4" t="s">
        <v>10</v>
      </c>
      <c r="J526" s="4" t="s">
        <v>87</v>
      </c>
      <c r="K526" s="4">
        <v>3</v>
      </c>
      <c r="L526" s="5">
        <v>48.46</v>
      </c>
      <c r="M526" s="5">
        <v>145.38</v>
      </c>
      <c r="N526" s="5">
        <v>72.48</v>
      </c>
      <c r="O526" s="5">
        <v>72.900000000000006</v>
      </c>
      <c r="P526" s="4">
        <f>--AND(OR(Dashboard!$A$10="All",C526=Dashboard!$A$10),OR(Dashboard!$A$14="All",F526=Dashboard!$A$14),OR(Dashboard!$A$18="All",G526=Dashboard!$A$18),OR(Dashboard!$A$22="All",I526=Dashboard!$A$22))</f>
        <v>1</v>
      </c>
    </row>
    <row r="527" spans="1:16" ht="15.75" customHeight="1">
      <c r="A527" s="4" t="s">
        <v>733</v>
      </c>
      <c r="B527" s="6">
        <v>45521</v>
      </c>
      <c r="C527" s="4">
        <v>2024</v>
      </c>
      <c r="D527" s="4">
        <v>8</v>
      </c>
      <c r="E527" s="4" t="s">
        <v>67</v>
      </c>
      <c r="F527" s="4" t="s">
        <v>5</v>
      </c>
      <c r="G527" s="4" t="s">
        <v>6</v>
      </c>
      <c r="H527" s="4" t="s">
        <v>114</v>
      </c>
      <c r="I527" s="4" t="s">
        <v>7</v>
      </c>
      <c r="J527" s="4" t="s">
        <v>191</v>
      </c>
      <c r="K527" s="4">
        <v>3</v>
      </c>
      <c r="L527" s="5">
        <v>159.27000000000001</v>
      </c>
      <c r="M527" s="5">
        <v>477.81</v>
      </c>
      <c r="N527" s="5">
        <v>302.58999999999997</v>
      </c>
      <c r="O527" s="5">
        <v>175.22</v>
      </c>
      <c r="P527" s="4">
        <f>--AND(OR(Dashboard!$A$10="All",C527=Dashboard!$A$10),OR(Dashboard!$A$14="All",F527=Dashboard!$A$14),OR(Dashboard!$A$18="All",G527=Dashboard!$A$18),OR(Dashboard!$A$22="All",I527=Dashboard!$A$22))</f>
        <v>1</v>
      </c>
    </row>
    <row r="528" spans="1:16" ht="15.75" customHeight="1">
      <c r="A528" s="4" t="s">
        <v>734</v>
      </c>
      <c r="B528" s="6">
        <v>45840</v>
      </c>
      <c r="C528" s="4">
        <v>2025</v>
      </c>
      <c r="D528" s="4">
        <v>7</v>
      </c>
      <c r="E528" s="4" t="s">
        <v>63</v>
      </c>
      <c r="F528" s="4" t="s">
        <v>5</v>
      </c>
      <c r="G528" s="4" t="s">
        <v>6</v>
      </c>
      <c r="H528" s="4" t="s">
        <v>136</v>
      </c>
      <c r="I528" s="4" t="s">
        <v>7</v>
      </c>
      <c r="J528" s="4" t="s">
        <v>261</v>
      </c>
      <c r="K528" s="4">
        <v>4</v>
      </c>
      <c r="L528" s="5">
        <v>93.91</v>
      </c>
      <c r="M528" s="5">
        <v>375.64</v>
      </c>
      <c r="N528" s="5">
        <v>243.45</v>
      </c>
      <c r="O528" s="5">
        <v>132.19</v>
      </c>
      <c r="P528" s="4">
        <f>--AND(OR(Dashboard!$A$10="All",C528=Dashboard!$A$10),OR(Dashboard!$A$14="All",F528=Dashboard!$A$14),OR(Dashboard!$A$18="All",G528=Dashboard!$A$18),OR(Dashboard!$A$22="All",I528=Dashboard!$A$22))</f>
        <v>1</v>
      </c>
    </row>
    <row r="529" spans="1:16" ht="15.75" customHeight="1">
      <c r="A529" s="4" t="s">
        <v>735</v>
      </c>
      <c r="B529" s="6">
        <v>45984</v>
      </c>
      <c r="C529" s="4">
        <v>2025</v>
      </c>
      <c r="D529" s="4">
        <v>11</v>
      </c>
      <c r="E529" s="4" t="s">
        <v>89</v>
      </c>
      <c r="F529" s="4" t="s">
        <v>11</v>
      </c>
      <c r="G529" s="4" t="s">
        <v>12</v>
      </c>
      <c r="H529" s="4" t="s">
        <v>58</v>
      </c>
      <c r="I529" s="4" t="s">
        <v>10</v>
      </c>
      <c r="J529" s="4" t="s">
        <v>247</v>
      </c>
      <c r="K529" s="4">
        <v>3</v>
      </c>
      <c r="L529" s="5">
        <v>143.96</v>
      </c>
      <c r="M529" s="5">
        <v>431.88</v>
      </c>
      <c r="N529" s="5">
        <v>254.02</v>
      </c>
      <c r="O529" s="5">
        <v>177.86</v>
      </c>
      <c r="P529" s="4">
        <f>--AND(OR(Dashboard!$A$10="All",C529=Dashboard!$A$10),OR(Dashboard!$A$14="All",F529=Dashboard!$A$14),OR(Dashboard!$A$18="All",G529=Dashboard!$A$18),OR(Dashboard!$A$22="All",I529=Dashboard!$A$22))</f>
        <v>1</v>
      </c>
    </row>
    <row r="530" spans="1:16" ht="15.75" customHeight="1">
      <c r="A530" s="4" t="s">
        <v>736</v>
      </c>
      <c r="B530" s="6">
        <v>45895</v>
      </c>
      <c r="C530" s="4">
        <v>2025</v>
      </c>
      <c r="D530" s="4">
        <v>8</v>
      </c>
      <c r="E530" s="4" t="s">
        <v>67</v>
      </c>
      <c r="F530" s="4" t="s">
        <v>8</v>
      </c>
      <c r="G530" s="4" t="s">
        <v>6</v>
      </c>
      <c r="H530" s="4" t="s">
        <v>136</v>
      </c>
      <c r="I530" s="4" t="s">
        <v>7</v>
      </c>
      <c r="J530" s="4" t="s">
        <v>532</v>
      </c>
      <c r="K530" s="4">
        <v>1</v>
      </c>
      <c r="L530" s="5">
        <v>88.42</v>
      </c>
      <c r="M530" s="5">
        <v>88.42</v>
      </c>
      <c r="N530" s="5">
        <v>57.95</v>
      </c>
      <c r="O530" s="5">
        <v>30.47</v>
      </c>
      <c r="P530" s="4">
        <f>--AND(OR(Dashboard!$A$10="All",C530=Dashboard!$A$10),OR(Dashboard!$A$14="All",F530=Dashboard!$A$14),OR(Dashboard!$A$18="All",G530=Dashboard!$A$18),OR(Dashboard!$A$22="All",I530=Dashboard!$A$22))</f>
        <v>1</v>
      </c>
    </row>
    <row r="531" spans="1:16" ht="15.75" customHeight="1">
      <c r="A531" s="4" t="s">
        <v>737</v>
      </c>
      <c r="B531" s="6">
        <v>45996</v>
      </c>
      <c r="C531" s="4">
        <v>2025</v>
      </c>
      <c r="D531" s="4">
        <v>12</v>
      </c>
      <c r="E531" s="4" t="s">
        <v>57</v>
      </c>
      <c r="F531" s="4" t="s">
        <v>11</v>
      </c>
      <c r="G531" s="4" t="s">
        <v>12</v>
      </c>
      <c r="H531" s="4" t="s">
        <v>58</v>
      </c>
      <c r="I531" s="4" t="s">
        <v>7</v>
      </c>
      <c r="J531" s="4" t="s">
        <v>321</v>
      </c>
      <c r="K531" s="4">
        <v>4</v>
      </c>
      <c r="L531" s="5">
        <v>247.68</v>
      </c>
      <c r="M531" s="5">
        <v>990.72</v>
      </c>
      <c r="N531" s="5">
        <v>567</v>
      </c>
      <c r="O531" s="5">
        <v>423.72</v>
      </c>
      <c r="P531" s="4">
        <f>--AND(OR(Dashboard!$A$10="All",C531=Dashboard!$A$10),OR(Dashboard!$A$14="All",F531=Dashboard!$A$14),OR(Dashboard!$A$18="All",G531=Dashboard!$A$18),OR(Dashboard!$A$22="All",I531=Dashboard!$A$22))</f>
        <v>1</v>
      </c>
    </row>
    <row r="532" spans="1:16" ht="15.75" customHeight="1">
      <c r="A532" s="4" t="s">
        <v>738</v>
      </c>
      <c r="B532" s="6">
        <v>45618</v>
      </c>
      <c r="C532" s="4">
        <v>2024</v>
      </c>
      <c r="D532" s="4">
        <v>11</v>
      </c>
      <c r="E532" s="4" t="s">
        <v>89</v>
      </c>
      <c r="F532" s="4" t="s">
        <v>11</v>
      </c>
      <c r="G532" s="4" t="s">
        <v>12</v>
      </c>
      <c r="H532" s="4" t="s">
        <v>86</v>
      </c>
      <c r="I532" s="4" t="s">
        <v>13</v>
      </c>
      <c r="J532" s="4" t="s">
        <v>276</v>
      </c>
      <c r="K532" s="4">
        <v>2</v>
      </c>
      <c r="L532" s="5">
        <v>161.06</v>
      </c>
      <c r="M532" s="5">
        <v>322.12</v>
      </c>
      <c r="N532" s="5">
        <v>197.05</v>
      </c>
      <c r="O532" s="5">
        <v>125.07</v>
      </c>
      <c r="P532" s="4">
        <f>--AND(OR(Dashboard!$A$10="All",C532=Dashboard!$A$10),OR(Dashboard!$A$14="All",F532=Dashboard!$A$14),OR(Dashboard!$A$18="All",G532=Dashboard!$A$18),OR(Dashboard!$A$22="All",I532=Dashboard!$A$22))</f>
        <v>1</v>
      </c>
    </row>
    <row r="533" spans="1:16" ht="15.75" customHeight="1">
      <c r="A533" s="4" t="s">
        <v>739</v>
      </c>
      <c r="B533" s="6">
        <v>45709</v>
      </c>
      <c r="C533" s="4">
        <v>2025</v>
      </c>
      <c r="D533" s="4">
        <v>2</v>
      </c>
      <c r="E533" s="4" t="s">
        <v>70</v>
      </c>
      <c r="F533" s="4" t="s">
        <v>5</v>
      </c>
      <c r="G533" s="4" t="s">
        <v>9</v>
      </c>
      <c r="H533" s="4" t="s">
        <v>110</v>
      </c>
      <c r="I533" s="4" t="s">
        <v>7</v>
      </c>
      <c r="J533" s="4" t="s">
        <v>292</v>
      </c>
      <c r="K533" s="4">
        <v>3</v>
      </c>
      <c r="L533" s="5">
        <v>60.85</v>
      </c>
      <c r="M533" s="5">
        <v>182.55</v>
      </c>
      <c r="N533" s="5">
        <v>92.63</v>
      </c>
      <c r="O533" s="5">
        <v>89.92</v>
      </c>
      <c r="P533" s="4">
        <f>--AND(OR(Dashboard!$A$10="All",C533=Dashboard!$A$10),OR(Dashboard!$A$14="All",F533=Dashboard!$A$14),OR(Dashboard!$A$18="All",G533=Dashboard!$A$18),OR(Dashboard!$A$22="All",I533=Dashboard!$A$22))</f>
        <v>1</v>
      </c>
    </row>
    <row r="534" spans="1:16" ht="15.75" customHeight="1">
      <c r="A534" s="4" t="s">
        <v>740</v>
      </c>
      <c r="B534" s="6">
        <v>45386</v>
      </c>
      <c r="C534" s="4">
        <v>2024</v>
      </c>
      <c r="D534" s="4">
        <v>4</v>
      </c>
      <c r="E534" s="4" t="s">
        <v>106</v>
      </c>
      <c r="F534" s="4" t="s">
        <v>8</v>
      </c>
      <c r="G534" s="4" t="s">
        <v>6</v>
      </c>
      <c r="H534" s="4" t="s">
        <v>98</v>
      </c>
      <c r="I534" s="4" t="s">
        <v>13</v>
      </c>
      <c r="J534" s="4" t="s">
        <v>191</v>
      </c>
      <c r="K534" s="4">
        <v>2</v>
      </c>
      <c r="L534" s="5">
        <v>121.37</v>
      </c>
      <c r="M534" s="5">
        <v>242.74</v>
      </c>
      <c r="N534" s="5">
        <v>167.01</v>
      </c>
      <c r="O534" s="5">
        <v>75.73</v>
      </c>
      <c r="P534" s="4">
        <f>--AND(OR(Dashboard!$A$10="All",C534=Dashboard!$A$10),OR(Dashboard!$A$14="All",F534=Dashboard!$A$14),OR(Dashboard!$A$18="All",G534=Dashboard!$A$18),OR(Dashboard!$A$22="All",I534=Dashboard!$A$22))</f>
        <v>1</v>
      </c>
    </row>
    <row r="535" spans="1:16" ht="15.75" customHeight="1">
      <c r="A535" s="4" t="s">
        <v>741</v>
      </c>
      <c r="B535" s="6">
        <v>45793</v>
      </c>
      <c r="C535" s="4">
        <v>2025</v>
      </c>
      <c r="D535" s="4">
        <v>5</v>
      </c>
      <c r="E535" s="4" t="s">
        <v>108</v>
      </c>
      <c r="F535" s="4" t="s">
        <v>5</v>
      </c>
      <c r="G535" s="4" t="s">
        <v>6</v>
      </c>
      <c r="H535" s="4" t="s">
        <v>114</v>
      </c>
      <c r="I535" s="4" t="s">
        <v>7</v>
      </c>
      <c r="J535" s="4" t="s">
        <v>346</v>
      </c>
      <c r="K535" s="4">
        <v>7</v>
      </c>
      <c r="L535" s="5">
        <v>199.83</v>
      </c>
      <c r="M535" s="5">
        <v>1398.81</v>
      </c>
      <c r="N535" s="5">
        <v>961.43</v>
      </c>
      <c r="O535" s="5">
        <v>437.38</v>
      </c>
      <c r="P535" s="4">
        <f>--AND(OR(Dashboard!$A$10="All",C535=Dashboard!$A$10),OR(Dashboard!$A$14="All",F535=Dashboard!$A$14),OR(Dashboard!$A$18="All",G535=Dashboard!$A$18),OR(Dashboard!$A$22="All",I535=Dashboard!$A$22))</f>
        <v>1</v>
      </c>
    </row>
    <row r="536" spans="1:16" ht="15.75" customHeight="1">
      <c r="A536" s="4" t="s">
        <v>742</v>
      </c>
      <c r="B536" s="6">
        <v>45646</v>
      </c>
      <c r="C536" s="4">
        <v>2024</v>
      </c>
      <c r="D536" s="4">
        <v>12</v>
      </c>
      <c r="E536" s="4" t="s">
        <v>57</v>
      </c>
      <c r="F536" s="4" t="s">
        <v>5</v>
      </c>
      <c r="G536" s="4" t="s">
        <v>12</v>
      </c>
      <c r="H536" s="4" t="s">
        <v>92</v>
      </c>
      <c r="I536" s="4" t="s">
        <v>7</v>
      </c>
      <c r="J536" s="4" t="s">
        <v>131</v>
      </c>
      <c r="K536" s="4">
        <v>9</v>
      </c>
      <c r="L536" s="5">
        <v>269.92</v>
      </c>
      <c r="M536" s="5">
        <v>2429.2800000000002</v>
      </c>
      <c r="N536" s="5">
        <v>1433.36</v>
      </c>
      <c r="O536" s="5">
        <v>995.92</v>
      </c>
      <c r="P536" s="4">
        <f>--AND(OR(Dashboard!$A$10="All",C536=Dashboard!$A$10),OR(Dashboard!$A$14="All",F536=Dashboard!$A$14),OR(Dashboard!$A$18="All",G536=Dashboard!$A$18),OR(Dashboard!$A$22="All",I536=Dashboard!$A$22))</f>
        <v>1</v>
      </c>
    </row>
    <row r="537" spans="1:16" ht="15.75" customHeight="1">
      <c r="A537" s="4" t="s">
        <v>743</v>
      </c>
      <c r="B537" s="6">
        <v>45898</v>
      </c>
      <c r="C537" s="4">
        <v>2025</v>
      </c>
      <c r="D537" s="4">
        <v>8</v>
      </c>
      <c r="E537" s="4" t="s">
        <v>67</v>
      </c>
      <c r="F537" s="4" t="s">
        <v>8</v>
      </c>
      <c r="G537" s="4" t="s">
        <v>6</v>
      </c>
      <c r="H537" s="4" t="s">
        <v>98</v>
      </c>
      <c r="I537" s="4" t="s">
        <v>7</v>
      </c>
      <c r="J537" s="4" t="s">
        <v>362</v>
      </c>
      <c r="K537" s="4">
        <v>1</v>
      </c>
      <c r="L537" s="5">
        <v>139.61000000000001</v>
      </c>
      <c r="M537" s="5">
        <v>139.61000000000001</v>
      </c>
      <c r="N537" s="5">
        <v>96.18</v>
      </c>
      <c r="O537" s="5">
        <v>43.43</v>
      </c>
      <c r="P537" s="4">
        <f>--AND(OR(Dashboard!$A$10="All",C537=Dashboard!$A$10),OR(Dashboard!$A$14="All",F537=Dashboard!$A$14),OR(Dashboard!$A$18="All",G537=Dashboard!$A$18),OR(Dashboard!$A$22="All",I537=Dashboard!$A$22))</f>
        <v>1</v>
      </c>
    </row>
    <row r="538" spans="1:16" ht="15.75" customHeight="1">
      <c r="A538" s="4" t="s">
        <v>744</v>
      </c>
      <c r="B538" s="6">
        <v>45496</v>
      </c>
      <c r="C538" s="4">
        <v>2024</v>
      </c>
      <c r="D538" s="4">
        <v>7</v>
      </c>
      <c r="E538" s="4" t="s">
        <v>63</v>
      </c>
      <c r="F538" s="4" t="s">
        <v>11</v>
      </c>
      <c r="G538" s="4" t="s">
        <v>6</v>
      </c>
      <c r="H538" s="4" t="s">
        <v>136</v>
      </c>
      <c r="I538" s="4" t="s">
        <v>7</v>
      </c>
      <c r="J538" s="4" t="s">
        <v>184</v>
      </c>
      <c r="K538" s="4">
        <v>11</v>
      </c>
      <c r="L538" s="5">
        <v>195.13</v>
      </c>
      <c r="M538" s="5">
        <v>2146.4299999999998</v>
      </c>
      <c r="N538" s="5">
        <v>1468.79</v>
      </c>
      <c r="O538" s="5">
        <v>677.64</v>
      </c>
      <c r="P538" s="4">
        <f>--AND(OR(Dashboard!$A$10="All",C538=Dashboard!$A$10),OR(Dashboard!$A$14="All",F538=Dashboard!$A$14),OR(Dashboard!$A$18="All",G538=Dashboard!$A$18),OR(Dashboard!$A$22="All",I538=Dashboard!$A$22))</f>
        <v>1</v>
      </c>
    </row>
    <row r="539" spans="1:16" ht="15.75" customHeight="1">
      <c r="A539" s="4" t="s">
        <v>745</v>
      </c>
      <c r="B539" s="6">
        <v>45650</v>
      </c>
      <c r="C539" s="4">
        <v>2024</v>
      </c>
      <c r="D539" s="4">
        <v>12</v>
      </c>
      <c r="E539" s="4" t="s">
        <v>57</v>
      </c>
      <c r="F539" s="4" t="s">
        <v>5</v>
      </c>
      <c r="G539" s="4" t="s">
        <v>6</v>
      </c>
      <c r="H539" s="4" t="s">
        <v>136</v>
      </c>
      <c r="I539" s="4" t="s">
        <v>10</v>
      </c>
      <c r="J539" s="4" t="s">
        <v>494</v>
      </c>
      <c r="K539" s="4">
        <v>1</v>
      </c>
      <c r="L539" s="5">
        <v>120.23</v>
      </c>
      <c r="M539" s="5">
        <v>120.23</v>
      </c>
      <c r="N539" s="5">
        <v>80.13</v>
      </c>
      <c r="O539" s="5">
        <v>40.1</v>
      </c>
      <c r="P539" s="4">
        <f>--AND(OR(Dashboard!$A$10="All",C539=Dashboard!$A$10),OR(Dashboard!$A$14="All",F539=Dashboard!$A$14),OR(Dashboard!$A$18="All",G539=Dashboard!$A$18),OR(Dashboard!$A$22="All",I539=Dashboard!$A$22))</f>
        <v>1</v>
      </c>
    </row>
    <row r="540" spans="1:16" ht="15.75" customHeight="1">
      <c r="A540" s="4" t="s">
        <v>746</v>
      </c>
      <c r="B540" s="6">
        <v>45599</v>
      </c>
      <c r="C540" s="4">
        <v>2024</v>
      </c>
      <c r="D540" s="4">
        <v>11</v>
      </c>
      <c r="E540" s="4" t="s">
        <v>89</v>
      </c>
      <c r="F540" s="4" t="s">
        <v>5</v>
      </c>
      <c r="G540" s="4" t="s">
        <v>9</v>
      </c>
      <c r="H540" s="4" t="s">
        <v>35</v>
      </c>
      <c r="I540" s="4" t="s">
        <v>7</v>
      </c>
      <c r="J540" s="4" t="s">
        <v>319</v>
      </c>
      <c r="K540" s="4">
        <v>5</v>
      </c>
      <c r="L540" s="5">
        <v>62.09</v>
      </c>
      <c r="M540" s="5">
        <v>310.45</v>
      </c>
      <c r="N540" s="5">
        <v>151.13</v>
      </c>
      <c r="O540" s="5">
        <v>159.32</v>
      </c>
      <c r="P540" s="4">
        <f>--AND(OR(Dashboard!$A$10="All",C540=Dashboard!$A$10),OR(Dashboard!$A$14="All",F540=Dashboard!$A$14),OR(Dashboard!$A$18="All",G540=Dashboard!$A$18),OR(Dashboard!$A$22="All",I540=Dashboard!$A$22))</f>
        <v>1</v>
      </c>
    </row>
    <row r="541" spans="1:16" ht="15.75" customHeight="1">
      <c r="A541" s="4" t="s">
        <v>747</v>
      </c>
      <c r="B541" s="6">
        <v>45530</v>
      </c>
      <c r="C541" s="4">
        <v>2024</v>
      </c>
      <c r="D541" s="4">
        <v>8</v>
      </c>
      <c r="E541" s="4" t="s">
        <v>67</v>
      </c>
      <c r="F541" s="4" t="s">
        <v>5</v>
      </c>
      <c r="G541" s="4" t="s">
        <v>12</v>
      </c>
      <c r="H541" s="4" t="s">
        <v>127</v>
      </c>
      <c r="I541" s="4" t="s">
        <v>7</v>
      </c>
      <c r="J541" s="4" t="s">
        <v>191</v>
      </c>
      <c r="K541" s="4">
        <v>1</v>
      </c>
      <c r="L541" s="5">
        <v>125.36</v>
      </c>
      <c r="M541" s="5">
        <v>125.36</v>
      </c>
      <c r="N541" s="5">
        <v>78.290000000000006</v>
      </c>
      <c r="O541" s="5">
        <v>47.07</v>
      </c>
      <c r="P541" s="4">
        <f>--AND(OR(Dashboard!$A$10="All",C541=Dashboard!$A$10),OR(Dashboard!$A$14="All",F541=Dashboard!$A$14),OR(Dashboard!$A$18="All",G541=Dashboard!$A$18),OR(Dashboard!$A$22="All",I541=Dashboard!$A$22))</f>
        <v>1</v>
      </c>
    </row>
    <row r="542" spans="1:16" ht="15.75" customHeight="1">
      <c r="A542" s="4" t="s">
        <v>748</v>
      </c>
      <c r="B542" s="6">
        <v>46009</v>
      </c>
      <c r="C542" s="4">
        <v>2025</v>
      </c>
      <c r="D542" s="4">
        <v>12</v>
      </c>
      <c r="E542" s="4" t="s">
        <v>57</v>
      </c>
      <c r="F542" s="4" t="s">
        <v>5</v>
      </c>
      <c r="G542" s="4" t="s">
        <v>6</v>
      </c>
      <c r="H542" s="4" t="s">
        <v>114</v>
      </c>
      <c r="I542" s="4" t="s">
        <v>10</v>
      </c>
      <c r="J542" s="4" t="s">
        <v>528</v>
      </c>
      <c r="K542" s="4">
        <v>4</v>
      </c>
      <c r="L542" s="5">
        <v>147.47</v>
      </c>
      <c r="M542" s="5">
        <v>589.88</v>
      </c>
      <c r="N542" s="5">
        <v>389.98</v>
      </c>
      <c r="O542" s="5">
        <v>199.9</v>
      </c>
      <c r="P542" s="4">
        <f>--AND(OR(Dashboard!$A$10="All",C542=Dashboard!$A$10),OR(Dashboard!$A$14="All",F542=Dashboard!$A$14),OR(Dashboard!$A$18="All",G542=Dashboard!$A$18),OR(Dashboard!$A$22="All",I542=Dashboard!$A$22))</f>
        <v>1</v>
      </c>
    </row>
    <row r="543" spans="1:16" ht="15.75" customHeight="1">
      <c r="A543" s="4" t="s">
        <v>749</v>
      </c>
      <c r="B543" s="6">
        <v>45422</v>
      </c>
      <c r="C543" s="4">
        <v>2024</v>
      </c>
      <c r="D543" s="4">
        <v>5</v>
      </c>
      <c r="E543" s="4" t="s">
        <v>108</v>
      </c>
      <c r="F543" s="4" t="s">
        <v>5</v>
      </c>
      <c r="G543" s="4" t="s">
        <v>9</v>
      </c>
      <c r="H543" s="4" t="s">
        <v>35</v>
      </c>
      <c r="I543" s="4" t="s">
        <v>10</v>
      </c>
      <c r="J543" s="4" t="s">
        <v>371</v>
      </c>
      <c r="K543" s="4">
        <v>6</v>
      </c>
      <c r="L543" s="5">
        <v>49.22</v>
      </c>
      <c r="M543" s="5">
        <v>295.32</v>
      </c>
      <c r="N543" s="5">
        <v>150.09</v>
      </c>
      <c r="O543" s="5">
        <v>145.22999999999999</v>
      </c>
      <c r="P543" s="4">
        <f>--AND(OR(Dashboard!$A$10="All",C543=Dashboard!$A$10),OR(Dashboard!$A$14="All",F543=Dashboard!$A$14),OR(Dashboard!$A$18="All",G543=Dashboard!$A$18),OR(Dashboard!$A$22="All",I543=Dashboard!$A$22))</f>
        <v>1</v>
      </c>
    </row>
    <row r="544" spans="1:16" ht="15.75" customHeight="1">
      <c r="A544" s="4" t="s">
        <v>750</v>
      </c>
      <c r="B544" s="6">
        <v>45931</v>
      </c>
      <c r="C544" s="4">
        <v>2025</v>
      </c>
      <c r="D544" s="4">
        <v>10</v>
      </c>
      <c r="E544" s="4" t="s">
        <v>120</v>
      </c>
      <c r="F544" s="4" t="s">
        <v>5</v>
      </c>
      <c r="G544" s="4" t="s">
        <v>12</v>
      </c>
      <c r="H544" s="4" t="s">
        <v>92</v>
      </c>
      <c r="I544" s="4" t="s">
        <v>7</v>
      </c>
      <c r="J544" s="4" t="s">
        <v>240</v>
      </c>
      <c r="K544" s="4">
        <v>3</v>
      </c>
      <c r="L544" s="5">
        <v>302.5</v>
      </c>
      <c r="M544" s="5">
        <v>907.5</v>
      </c>
      <c r="N544" s="5">
        <v>554.95000000000005</v>
      </c>
      <c r="O544" s="5">
        <v>352.55</v>
      </c>
      <c r="P544" s="4">
        <f>--AND(OR(Dashboard!$A$10="All",C544=Dashboard!$A$10),OR(Dashboard!$A$14="All",F544=Dashboard!$A$14),OR(Dashboard!$A$18="All",G544=Dashboard!$A$18),OR(Dashboard!$A$22="All",I544=Dashboard!$A$22))</f>
        <v>1</v>
      </c>
    </row>
    <row r="545" spans="1:16" ht="15.75" customHeight="1">
      <c r="A545" s="4" t="s">
        <v>751</v>
      </c>
      <c r="B545" s="6">
        <v>45587</v>
      </c>
      <c r="C545" s="4">
        <v>2024</v>
      </c>
      <c r="D545" s="4">
        <v>10</v>
      </c>
      <c r="E545" s="4" t="s">
        <v>120</v>
      </c>
      <c r="F545" s="4" t="s">
        <v>5</v>
      </c>
      <c r="G545" s="4" t="s">
        <v>6</v>
      </c>
      <c r="H545" s="4" t="s">
        <v>54</v>
      </c>
      <c r="I545" s="4" t="s">
        <v>10</v>
      </c>
      <c r="J545" s="4" t="s">
        <v>348</v>
      </c>
      <c r="K545" s="4">
        <v>10</v>
      </c>
      <c r="L545" s="5">
        <v>138.44999999999999</v>
      </c>
      <c r="M545" s="5">
        <v>1384.5</v>
      </c>
      <c r="N545" s="5">
        <v>916.94</v>
      </c>
      <c r="O545" s="5">
        <v>467.56</v>
      </c>
      <c r="P545" s="4">
        <f>--AND(OR(Dashboard!$A$10="All",C545=Dashboard!$A$10),OR(Dashboard!$A$14="All",F545=Dashboard!$A$14),OR(Dashboard!$A$18="All",G545=Dashboard!$A$18),OR(Dashboard!$A$22="All",I545=Dashboard!$A$22))</f>
        <v>1</v>
      </c>
    </row>
    <row r="546" spans="1:16" ht="15.75" customHeight="1">
      <c r="A546" s="4" t="s">
        <v>752</v>
      </c>
      <c r="B546" s="6">
        <v>45302</v>
      </c>
      <c r="C546" s="4">
        <v>2024</v>
      </c>
      <c r="D546" s="4">
        <v>1</v>
      </c>
      <c r="E546" s="4" t="s">
        <v>30</v>
      </c>
      <c r="F546" s="4" t="s">
        <v>5</v>
      </c>
      <c r="G546" s="4" t="s">
        <v>12</v>
      </c>
      <c r="H546" s="4" t="s">
        <v>92</v>
      </c>
      <c r="I546" s="4" t="s">
        <v>10</v>
      </c>
      <c r="J546" s="4" t="s">
        <v>55</v>
      </c>
      <c r="K546" s="4">
        <v>10</v>
      </c>
      <c r="L546" s="5">
        <v>251.9</v>
      </c>
      <c r="M546" s="5">
        <v>2519</v>
      </c>
      <c r="N546" s="5">
        <v>1575.54</v>
      </c>
      <c r="O546" s="5">
        <v>943.46</v>
      </c>
      <c r="P546" s="4">
        <f>--AND(OR(Dashboard!$A$10="All",C546=Dashboard!$A$10),OR(Dashboard!$A$14="All",F546=Dashboard!$A$14),OR(Dashboard!$A$18="All",G546=Dashboard!$A$18),OR(Dashboard!$A$22="All",I546=Dashboard!$A$22))</f>
        <v>1</v>
      </c>
    </row>
    <row r="547" spans="1:16" ht="15.75" customHeight="1">
      <c r="A547" s="4" t="s">
        <v>753</v>
      </c>
      <c r="B547" s="6">
        <v>45590</v>
      </c>
      <c r="C547" s="4">
        <v>2024</v>
      </c>
      <c r="D547" s="4">
        <v>10</v>
      </c>
      <c r="E547" s="4" t="s">
        <v>120</v>
      </c>
      <c r="F547" s="4" t="s">
        <v>8</v>
      </c>
      <c r="G547" s="4" t="s">
        <v>9</v>
      </c>
      <c r="H547" s="4" t="s">
        <v>64</v>
      </c>
      <c r="I547" s="4" t="s">
        <v>10</v>
      </c>
      <c r="J547" s="4" t="s">
        <v>164</v>
      </c>
      <c r="K547" s="4">
        <v>2</v>
      </c>
      <c r="L547" s="5">
        <v>66.239999999999995</v>
      </c>
      <c r="M547" s="5">
        <v>132.47999999999999</v>
      </c>
      <c r="N547" s="5">
        <v>66.64</v>
      </c>
      <c r="O547" s="5">
        <v>65.84</v>
      </c>
      <c r="P547" s="4">
        <f>--AND(OR(Dashboard!$A$10="All",C547=Dashboard!$A$10),OR(Dashboard!$A$14="All",F547=Dashboard!$A$14),OR(Dashboard!$A$18="All",G547=Dashboard!$A$18),OR(Dashboard!$A$22="All",I547=Dashboard!$A$22))</f>
        <v>1</v>
      </c>
    </row>
    <row r="548" spans="1:16" ht="15.75" customHeight="1">
      <c r="A548" s="4" t="s">
        <v>754</v>
      </c>
      <c r="B548" s="6">
        <v>45345</v>
      </c>
      <c r="C548" s="4">
        <v>2024</v>
      </c>
      <c r="D548" s="4">
        <v>2</v>
      </c>
      <c r="E548" s="4" t="s">
        <v>70</v>
      </c>
      <c r="F548" s="4" t="s">
        <v>5</v>
      </c>
      <c r="G548" s="4" t="s">
        <v>9</v>
      </c>
      <c r="H548" s="4" t="s">
        <v>110</v>
      </c>
      <c r="I548" s="4" t="s">
        <v>7</v>
      </c>
      <c r="J548" s="4" t="s">
        <v>226</v>
      </c>
      <c r="K548" s="4">
        <v>2</v>
      </c>
      <c r="L548" s="5">
        <v>22.68</v>
      </c>
      <c r="M548" s="5">
        <v>45.36</v>
      </c>
      <c r="N548" s="5">
        <v>23.25</v>
      </c>
      <c r="O548" s="5">
        <v>22.11</v>
      </c>
      <c r="P548" s="4">
        <f>--AND(OR(Dashboard!$A$10="All",C548=Dashboard!$A$10),OR(Dashboard!$A$14="All",F548=Dashboard!$A$14),OR(Dashboard!$A$18="All",G548=Dashboard!$A$18),OR(Dashboard!$A$22="All",I548=Dashboard!$A$22))</f>
        <v>1</v>
      </c>
    </row>
    <row r="549" spans="1:16" ht="15.75" customHeight="1">
      <c r="A549" s="4" t="s">
        <v>755</v>
      </c>
      <c r="B549" s="6">
        <v>45825</v>
      </c>
      <c r="C549" s="4">
        <v>2025</v>
      </c>
      <c r="D549" s="4">
        <v>6</v>
      </c>
      <c r="E549" s="4" t="s">
        <v>34</v>
      </c>
      <c r="F549" s="4" t="s">
        <v>5</v>
      </c>
      <c r="G549" s="4" t="s">
        <v>6</v>
      </c>
      <c r="H549" s="4" t="s">
        <v>98</v>
      </c>
      <c r="I549" s="4" t="s">
        <v>7</v>
      </c>
      <c r="J549" s="4" t="s">
        <v>191</v>
      </c>
      <c r="K549" s="4">
        <v>2</v>
      </c>
      <c r="L549" s="5">
        <v>141</v>
      </c>
      <c r="M549" s="5">
        <v>282</v>
      </c>
      <c r="N549" s="5">
        <v>183.93</v>
      </c>
      <c r="O549" s="5">
        <v>98.07</v>
      </c>
      <c r="P549" s="4">
        <f>--AND(OR(Dashboard!$A$10="All",C549=Dashboard!$A$10),OR(Dashboard!$A$14="All",F549=Dashboard!$A$14),OR(Dashboard!$A$18="All",G549=Dashboard!$A$18),OR(Dashboard!$A$22="All",I549=Dashboard!$A$22))</f>
        <v>1</v>
      </c>
    </row>
    <row r="550" spans="1:16" ht="15.75" customHeight="1">
      <c r="A550" s="4" t="s">
        <v>756</v>
      </c>
      <c r="B550" s="6">
        <v>45785</v>
      </c>
      <c r="C550" s="4">
        <v>2025</v>
      </c>
      <c r="D550" s="4">
        <v>5</v>
      </c>
      <c r="E550" s="4" t="s">
        <v>108</v>
      </c>
      <c r="F550" s="4" t="s">
        <v>5</v>
      </c>
      <c r="G550" s="4" t="s">
        <v>9</v>
      </c>
      <c r="H550" s="4" t="s">
        <v>35</v>
      </c>
      <c r="I550" s="4" t="s">
        <v>7</v>
      </c>
      <c r="J550" s="4" t="s">
        <v>131</v>
      </c>
      <c r="K550" s="4">
        <v>10</v>
      </c>
      <c r="L550" s="5">
        <v>55.58</v>
      </c>
      <c r="M550" s="5">
        <v>555.79999999999995</v>
      </c>
      <c r="N550" s="5">
        <v>291.32</v>
      </c>
      <c r="O550" s="5">
        <v>264.48</v>
      </c>
      <c r="P550" s="4">
        <f>--AND(OR(Dashboard!$A$10="All",C550=Dashboard!$A$10),OR(Dashboard!$A$14="All",F550=Dashboard!$A$14),OR(Dashboard!$A$18="All",G550=Dashboard!$A$18),OR(Dashboard!$A$22="All",I550=Dashboard!$A$22))</f>
        <v>1</v>
      </c>
    </row>
    <row r="551" spans="1:16" ht="15.75" customHeight="1">
      <c r="A551" s="4" t="s">
        <v>757</v>
      </c>
      <c r="B551" s="6">
        <v>45390</v>
      </c>
      <c r="C551" s="4">
        <v>2024</v>
      </c>
      <c r="D551" s="4">
        <v>4</v>
      </c>
      <c r="E551" s="4" t="s">
        <v>106</v>
      </c>
      <c r="F551" s="4" t="s">
        <v>14</v>
      </c>
      <c r="G551" s="4" t="s">
        <v>12</v>
      </c>
      <c r="H551" s="4" t="s">
        <v>127</v>
      </c>
      <c r="I551" s="4" t="s">
        <v>10</v>
      </c>
      <c r="J551" s="4" t="s">
        <v>230</v>
      </c>
      <c r="K551" s="4">
        <v>7</v>
      </c>
      <c r="L551" s="5">
        <v>214.47</v>
      </c>
      <c r="M551" s="5">
        <v>1501.29</v>
      </c>
      <c r="N551" s="5">
        <v>918.78</v>
      </c>
      <c r="O551" s="5">
        <v>582.51</v>
      </c>
      <c r="P551" s="4">
        <f>--AND(OR(Dashboard!$A$10="All",C551=Dashboard!$A$10),OR(Dashboard!$A$14="All",F551=Dashboard!$A$14),OR(Dashboard!$A$18="All",G551=Dashboard!$A$18),OR(Dashboard!$A$22="All",I551=Dashboard!$A$22))</f>
        <v>1</v>
      </c>
    </row>
    <row r="552" spans="1:16" ht="15.75" customHeight="1">
      <c r="A552" s="4" t="s">
        <v>758</v>
      </c>
      <c r="B552" s="6">
        <v>45673</v>
      </c>
      <c r="C552" s="4">
        <v>2025</v>
      </c>
      <c r="D552" s="4">
        <v>1</v>
      </c>
      <c r="E552" s="4" t="s">
        <v>30</v>
      </c>
      <c r="F552" s="4" t="s">
        <v>11</v>
      </c>
      <c r="G552" s="4" t="s">
        <v>9</v>
      </c>
      <c r="H552" s="4" t="s">
        <v>64</v>
      </c>
      <c r="I552" s="4" t="s">
        <v>10</v>
      </c>
      <c r="J552" s="4" t="s">
        <v>149</v>
      </c>
      <c r="K552" s="4">
        <v>3</v>
      </c>
      <c r="L552" s="5">
        <v>45.96</v>
      </c>
      <c r="M552" s="5">
        <v>137.88</v>
      </c>
      <c r="N552" s="5">
        <v>69.36</v>
      </c>
      <c r="O552" s="5">
        <v>68.52</v>
      </c>
      <c r="P552" s="4">
        <f>--AND(OR(Dashboard!$A$10="All",C552=Dashboard!$A$10),OR(Dashboard!$A$14="All",F552=Dashboard!$A$14),OR(Dashboard!$A$18="All",G552=Dashboard!$A$18),OR(Dashboard!$A$22="All",I552=Dashboard!$A$22))</f>
        <v>1</v>
      </c>
    </row>
    <row r="553" spans="1:16" ht="15.75" customHeight="1">
      <c r="A553" s="4" t="s">
        <v>759</v>
      </c>
      <c r="B553" s="6">
        <v>45660</v>
      </c>
      <c r="C553" s="4">
        <v>2025</v>
      </c>
      <c r="D553" s="4">
        <v>1</v>
      </c>
      <c r="E553" s="4" t="s">
        <v>30</v>
      </c>
      <c r="F553" s="4" t="s">
        <v>5</v>
      </c>
      <c r="G553" s="4" t="s">
        <v>12</v>
      </c>
      <c r="H553" s="4" t="s">
        <v>58</v>
      </c>
      <c r="I553" s="4" t="s">
        <v>7</v>
      </c>
      <c r="J553" s="4" t="s">
        <v>115</v>
      </c>
      <c r="K553" s="4">
        <v>3</v>
      </c>
      <c r="L553" s="5">
        <v>284.52</v>
      </c>
      <c r="M553" s="5">
        <v>853.56</v>
      </c>
      <c r="N553" s="5">
        <v>509.99</v>
      </c>
      <c r="O553" s="5">
        <v>343.57</v>
      </c>
      <c r="P553" s="4">
        <f>--AND(OR(Dashboard!$A$10="All",C553=Dashboard!$A$10),OR(Dashboard!$A$14="All",F553=Dashboard!$A$14),OR(Dashboard!$A$18="All",G553=Dashboard!$A$18),OR(Dashboard!$A$22="All",I553=Dashboard!$A$22))</f>
        <v>1</v>
      </c>
    </row>
    <row r="554" spans="1:16" ht="15.75" customHeight="1">
      <c r="A554" s="4" t="s">
        <v>760</v>
      </c>
      <c r="B554" s="6">
        <v>45841</v>
      </c>
      <c r="C554" s="4">
        <v>2025</v>
      </c>
      <c r="D554" s="4">
        <v>7</v>
      </c>
      <c r="E554" s="4" t="s">
        <v>63</v>
      </c>
      <c r="F554" s="4" t="s">
        <v>5</v>
      </c>
      <c r="G554" s="4" t="s">
        <v>12</v>
      </c>
      <c r="H554" s="4" t="s">
        <v>58</v>
      </c>
      <c r="I554" s="4" t="s">
        <v>13</v>
      </c>
      <c r="J554" s="4" t="s">
        <v>314</v>
      </c>
      <c r="K554" s="4">
        <v>3</v>
      </c>
      <c r="L554" s="5">
        <v>304.63</v>
      </c>
      <c r="M554" s="5">
        <v>913.89</v>
      </c>
      <c r="N554" s="5">
        <v>558.47</v>
      </c>
      <c r="O554" s="5">
        <v>355.42</v>
      </c>
      <c r="P554" s="4">
        <f>--AND(OR(Dashboard!$A$10="All",C554=Dashboard!$A$10),OR(Dashboard!$A$14="All",F554=Dashboard!$A$14),OR(Dashboard!$A$18="All",G554=Dashboard!$A$18),OR(Dashboard!$A$22="All",I554=Dashboard!$A$22))</f>
        <v>1</v>
      </c>
    </row>
    <row r="555" spans="1:16" ht="15.75" customHeight="1">
      <c r="A555" s="4" t="s">
        <v>761</v>
      </c>
      <c r="B555" s="6">
        <v>45362</v>
      </c>
      <c r="C555" s="4">
        <v>2024</v>
      </c>
      <c r="D555" s="4">
        <v>3</v>
      </c>
      <c r="E555" s="4" t="s">
        <v>100</v>
      </c>
      <c r="F555" s="4" t="s">
        <v>8</v>
      </c>
      <c r="G555" s="4" t="s">
        <v>12</v>
      </c>
      <c r="H555" s="4" t="s">
        <v>127</v>
      </c>
      <c r="I555" s="4" t="s">
        <v>10</v>
      </c>
      <c r="J555" s="4" t="s">
        <v>261</v>
      </c>
      <c r="K555" s="4">
        <v>1</v>
      </c>
      <c r="L555" s="5">
        <v>327.55</v>
      </c>
      <c r="M555" s="5">
        <v>327.55</v>
      </c>
      <c r="N555" s="5">
        <v>187.83</v>
      </c>
      <c r="O555" s="5">
        <v>139.72</v>
      </c>
      <c r="P555" s="4">
        <f>--AND(OR(Dashboard!$A$10="All",C555=Dashboard!$A$10),OR(Dashboard!$A$14="All",F555=Dashboard!$A$14),OR(Dashboard!$A$18="All",G555=Dashboard!$A$18),OR(Dashboard!$A$22="All",I555=Dashboard!$A$22))</f>
        <v>1</v>
      </c>
    </row>
    <row r="556" spans="1:16" ht="15.75" customHeight="1">
      <c r="A556" s="4" t="s">
        <v>762</v>
      </c>
      <c r="B556" s="6">
        <v>45465</v>
      </c>
      <c r="C556" s="4">
        <v>2024</v>
      </c>
      <c r="D556" s="4">
        <v>6</v>
      </c>
      <c r="E556" s="4" t="s">
        <v>34</v>
      </c>
      <c r="F556" s="4" t="s">
        <v>8</v>
      </c>
      <c r="G556" s="4" t="s">
        <v>12</v>
      </c>
      <c r="H556" s="4" t="s">
        <v>58</v>
      </c>
      <c r="I556" s="4" t="s">
        <v>7</v>
      </c>
      <c r="J556" s="4" t="s">
        <v>333</v>
      </c>
      <c r="K556" s="4">
        <v>2</v>
      </c>
      <c r="L556" s="5">
        <v>271.17</v>
      </c>
      <c r="M556" s="5">
        <v>542.34</v>
      </c>
      <c r="N556" s="5">
        <v>309.43</v>
      </c>
      <c r="O556" s="5">
        <v>232.91</v>
      </c>
      <c r="P556" s="4">
        <f>--AND(OR(Dashboard!$A$10="All",C556=Dashboard!$A$10),OR(Dashboard!$A$14="All",F556=Dashboard!$A$14),OR(Dashboard!$A$18="All",G556=Dashboard!$A$18),OR(Dashboard!$A$22="All",I556=Dashboard!$A$22))</f>
        <v>1</v>
      </c>
    </row>
    <row r="557" spans="1:16" ht="15.75" customHeight="1">
      <c r="A557" s="4" t="s">
        <v>763</v>
      </c>
      <c r="B557" s="6">
        <v>45463</v>
      </c>
      <c r="C557" s="4">
        <v>2024</v>
      </c>
      <c r="D557" s="4">
        <v>6</v>
      </c>
      <c r="E557" s="4" t="s">
        <v>34</v>
      </c>
      <c r="F557" s="4" t="s">
        <v>8</v>
      </c>
      <c r="G557" s="4" t="s">
        <v>9</v>
      </c>
      <c r="H557" s="4" t="s">
        <v>110</v>
      </c>
      <c r="I557" s="4" t="s">
        <v>10</v>
      </c>
      <c r="J557" s="4" t="s">
        <v>301</v>
      </c>
      <c r="K557" s="4">
        <v>5</v>
      </c>
      <c r="L557" s="5">
        <v>64.28</v>
      </c>
      <c r="M557" s="5">
        <v>321.39999999999998</v>
      </c>
      <c r="N557" s="5">
        <v>154.9</v>
      </c>
      <c r="O557" s="5">
        <v>166.5</v>
      </c>
      <c r="P557" s="4">
        <f>--AND(OR(Dashboard!$A$10="All",C557=Dashboard!$A$10),OR(Dashboard!$A$14="All",F557=Dashboard!$A$14),OR(Dashboard!$A$18="All",G557=Dashboard!$A$18),OR(Dashboard!$A$22="All",I557=Dashboard!$A$22))</f>
        <v>1</v>
      </c>
    </row>
    <row r="558" spans="1:16" ht="15.75" customHeight="1">
      <c r="A558" s="4" t="s">
        <v>764</v>
      </c>
      <c r="B558" s="6">
        <v>45709</v>
      </c>
      <c r="C558" s="4">
        <v>2025</v>
      </c>
      <c r="D558" s="4">
        <v>2</v>
      </c>
      <c r="E558" s="4" t="s">
        <v>70</v>
      </c>
      <c r="F558" s="4" t="s">
        <v>5</v>
      </c>
      <c r="G558" s="4" t="s">
        <v>12</v>
      </c>
      <c r="H558" s="4" t="s">
        <v>92</v>
      </c>
      <c r="I558" s="4" t="s">
        <v>7</v>
      </c>
      <c r="J558" s="4" t="s">
        <v>292</v>
      </c>
      <c r="K558" s="4">
        <v>2</v>
      </c>
      <c r="L558" s="5">
        <v>158.91</v>
      </c>
      <c r="M558" s="5">
        <v>317.82</v>
      </c>
      <c r="N558" s="5">
        <v>184.51</v>
      </c>
      <c r="O558" s="5">
        <v>133.31</v>
      </c>
      <c r="P558" s="4">
        <f>--AND(OR(Dashboard!$A$10="All",C558=Dashboard!$A$10),OR(Dashboard!$A$14="All",F558=Dashboard!$A$14),OR(Dashboard!$A$18="All",G558=Dashboard!$A$18),OR(Dashboard!$A$22="All",I558=Dashboard!$A$22))</f>
        <v>1</v>
      </c>
    </row>
    <row r="559" spans="1:16" ht="15.75" customHeight="1">
      <c r="A559" s="4" t="s">
        <v>765</v>
      </c>
      <c r="B559" s="6">
        <v>45512</v>
      </c>
      <c r="C559" s="4">
        <v>2024</v>
      </c>
      <c r="D559" s="4">
        <v>8</v>
      </c>
      <c r="E559" s="4" t="s">
        <v>67</v>
      </c>
      <c r="F559" s="4" t="s">
        <v>5</v>
      </c>
      <c r="G559" s="4" t="s">
        <v>12</v>
      </c>
      <c r="H559" s="4" t="s">
        <v>124</v>
      </c>
      <c r="I559" s="4" t="s">
        <v>10</v>
      </c>
      <c r="J559" s="4" t="s">
        <v>297</v>
      </c>
      <c r="K559" s="4">
        <v>9</v>
      </c>
      <c r="L559" s="5">
        <v>251.77</v>
      </c>
      <c r="M559" s="5">
        <v>2265.9299999999998</v>
      </c>
      <c r="N559" s="5">
        <v>1348.92</v>
      </c>
      <c r="O559" s="5">
        <v>917.01</v>
      </c>
      <c r="P559" s="4">
        <f>--AND(OR(Dashboard!$A$10="All",C559=Dashboard!$A$10),OR(Dashboard!$A$14="All",F559=Dashboard!$A$14),OR(Dashboard!$A$18="All",G559=Dashboard!$A$18),OR(Dashboard!$A$22="All",I559=Dashboard!$A$22))</f>
        <v>1</v>
      </c>
    </row>
    <row r="560" spans="1:16" ht="15.75" customHeight="1">
      <c r="A560" s="4" t="s">
        <v>766</v>
      </c>
      <c r="B560" s="6">
        <v>45652</v>
      </c>
      <c r="C560" s="4">
        <v>2024</v>
      </c>
      <c r="D560" s="4">
        <v>12</v>
      </c>
      <c r="E560" s="4" t="s">
        <v>57</v>
      </c>
      <c r="F560" s="4" t="s">
        <v>5</v>
      </c>
      <c r="G560" s="4" t="s">
        <v>6</v>
      </c>
      <c r="H560" s="4" t="s">
        <v>98</v>
      </c>
      <c r="I560" s="4" t="s">
        <v>10</v>
      </c>
      <c r="J560" s="4" t="s">
        <v>263</v>
      </c>
      <c r="K560" s="4">
        <v>2</v>
      </c>
      <c r="L560" s="5">
        <v>94.43</v>
      </c>
      <c r="M560" s="5">
        <v>188.86</v>
      </c>
      <c r="N560" s="5">
        <v>124.12</v>
      </c>
      <c r="O560" s="5">
        <v>64.739999999999995</v>
      </c>
      <c r="P560" s="4">
        <f>--AND(OR(Dashboard!$A$10="All",C560=Dashboard!$A$10),OR(Dashboard!$A$14="All",F560=Dashboard!$A$14),OR(Dashboard!$A$18="All",G560=Dashboard!$A$18),OR(Dashboard!$A$22="All",I560=Dashboard!$A$22))</f>
        <v>1</v>
      </c>
    </row>
    <row r="561" spans="1:16" ht="15.75" customHeight="1">
      <c r="A561" s="4" t="s">
        <v>767</v>
      </c>
      <c r="B561" s="6">
        <v>45577</v>
      </c>
      <c r="C561" s="4">
        <v>2024</v>
      </c>
      <c r="D561" s="4">
        <v>10</v>
      </c>
      <c r="E561" s="4" t="s">
        <v>120</v>
      </c>
      <c r="F561" s="4" t="s">
        <v>5</v>
      </c>
      <c r="G561" s="4" t="s">
        <v>9</v>
      </c>
      <c r="H561" s="4" t="s">
        <v>64</v>
      </c>
      <c r="I561" s="4" t="s">
        <v>7</v>
      </c>
      <c r="J561" s="4" t="s">
        <v>319</v>
      </c>
      <c r="K561" s="4">
        <v>1</v>
      </c>
      <c r="L561" s="5">
        <v>56.81</v>
      </c>
      <c r="M561" s="5">
        <v>56.81</v>
      </c>
      <c r="N561" s="5">
        <v>27.95</v>
      </c>
      <c r="O561" s="5">
        <v>28.86</v>
      </c>
      <c r="P561" s="4">
        <f>--AND(OR(Dashboard!$A$10="All",C561=Dashboard!$A$10),OR(Dashboard!$A$14="All",F561=Dashboard!$A$14),OR(Dashboard!$A$18="All",G561=Dashboard!$A$18),OR(Dashboard!$A$22="All",I561=Dashboard!$A$22))</f>
        <v>1</v>
      </c>
    </row>
    <row r="562" spans="1:16" ht="15.75" customHeight="1">
      <c r="A562" s="4" t="s">
        <v>768</v>
      </c>
      <c r="B562" s="6">
        <v>45797</v>
      </c>
      <c r="C562" s="4">
        <v>2025</v>
      </c>
      <c r="D562" s="4">
        <v>5</v>
      </c>
      <c r="E562" s="4" t="s">
        <v>108</v>
      </c>
      <c r="F562" s="4" t="s">
        <v>11</v>
      </c>
      <c r="G562" s="4" t="s">
        <v>9</v>
      </c>
      <c r="H562" s="4" t="s">
        <v>64</v>
      </c>
      <c r="I562" s="4" t="s">
        <v>13</v>
      </c>
      <c r="J562" s="4" t="s">
        <v>326</v>
      </c>
      <c r="K562" s="4">
        <v>4</v>
      </c>
      <c r="L562" s="5">
        <v>26.97</v>
      </c>
      <c r="M562" s="5">
        <v>107.88</v>
      </c>
      <c r="N562" s="5">
        <v>55.38</v>
      </c>
      <c r="O562" s="5">
        <v>52.5</v>
      </c>
      <c r="P562" s="4">
        <f>--AND(OR(Dashboard!$A$10="All",C562=Dashboard!$A$10),OR(Dashboard!$A$14="All",F562=Dashboard!$A$14),OR(Dashboard!$A$18="All",G562=Dashboard!$A$18),OR(Dashboard!$A$22="All",I562=Dashboard!$A$22))</f>
        <v>1</v>
      </c>
    </row>
    <row r="563" spans="1:16" ht="15.75" customHeight="1">
      <c r="A563" s="4" t="s">
        <v>769</v>
      </c>
      <c r="B563" s="6">
        <v>45449</v>
      </c>
      <c r="C563" s="4">
        <v>2024</v>
      </c>
      <c r="D563" s="4">
        <v>6</v>
      </c>
      <c r="E563" s="4" t="s">
        <v>34</v>
      </c>
      <c r="F563" s="4" t="s">
        <v>5</v>
      </c>
      <c r="G563" s="4" t="s">
        <v>9</v>
      </c>
      <c r="H563" s="4" t="s">
        <v>142</v>
      </c>
      <c r="I563" s="4" t="s">
        <v>10</v>
      </c>
      <c r="J563" s="4" t="s">
        <v>131</v>
      </c>
      <c r="K563" s="4">
        <v>3</v>
      </c>
      <c r="L563" s="5">
        <v>36.340000000000003</v>
      </c>
      <c r="M563" s="5">
        <v>109.02</v>
      </c>
      <c r="N563" s="5">
        <v>52.07</v>
      </c>
      <c r="O563" s="5">
        <v>56.95</v>
      </c>
      <c r="P563" s="4">
        <f>--AND(OR(Dashboard!$A$10="All",C563=Dashboard!$A$10),OR(Dashboard!$A$14="All",F563=Dashboard!$A$14),OR(Dashboard!$A$18="All",G563=Dashboard!$A$18),OR(Dashboard!$A$22="All",I563=Dashboard!$A$22))</f>
        <v>1</v>
      </c>
    </row>
    <row r="564" spans="1:16" ht="15.75" customHeight="1">
      <c r="A564" s="4" t="s">
        <v>770</v>
      </c>
      <c r="B564" s="6">
        <v>45670</v>
      </c>
      <c r="C564" s="4">
        <v>2025</v>
      </c>
      <c r="D564" s="4">
        <v>1</v>
      </c>
      <c r="E564" s="4" t="s">
        <v>30</v>
      </c>
      <c r="F564" s="4" t="s">
        <v>11</v>
      </c>
      <c r="G564" s="4" t="s">
        <v>6</v>
      </c>
      <c r="H564" s="4" t="s">
        <v>136</v>
      </c>
      <c r="I564" s="4" t="s">
        <v>7</v>
      </c>
      <c r="J564" s="4" t="s">
        <v>170</v>
      </c>
      <c r="K564" s="4">
        <v>9</v>
      </c>
      <c r="L564" s="5">
        <v>184.31</v>
      </c>
      <c r="M564" s="5">
        <v>1658.79</v>
      </c>
      <c r="N564" s="5">
        <v>1139.4000000000001</v>
      </c>
      <c r="O564" s="5">
        <v>519.39</v>
      </c>
      <c r="P564" s="4">
        <f>--AND(OR(Dashboard!$A$10="All",C564=Dashboard!$A$10),OR(Dashboard!$A$14="All",F564=Dashboard!$A$14),OR(Dashboard!$A$18="All",G564=Dashboard!$A$18),OR(Dashboard!$A$22="All",I564=Dashboard!$A$22))</f>
        <v>1</v>
      </c>
    </row>
    <row r="565" spans="1:16" ht="15.75" customHeight="1">
      <c r="A565" s="4" t="s">
        <v>771</v>
      </c>
      <c r="B565" s="6">
        <v>45437</v>
      </c>
      <c r="C565" s="4">
        <v>2024</v>
      </c>
      <c r="D565" s="4">
        <v>5</v>
      </c>
      <c r="E565" s="4" t="s">
        <v>108</v>
      </c>
      <c r="F565" s="4" t="s">
        <v>5</v>
      </c>
      <c r="G565" s="4" t="s">
        <v>9</v>
      </c>
      <c r="H565" s="4" t="s">
        <v>71</v>
      </c>
      <c r="I565" s="4" t="s">
        <v>7</v>
      </c>
      <c r="J565" s="4" t="s">
        <v>199</v>
      </c>
      <c r="K565" s="4">
        <v>4</v>
      </c>
      <c r="L565" s="5">
        <v>55.85</v>
      </c>
      <c r="M565" s="5">
        <v>223.4</v>
      </c>
      <c r="N565" s="5">
        <v>115.88</v>
      </c>
      <c r="O565" s="5">
        <v>107.52</v>
      </c>
      <c r="P565" s="4">
        <f>--AND(OR(Dashboard!$A$10="All",C565=Dashboard!$A$10),OR(Dashboard!$A$14="All",F565=Dashboard!$A$14),OR(Dashboard!$A$18="All",G565=Dashboard!$A$18),OR(Dashboard!$A$22="All",I565=Dashboard!$A$22))</f>
        <v>1</v>
      </c>
    </row>
    <row r="566" spans="1:16" ht="15.75" customHeight="1">
      <c r="A566" s="4" t="s">
        <v>772</v>
      </c>
      <c r="B566" s="6">
        <v>45650</v>
      </c>
      <c r="C566" s="4">
        <v>2024</v>
      </c>
      <c r="D566" s="4">
        <v>12</v>
      </c>
      <c r="E566" s="4" t="s">
        <v>57</v>
      </c>
      <c r="F566" s="4" t="s">
        <v>11</v>
      </c>
      <c r="G566" s="4" t="s">
        <v>12</v>
      </c>
      <c r="H566" s="4" t="s">
        <v>58</v>
      </c>
      <c r="I566" s="4" t="s">
        <v>7</v>
      </c>
      <c r="J566" s="4" t="s">
        <v>348</v>
      </c>
      <c r="K566" s="4">
        <v>2</v>
      </c>
      <c r="L566" s="5">
        <v>114.28</v>
      </c>
      <c r="M566" s="5">
        <v>228.56</v>
      </c>
      <c r="N566" s="5">
        <v>135.56</v>
      </c>
      <c r="O566" s="5">
        <v>93</v>
      </c>
      <c r="P566" s="4">
        <f>--AND(OR(Dashboard!$A$10="All",C566=Dashboard!$A$10),OR(Dashboard!$A$14="All",F566=Dashboard!$A$14),OR(Dashboard!$A$18="All",G566=Dashboard!$A$18),OR(Dashboard!$A$22="All",I566=Dashboard!$A$22))</f>
        <v>1</v>
      </c>
    </row>
    <row r="567" spans="1:16" ht="15.75" customHeight="1">
      <c r="A567" s="4" t="s">
        <v>773</v>
      </c>
      <c r="B567" s="6">
        <v>45656</v>
      </c>
      <c r="C567" s="4">
        <v>2024</v>
      </c>
      <c r="D567" s="4">
        <v>12</v>
      </c>
      <c r="E567" s="4" t="s">
        <v>57</v>
      </c>
      <c r="F567" s="4" t="s">
        <v>8</v>
      </c>
      <c r="G567" s="4" t="s">
        <v>9</v>
      </c>
      <c r="H567" s="4" t="s">
        <v>35</v>
      </c>
      <c r="I567" s="4" t="s">
        <v>13</v>
      </c>
      <c r="J567" s="4" t="s">
        <v>209</v>
      </c>
      <c r="K567" s="4">
        <v>2</v>
      </c>
      <c r="L567" s="5">
        <v>26.95</v>
      </c>
      <c r="M567" s="5">
        <v>53.9</v>
      </c>
      <c r="N567" s="5">
        <v>26.79</v>
      </c>
      <c r="O567" s="5">
        <v>27.11</v>
      </c>
      <c r="P567" s="4">
        <f>--AND(OR(Dashboard!$A$10="All",C567=Dashboard!$A$10),OR(Dashboard!$A$14="All",F567=Dashboard!$A$14),OR(Dashboard!$A$18="All",G567=Dashboard!$A$18),OR(Dashboard!$A$22="All",I567=Dashboard!$A$22))</f>
        <v>1</v>
      </c>
    </row>
    <row r="568" spans="1:16" ht="15.75" customHeight="1">
      <c r="A568" s="4" t="s">
        <v>774</v>
      </c>
      <c r="B568" s="6">
        <v>45864</v>
      </c>
      <c r="C568" s="4">
        <v>2025</v>
      </c>
      <c r="D568" s="4">
        <v>7</v>
      </c>
      <c r="E568" s="4" t="s">
        <v>63</v>
      </c>
      <c r="F568" s="4" t="s">
        <v>5</v>
      </c>
      <c r="G568" s="4" t="s">
        <v>6</v>
      </c>
      <c r="H568" s="4" t="s">
        <v>114</v>
      </c>
      <c r="I568" s="4" t="s">
        <v>7</v>
      </c>
      <c r="J568" s="4" t="s">
        <v>121</v>
      </c>
      <c r="K568" s="4">
        <v>5</v>
      </c>
      <c r="L568" s="5">
        <v>100.7</v>
      </c>
      <c r="M568" s="5">
        <v>503.5</v>
      </c>
      <c r="N568" s="5">
        <v>347.38</v>
      </c>
      <c r="O568" s="5">
        <v>156.12</v>
      </c>
      <c r="P568" s="4">
        <f>--AND(OR(Dashboard!$A$10="All",C568=Dashboard!$A$10),OR(Dashboard!$A$14="All",F568=Dashboard!$A$14),OR(Dashboard!$A$18="All",G568=Dashboard!$A$18),OR(Dashboard!$A$22="All",I568=Dashboard!$A$22))</f>
        <v>1</v>
      </c>
    </row>
    <row r="569" spans="1:16" ht="15.75" customHeight="1">
      <c r="A569" s="4" t="s">
        <v>775</v>
      </c>
      <c r="B569" s="6">
        <v>45422</v>
      </c>
      <c r="C569" s="4">
        <v>2024</v>
      </c>
      <c r="D569" s="4">
        <v>5</v>
      </c>
      <c r="E569" s="4" t="s">
        <v>108</v>
      </c>
      <c r="F569" s="4" t="s">
        <v>5</v>
      </c>
      <c r="G569" s="4" t="s">
        <v>9</v>
      </c>
      <c r="H569" s="4" t="s">
        <v>142</v>
      </c>
      <c r="I569" s="4" t="s">
        <v>13</v>
      </c>
      <c r="J569" s="4" t="s">
        <v>59</v>
      </c>
      <c r="K569" s="4">
        <v>6</v>
      </c>
      <c r="L569" s="5">
        <v>41.6</v>
      </c>
      <c r="M569" s="5">
        <v>249.6</v>
      </c>
      <c r="N569" s="5">
        <v>124.62</v>
      </c>
      <c r="O569" s="5">
        <v>124.98</v>
      </c>
      <c r="P569" s="4">
        <f>--AND(OR(Dashboard!$A$10="All",C569=Dashboard!$A$10),OR(Dashboard!$A$14="All",F569=Dashboard!$A$14),OR(Dashboard!$A$18="All",G569=Dashboard!$A$18),OR(Dashboard!$A$22="All",I569=Dashboard!$A$22))</f>
        <v>1</v>
      </c>
    </row>
    <row r="570" spans="1:16" ht="15.75" customHeight="1">
      <c r="A570" s="4" t="s">
        <v>776</v>
      </c>
      <c r="B570" s="6">
        <v>45412</v>
      </c>
      <c r="C570" s="4">
        <v>2024</v>
      </c>
      <c r="D570" s="4">
        <v>4</v>
      </c>
      <c r="E570" s="4" t="s">
        <v>106</v>
      </c>
      <c r="F570" s="4" t="s">
        <v>5</v>
      </c>
      <c r="G570" s="4" t="s">
        <v>6</v>
      </c>
      <c r="H570" s="4" t="s">
        <v>136</v>
      </c>
      <c r="I570" s="4" t="s">
        <v>7</v>
      </c>
      <c r="J570" s="4" t="s">
        <v>134</v>
      </c>
      <c r="K570" s="4">
        <v>3</v>
      </c>
      <c r="L570" s="5">
        <v>171.64</v>
      </c>
      <c r="M570" s="5">
        <v>514.91999999999996</v>
      </c>
      <c r="N570" s="5">
        <v>336.27</v>
      </c>
      <c r="O570" s="5">
        <v>178.65</v>
      </c>
      <c r="P570" s="4">
        <f>--AND(OR(Dashboard!$A$10="All",C570=Dashboard!$A$10),OR(Dashboard!$A$14="All",F570=Dashboard!$A$14),OR(Dashboard!$A$18="All",G570=Dashboard!$A$18),OR(Dashboard!$A$22="All",I570=Dashboard!$A$22))</f>
        <v>1</v>
      </c>
    </row>
    <row r="571" spans="1:16" ht="15.75" customHeight="1">
      <c r="A571" s="4" t="s">
        <v>777</v>
      </c>
      <c r="B571" s="6">
        <v>46019</v>
      </c>
      <c r="C571" s="4">
        <v>2025</v>
      </c>
      <c r="D571" s="4">
        <v>12</v>
      </c>
      <c r="E571" s="4" t="s">
        <v>57</v>
      </c>
      <c r="F571" s="4" t="s">
        <v>8</v>
      </c>
      <c r="G571" s="4" t="s">
        <v>6</v>
      </c>
      <c r="H571" s="4" t="s">
        <v>136</v>
      </c>
      <c r="I571" s="4" t="s">
        <v>10</v>
      </c>
      <c r="J571" s="4" t="s">
        <v>289</v>
      </c>
      <c r="K571" s="4">
        <v>1</v>
      </c>
      <c r="L571" s="5">
        <v>142.81</v>
      </c>
      <c r="M571" s="5">
        <v>142.81</v>
      </c>
      <c r="N571" s="5">
        <v>95.72</v>
      </c>
      <c r="O571" s="5">
        <v>47.09</v>
      </c>
      <c r="P571" s="4">
        <f>--AND(OR(Dashboard!$A$10="All",C571=Dashboard!$A$10),OR(Dashboard!$A$14="All",F571=Dashboard!$A$14),OR(Dashboard!$A$18="All",G571=Dashboard!$A$18),OR(Dashboard!$A$22="All",I571=Dashboard!$A$22))</f>
        <v>1</v>
      </c>
    </row>
    <row r="572" spans="1:16" ht="15.75" customHeight="1">
      <c r="A572" s="4" t="s">
        <v>778</v>
      </c>
      <c r="B572" s="6">
        <v>45646</v>
      </c>
      <c r="C572" s="4">
        <v>2024</v>
      </c>
      <c r="D572" s="4">
        <v>12</v>
      </c>
      <c r="E572" s="4" t="s">
        <v>57</v>
      </c>
      <c r="F572" s="4" t="s">
        <v>11</v>
      </c>
      <c r="G572" s="4" t="s">
        <v>9</v>
      </c>
      <c r="H572" s="4" t="s">
        <v>110</v>
      </c>
      <c r="I572" s="4" t="s">
        <v>7</v>
      </c>
      <c r="J572" s="4" t="s">
        <v>232</v>
      </c>
      <c r="K572" s="4">
        <v>3</v>
      </c>
      <c r="L572" s="5">
        <v>32.06</v>
      </c>
      <c r="M572" s="5">
        <v>96.18</v>
      </c>
      <c r="N572" s="5">
        <v>48.37</v>
      </c>
      <c r="O572" s="5">
        <v>47.81</v>
      </c>
      <c r="P572" s="4">
        <f>--AND(OR(Dashboard!$A$10="All",C572=Dashboard!$A$10),OR(Dashboard!$A$14="All",F572=Dashboard!$A$14),OR(Dashboard!$A$18="All",G572=Dashboard!$A$18),OR(Dashboard!$A$22="All",I572=Dashboard!$A$22))</f>
        <v>1</v>
      </c>
    </row>
    <row r="573" spans="1:16" ht="15.75" customHeight="1">
      <c r="A573" s="4" t="s">
        <v>779</v>
      </c>
      <c r="B573" s="6">
        <v>45341</v>
      </c>
      <c r="C573" s="4">
        <v>2024</v>
      </c>
      <c r="D573" s="4">
        <v>2</v>
      </c>
      <c r="E573" s="4" t="s">
        <v>70</v>
      </c>
      <c r="F573" s="4" t="s">
        <v>5</v>
      </c>
      <c r="G573" s="4" t="s">
        <v>12</v>
      </c>
      <c r="H573" s="4" t="s">
        <v>58</v>
      </c>
      <c r="I573" s="4" t="s">
        <v>7</v>
      </c>
      <c r="J573" s="4" t="s">
        <v>144</v>
      </c>
      <c r="K573" s="4">
        <v>3</v>
      </c>
      <c r="L573" s="5">
        <v>266.81</v>
      </c>
      <c r="M573" s="5">
        <v>800.43</v>
      </c>
      <c r="N573" s="5">
        <v>464.47</v>
      </c>
      <c r="O573" s="5">
        <v>335.96</v>
      </c>
      <c r="P573" s="4">
        <f>--AND(OR(Dashboard!$A$10="All",C573=Dashboard!$A$10),OR(Dashboard!$A$14="All",F573=Dashboard!$A$14),OR(Dashboard!$A$18="All",G573=Dashboard!$A$18),OR(Dashboard!$A$22="All",I573=Dashboard!$A$22))</f>
        <v>1</v>
      </c>
    </row>
    <row r="574" spans="1:16" ht="15.75" customHeight="1">
      <c r="A574" s="4" t="s">
        <v>780</v>
      </c>
      <c r="B574" s="6">
        <v>45852</v>
      </c>
      <c r="C574" s="4">
        <v>2025</v>
      </c>
      <c r="D574" s="4">
        <v>7</v>
      </c>
      <c r="E574" s="4" t="s">
        <v>63</v>
      </c>
      <c r="F574" s="4" t="s">
        <v>5</v>
      </c>
      <c r="G574" s="4" t="s">
        <v>9</v>
      </c>
      <c r="H574" s="4" t="s">
        <v>71</v>
      </c>
      <c r="I574" s="4" t="s">
        <v>7</v>
      </c>
      <c r="J574" s="4" t="s">
        <v>218</v>
      </c>
      <c r="K574" s="4">
        <v>3</v>
      </c>
      <c r="L574" s="5">
        <v>24.25</v>
      </c>
      <c r="M574" s="5">
        <v>72.75</v>
      </c>
      <c r="N574" s="5">
        <v>37.299999999999997</v>
      </c>
      <c r="O574" s="5">
        <v>35.450000000000003</v>
      </c>
      <c r="P574" s="4">
        <f>--AND(OR(Dashboard!$A$10="All",C574=Dashboard!$A$10),OR(Dashboard!$A$14="All",F574=Dashboard!$A$14),OR(Dashboard!$A$18="All",G574=Dashboard!$A$18),OR(Dashboard!$A$22="All",I574=Dashboard!$A$22))</f>
        <v>1</v>
      </c>
    </row>
    <row r="575" spans="1:16" ht="15.75" customHeight="1">
      <c r="A575" s="4" t="s">
        <v>781</v>
      </c>
      <c r="B575" s="6">
        <v>45613</v>
      </c>
      <c r="C575" s="4">
        <v>2024</v>
      </c>
      <c r="D575" s="4">
        <v>11</v>
      </c>
      <c r="E575" s="4" t="s">
        <v>89</v>
      </c>
      <c r="F575" s="4" t="s">
        <v>8</v>
      </c>
      <c r="G575" s="4" t="s">
        <v>9</v>
      </c>
      <c r="H575" s="4" t="s">
        <v>35</v>
      </c>
      <c r="I575" s="4" t="s">
        <v>10</v>
      </c>
      <c r="J575" s="4" t="s">
        <v>226</v>
      </c>
      <c r="K575" s="4">
        <v>3</v>
      </c>
      <c r="L575" s="5">
        <v>43.76</v>
      </c>
      <c r="M575" s="5">
        <v>131.28</v>
      </c>
      <c r="N575" s="5">
        <v>64.41</v>
      </c>
      <c r="O575" s="5">
        <v>66.87</v>
      </c>
      <c r="P575" s="4">
        <f>--AND(OR(Dashboard!$A$10="All",C575=Dashboard!$A$10),OR(Dashboard!$A$14="All",F575=Dashboard!$A$14),OR(Dashboard!$A$18="All",G575=Dashboard!$A$18),OR(Dashboard!$A$22="All",I575=Dashboard!$A$22))</f>
        <v>1</v>
      </c>
    </row>
    <row r="576" spans="1:16" ht="15.75" customHeight="1">
      <c r="A576" s="4" t="s">
        <v>782</v>
      </c>
      <c r="B576" s="6">
        <v>45396</v>
      </c>
      <c r="C576" s="4">
        <v>2024</v>
      </c>
      <c r="D576" s="4">
        <v>4</v>
      </c>
      <c r="E576" s="4" t="s">
        <v>106</v>
      </c>
      <c r="F576" s="4" t="s">
        <v>11</v>
      </c>
      <c r="G576" s="4" t="s">
        <v>9</v>
      </c>
      <c r="H576" s="4" t="s">
        <v>71</v>
      </c>
      <c r="I576" s="4" t="s">
        <v>13</v>
      </c>
      <c r="J576" s="4" t="s">
        <v>232</v>
      </c>
      <c r="K576" s="4">
        <v>2</v>
      </c>
      <c r="L576" s="5">
        <v>29.61</v>
      </c>
      <c r="M576" s="5">
        <v>59.22</v>
      </c>
      <c r="N576" s="5">
        <v>30.85</v>
      </c>
      <c r="O576" s="5">
        <v>28.37</v>
      </c>
      <c r="P576" s="4">
        <f>--AND(OR(Dashboard!$A$10="All",C576=Dashboard!$A$10),OR(Dashboard!$A$14="All",F576=Dashboard!$A$14),OR(Dashboard!$A$18="All",G576=Dashboard!$A$18),OR(Dashboard!$A$22="All",I576=Dashboard!$A$22))</f>
        <v>1</v>
      </c>
    </row>
    <row r="577" spans="1:16" ht="15.75" customHeight="1">
      <c r="A577" s="4" t="s">
        <v>783</v>
      </c>
      <c r="B577" s="6">
        <v>45694</v>
      </c>
      <c r="C577" s="4">
        <v>2025</v>
      </c>
      <c r="D577" s="4">
        <v>2</v>
      </c>
      <c r="E577" s="4" t="s">
        <v>70</v>
      </c>
      <c r="F577" s="4" t="s">
        <v>5</v>
      </c>
      <c r="G577" s="4" t="s">
        <v>9</v>
      </c>
      <c r="H577" s="4" t="s">
        <v>142</v>
      </c>
      <c r="I577" s="4" t="s">
        <v>10</v>
      </c>
      <c r="J577" s="4" t="s">
        <v>118</v>
      </c>
      <c r="K577" s="4">
        <v>1</v>
      </c>
      <c r="L577" s="5">
        <v>46.71</v>
      </c>
      <c r="M577" s="5">
        <v>46.71</v>
      </c>
      <c r="N577" s="5">
        <v>22.44</v>
      </c>
      <c r="O577" s="5">
        <v>24.27</v>
      </c>
      <c r="P577" s="4">
        <f>--AND(OR(Dashboard!$A$10="All",C577=Dashboard!$A$10),OR(Dashboard!$A$14="All",F577=Dashboard!$A$14),OR(Dashboard!$A$18="All",G577=Dashboard!$A$18),OR(Dashboard!$A$22="All",I577=Dashboard!$A$22))</f>
        <v>1</v>
      </c>
    </row>
    <row r="578" spans="1:16" ht="15.75" customHeight="1">
      <c r="A578" s="4" t="s">
        <v>784</v>
      </c>
      <c r="B578" s="6">
        <v>45405</v>
      </c>
      <c r="C578" s="4">
        <v>2024</v>
      </c>
      <c r="D578" s="4">
        <v>4</v>
      </c>
      <c r="E578" s="4" t="s">
        <v>106</v>
      </c>
      <c r="F578" s="4" t="s">
        <v>8</v>
      </c>
      <c r="G578" s="4" t="s">
        <v>9</v>
      </c>
      <c r="H578" s="4" t="s">
        <v>142</v>
      </c>
      <c r="I578" s="4" t="s">
        <v>7</v>
      </c>
      <c r="J578" s="4" t="s">
        <v>407</v>
      </c>
      <c r="K578" s="4">
        <v>5</v>
      </c>
      <c r="L578" s="5">
        <v>64.8</v>
      </c>
      <c r="M578" s="5">
        <v>324</v>
      </c>
      <c r="N578" s="5">
        <v>154.06</v>
      </c>
      <c r="O578" s="5">
        <v>169.94</v>
      </c>
      <c r="P578" s="4">
        <f>--AND(OR(Dashboard!$A$10="All",C578=Dashboard!$A$10),OR(Dashboard!$A$14="All",F578=Dashboard!$A$14),OR(Dashboard!$A$18="All",G578=Dashboard!$A$18),OR(Dashboard!$A$22="All",I578=Dashboard!$A$22))</f>
        <v>1</v>
      </c>
    </row>
    <row r="579" spans="1:16" ht="15.75" customHeight="1">
      <c r="A579" s="4" t="s">
        <v>785</v>
      </c>
      <c r="B579" s="6">
        <v>45526</v>
      </c>
      <c r="C579" s="4">
        <v>2024</v>
      </c>
      <c r="D579" s="4">
        <v>8</v>
      </c>
      <c r="E579" s="4" t="s">
        <v>67</v>
      </c>
      <c r="F579" s="4" t="s">
        <v>5</v>
      </c>
      <c r="G579" s="4" t="s">
        <v>12</v>
      </c>
      <c r="H579" s="4" t="s">
        <v>92</v>
      </c>
      <c r="I579" s="4" t="s">
        <v>13</v>
      </c>
      <c r="J579" s="4" t="s">
        <v>166</v>
      </c>
      <c r="K579" s="4">
        <v>4</v>
      </c>
      <c r="L579" s="5">
        <v>237.88</v>
      </c>
      <c r="M579" s="5">
        <v>951.52</v>
      </c>
      <c r="N579" s="5">
        <v>574.51</v>
      </c>
      <c r="O579" s="5">
        <v>377.01</v>
      </c>
      <c r="P579" s="4">
        <f>--AND(OR(Dashboard!$A$10="All",C579=Dashboard!$A$10),OR(Dashboard!$A$14="All",F579=Dashboard!$A$14),OR(Dashboard!$A$18="All",G579=Dashboard!$A$18),OR(Dashboard!$A$22="All",I579=Dashboard!$A$22))</f>
        <v>1</v>
      </c>
    </row>
    <row r="580" spans="1:16" ht="15.75" customHeight="1">
      <c r="A580" s="4" t="s">
        <v>786</v>
      </c>
      <c r="B580" s="6">
        <v>45865</v>
      </c>
      <c r="C580" s="4">
        <v>2025</v>
      </c>
      <c r="D580" s="4">
        <v>7</v>
      </c>
      <c r="E580" s="4" t="s">
        <v>63</v>
      </c>
      <c r="F580" s="4" t="s">
        <v>5</v>
      </c>
      <c r="G580" s="4" t="s">
        <v>6</v>
      </c>
      <c r="H580" s="4" t="s">
        <v>80</v>
      </c>
      <c r="I580" s="4" t="s">
        <v>13</v>
      </c>
      <c r="J580" s="4" t="s">
        <v>218</v>
      </c>
      <c r="K580" s="4">
        <v>3</v>
      </c>
      <c r="L580" s="5">
        <v>185.15</v>
      </c>
      <c r="M580" s="5">
        <v>555.45000000000005</v>
      </c>
      <c r="N580" s="5">
        <v>361.15</v>
      </c>
      <c r="O580" s="5">
        <v>194.3</v>
      </c>
      <c r="P580" s="4">
        <f>--AND(OR(Dashboard!$A$10="All",C580=Dashboard!$A$10),OR(Dashboard!$A$14="All",F580=Dashboard!$A$14),OR(Dashboard!$A$18="All",G580=Dashboard!$A$18),OR(Dashboard!$A$22="All",I580=Dashboard!$A$22))</f>
        <v>1</v>
      </c>
    </row>
    <row r="581" spans="1:16" ht="15.75" customHeight="1">
      <c r="A581" s="4" t="s">
        <v>787</v>
      </c>
      <c r="B581" s="6">
        <v>45348</v>
      </c>
      <c r="C581" s="4">
        <v>2024</v>
      </c>
      <c r="D581" s="4">
        <v>2</v>
      </c>
      <c r="E581" s="4" t="s">
        <v>70</v>
      </c>
      <c r="F581" s="4" t="s">
        <v>5</v>
      </c>
      <c r="G581" s="4" t="s">
        <v>6</v>
      </c>
      <c r="H581" s="4" t="s">
        <v>54</v>
      </c>
      <c r="I581" s="4" t="s">
        <v>7</v>
      </c>
      <c r="J581" s="4" t="s">
        <v>164</v>
      </c>
      <c r="K581" s="4">
        <v>3</v>
      </c>
      <c r="L581" s="5">
        <v>185.87</v>
      </c>
      <c r="M581" s="5">
        <v>557.61</v>
      </c>
      <c r="N581" s="5">
        <v>381.06</v>
      </c>
      <c r="O581" s="5">
        <v>176.55</v>
      </c>
      <c r="P581" s="4">
        <f>--AND(OR(Dashboard!$A$10="All",C581=Dashboard!$A$10),OR(Dashboard!$A$14="All",F581=Dashboard!$A$14),OR(Dashboard!$A$18="All",G581=Dashboard!$A$18),OR(Dashboard!$A$22="All",I581=Dashboard!$A$22))</f>
        <v>1</v>
      </c>
    </row>
    <row r="582" spans="1:16" ht="15.75" customHeight="1">
      <c r="A582" s="4" t="s">
        <v>788</v>
      </c>
      <c r="B582" s="6">
        <v>45318</v>
      </c>
      <c r="C582" s="4">
        <v>2024</v>
      </c>
      <c r="D582" s="4">
        <v>1</v>
      </c>
      <c r="E582" s="4" t="s">
        <v>30</v>
      </c>
      <c r="F582" s="4" t="s">
        <v>14</v>
      </c>
      <c r="G582" s="4" t="s">
        <v>6</v>
      </c>
      <c r="H582" s="4" t="s">
        <v>114</v>
      </c>
      <c r="I582" s="4" t="s">
        <v>10</v>
      </c>
      <c r="J582" s="4" t="s">
        <v>326</v>
      </c>
      <c r="K582" s="4">
        <v>1</v>
      </c>
      <c r="L582" s="5">
        <v>148.58000000000001</v>
      </c>
      <c r="M582" s="5">
        <v>148.58000000000001</v>
      </c>
      <c r="N582" s="5">
        <v>101.38</v>
      </c>
      <c r="O582" s="5">
        <v>47.2</v>
      </c>
      <c r="P582" s="4">
        <f>--AND(OR(Dashboard!$A$10="All",C582=Dashboard!$A$10),OR(Dashboard!$A$14="All",F582=Dashboard!$A$14),OR(Dashboard!$A$18="All",G582=Dashboard!$A$18),OR(Dashboard!$A$22="All",I582=Dashboard!$A$22))</f>
        <v>1</v>
      </c>
    </row>
    <row r="583" spans="1:16" ht="15.75" customHeight="1">
      <c r="A583" s="4" t="s">
        <v>789</v>
      </c>
      <c r="B583" s="6">
        <v>45760</v>
      </c>
      <c r="C583" s="4">
        <v>2025</v>
      </c>
      <c r="D583" s="4">
        <v>4</v>
      </c>
      <c r="E583" s="4" t="s">
        <v>106</v>
      </c>
      <c r="F583" s="4" t="s">
        <v>5</v>
      </c>
      <c r="G583" s="4" t="s">
        <v>12</v>
      </c>
      <c r="H583" s="4" t="s">
        <v>92</v>
      </c>
      <c r="I583" s="4" t="s">
        <v>7</v>
      </c>
      <c r="J583" s="4" t="s">
        <v>146</v>
      </c>
      <c r="K583" s="4">
        <v>3</v>
      </c>
      <c r="L583" s="5">
        <v>324.44</v>
      </c>
      <c r="M583" s="5">
        <v>973.32</v>
      </c>
      <c r="N583" s="5">
        <v>568.48</v>
      </c>
      <c r="O583" s="5">
        <v>404.84</v>
      </c>
      <c r="P583" s="4">
        <f>--AND(OR(Dashboard!$A$10="All",C583=Dashboard!$A$10),OR(Dashboard!$A$14="All",F583=Dashboard!$A$14),OR(Dashboard!$A$18="All",G583=Dashboard!$A$18),OR(Dashboard!$A$22="All",I583=Dashboard!$A$22))</f>
        <v>1</v>
      </c>
    </row>
    <row r="584" spans="1:16" ht="15.75" customHeight="1">
      <c r="A584" s="4" t="s">
        <v>790</v>
      </c>
      <c r="B584" s="6">
        <v>45397</v>
      </c>
      <c r="C584" s="4">
        <v>2024</v>
      </c>
      <c r="D584" s="4">
        <v>4</v>
      </c>
      <c r="E584" s="4" t="s">
        <v>106</v>
      </c>
      <c r="F584" s="4" t="s">
        <v>5</v>
      </c>
      <c r="G584" s="4" t="s">
        <v>9</v>
      </c>
      <c r="H584" s="4" t="s">
        <v>110</v>
      </c>
      <c r="I584" s="4" t="s">
        <v>7</v>
      </c>
      <c r="J584" s="4" t="s">
        <v>230</v>
      </c>
      <c r="K584" s="4">
        <v>1</v>
      </c>
      <c r="L584" s="5">
        <v>48.75</v>
      </c>
      <c r="M584" s="5">
        <v>48.75</v>
      </c>
      <c r="N584" s="5">
        <v>23.94</v>
      </c>
      <c r="O584" s="5">
        <v>24.81</v>
      </c>
      <c r="P584" s="4">
        <f>--AND(OR(Dashboard!$A$10="All",C584=Dashboard!$A$10),OR(Dashboard!$A$14="All",F584=Dashboard!$A$14),OR(Dashboard!$A$18="All",G584=Dashboard!$A$18),OR(Dashboard!$A$22="All",I584=Dashboard!$A$22))</f>
        <v>1</v>
      </c>
    </row>
    <row r="585" spans="1:16" ht="15.75" customHeight="1">
      <c r="A585" s="4" t="s">
        <v>791</v>
      </c>
      <c r="B585" s="6">
        <v>45387</v>
      </c>
      <c r="C585" s="4">
        <v>2024</v>
      </c>
      <c r="D585" s="4">
        <v>4</v>
      </c>
      <c r="E585" s="4" t="s">
        <v>106</v>
      </c>
      <c r="F585" s="4" t="s">
        <v>11</v>
      </c>
      <c r="G585" s="4" t="s">
        <v>6</v>
      </c>
      <c r="H585" s="4" t="s">
        <v>114</v>
      </c>
      <c r="I585" s="4" t="s">
        <v>7</v>
      </c>
      <c r="J585" s="4" t="s">
        <v>417</v>
      </c>
      <c r="K585" s="4">
        <v>6</v>
      </c>
      <c r="L585" s="5">
        <v>119.83</v>
      </c>
      <c r="M585" s="5">
        <v>718.98</v>
      </c>
      <c r="N585" s="5">
        <v>452.92</v>
      </c>
      <c r="O585" s="5">
        <v>266.06</v>
      </c>
      <c r="P585" s="4">
        <f>--AND(OR(Dashboard!$A$10="All",C585=Dashboard!$A$10),OR(Dashboard!$A$14="All",F585=Dashboard!$A$14),OR(Dashboard!$A$18="All",G585=Dashboard!$A$18),OR(Dashboard!$A$22="All",I585=Dashboard!$A$22))</f>
        <v>1</v>
      </c>
    </row>
    <row r="586" spans="1:16" ht="15.75" customHeight="1">
      <c r="A586" s="4" t="s">
        <v>792</v>
      </c>
      <c r="B586" s="6">
        <v>45944</v>
      </c>
      <c r="C586" s="4">
        <v>2025</v>
      </c>
      <c r="D586" s="4">
        <v>10</v>
      </c>
      <c r="E586" s="4" t="s">
        <v>120</v>
      </c>
      <c r="F586" s="4" t="s">
        <v>8</v>
      </c>
      <c r="G586" s="4" t="s">
        <v>12</v>
      </c>
      <c r="H586" s="4" t="s">
        <v>124</v>
      </c>
      <c r="I586" s="4" t="s">
        <v>7</v>
      </c>
      <c r="J586" s="4" t="s">
        <v>226</v>
      </c>
      <c r="K586" s="4">
        <v>5</v>
      </c>
      <c r="L586" s="5">
        <v>173.59</v>
      </c>
      <c r="M586" s="5">
        <v>867.95</v>
      </c>
      <c r="N586" s="5">
        <v>544.30999999999995</v>
      </c>
      <c r="O586" s="5">
        <v>323.64</v>
      </c>
      <c r="P586" s="4">
        <f>--AND(OR(Dashboard!$A$10="All",C586=Dashboard!$A$10),OR(Dashboard!$A$14="All",F586=Dashboard!$A$14),OR(Dashboard!$A$18="All",G586=Dashboard!$A$18),OR(Dashboard!$A$22="All",I586=Dashboard!$A$22))</f>
        <v>1</v>
      </c>
    </row>
    <row r="587" spans="1:16" ht="15.75" customHeight="1">
      <c r="A587" s="4" t="s">
        <v>793</v>
      </c>
      <c r="B587" s="6">
        <v>45743</v>
      </c>
      <c r="C587" s="4">
        <v>2025</v>
      </c>
      <c r="D587" s="4">
        <v>3</v>
      </c>
      <c r="E587" s="4" t="s">
        <v>100</v>
      </c>
      <c r="F587" s="4" t="s">
        <v>5</v>
      </c>
      <c r="G587" s="4" t="s">
        <v>6</v>
      </c>
      <c r="H587" s="4" t="s">
        <v>136</v>
      </c>
      <c r="I587" s="4" t="s">
        <v>7</v>
      </c>
      <c r="J587" s="4" t="s">
        <v>189</v>
      </c>
      <c r="K587" s="4">
        <v>1</v>
      </c>
      <c r="L587" s="5">
        <v>112.76</v>
      </c>
      <c r="M587" s="5">
        <v>112.76</v>
      </c>
      <c r="N587" s="5">
        <v>77.87</v>
      </c>
      <c r="O587" s="5">
        <v>34.89</v>
      </c>
      <c r="P587" s="4">
        <f>--AND(OR(Dashboard!$A$10="All",C587=Dashboard!$A$10),OR(Dashboard!$A$14="All",F587=Dashboard!$A$14),OR(Dashboard!$A$18="All",G587=Dashboard!$A$18),OR(Dashboard!$A$22="All",I587=Dashboard!$A$22))</f>
        <v>1</v>
      </c>
    </row>
    <row r="588" spans="1:16" ht="15.75" customHeight="1">
      <c r="A588" s="4" t="s">
        <v>794</v>
      </c>
      <c r="B588" s="6">
        <v>45985</v>
      </c>
      <c r="C588" s="4">
        <v>2025</v>
      </c>
      <c r="D588" s="4">
        <v>11</v>
      </c>
      <c r="E588" s="4" t="s">
        <v>89</v>
      </c>
      <c r="F588" s="4" t="s">
        <v>5</v>
      </c>
      <c r="G588" s="4" t="s">
        <v>6</v>
      </c>
      <c r="H588" s="4" t="s">
        <v>80</v>
      </c>
      <c r="I588" s="4" t="s">
        <v>7</v>
      </c>
      <c r="J588" s="4" t="s">
        <v>134</v>
      </c>
      <c r="K588" s="4">
        <v>3</v>
      </c>
      <c r="L588" s="5">
        <v>145.04</v>
      </c>
      <c r="M588" s="5">
        <v>435.12</v>
      </c>
      <c r="N588" s="5">
        <v>289.44</v>
      </c>
      <c r="O588" s="5">
        <v>145.68</v>
      </c>
      <c r="P588" s="4">
        <f>--AND(OR(Dashboard!$A$10="All",C588=Dashboard!$A$10),OR(Dashboard!$A$14="All",F588=Dashboard!$A$14),OR(Dashboard!$A$18="All",G588=Dashboard!$A$18),OR(Dashboard!$A$22="All",I588=Dashboard!$A$22))</f>
        <v>1</v>
      </c>
    </row>
    <row r="589" spans="1:16" ht="15.75" customHeight="1">
      <c r="A589" s="4" t="s">
        <v>795</v>
      </c>
      <c r="B589" s="6">
        <v>45312</v>
      </c>
      <c r="C589" s="4">
        <v>2024</v>
      </c>
      <c r="D589" s="4">
        <v>1</v>
      </c>
      <c r="E589" s="4" t="s">
        <v>30</v>
      </c>
      <c r="F589" s="4" t="s">
        <v>14</v>
      </c>
      <c r="G589" s="4" t="s">
        <v>12</v>
      </c>
      <c r="H589" s="4" t="s">
        <v>127</v>
      </c>
      <c r="I589" s="4" t="s">
        <v>13</v>
      </c>
      <c r="J589" s="4" t="s">
        <v>99</v>
      </c>
      <c r="K589" s="4">
        <v>5</v>
      </c>
      <c r="L589" s="5">
        <v>288.22000000000003</v>
      </c>
      <c r="M589" s="5">
        <v>1441.1</v>
      </c>
      <c r="N589" s="5">
        <v>822.74</v>
      </c>
      <c r="O589" s="5">
        <v>618.36</v>
      </c>
      <c r="P589" s="4">
        <f>--AND(OR(Dashboard!$A$10="All",C589=Dashboard!$A$10),OR(Dashboard!$A$14="All",F589=Dashboard!$A$14),OR(Dashboard!$A$18="All",G589=Dashboard!$A$18),OR(Dashboard!$A$22="All",I589=Dashboard!$A$22))</f>
        <v>1</v>
      </c>
    </row>
    <row r="590" spans="1:16" ht="15.75" customHeight="1">
      <c r="A590" s="4" t="s">
        <v>796</v>
      </c>
      <c r="B590" s="6">
        <v>45822</v>
      </c>
      <c r="C590" s="4">
        <v>2025</v>
      </c>
      <c r="D590" s="4">
        <v>6</v>
      </c>
      <c r="E590" s="4" t="s">
        <v>34</v>
      </c>
      <c r="F590" s="4" t="s">
        <v>5</v>
      </c>
      <c r="G590" s="4" t="s">
        <v>12</v>
      </c>
      <c r="H590" s="4" t="s">
        <v>86</v>
      </c>
      <c r="I590" s="4" t="s">
        <v>7</v>
      </c>
      <c r="J590" s="4" t="s">
        <v>111</v>
      </c>
      <c r="K590" s="4">
        <v>1</v>
      </c>
      <c r="L590" s="5">
        <v>242.89</v>
      </c>
      <c r="M590" s="5">
        <v>242.89</v>
      </c>
      <c r="N590" s="5">
        <v>144.71</v>
      </c>
      <c r="O590" s="5">
        <v>98.18</v>
      </c>
      <c r="P590" s="4">
        <f>--AND(OR(Dashboard!$A$10="All",C590=Dashboard!$A$10),OR(Dashboard!$A$14="All",F590=Dashboard!$A$14),OR(Dashboard!$A$18="All",G590=Dashboard!$A$18),OR(Dashboard!$A$22="All",I590=Dashboard!$A$22))</f>
        <v>1</v>
      </c>
    </row>
    <row r="591" spans="1:16" ht="15.75" customHeight="1">
      <c r="A591" s="4" t="s">
        <v>797</v>
      </c>
      <c r="B591" s="6">
        <v>45351</v>
      </c>
      <c r="C591" s="4">
        <v>2024</v>
      </c>
      <c r="D591" s="4">
        <v>2</v>
      </c>
      <c r="E591" s="4" t="s">
        <v>70</v>
      </c>
      <c r="F591" s="4" t="s">
        <v>5</v>
      </c>
      <c r="G591" s="4" t="s">
        <v>12</v>
      </c>
      <c r="H591" s="4" t="s">
        <v>92</v>
      </c>
      <c r="I591" s="4" t="s">
        <v>7</v>
      </c>
      <c r="J591" s="4" t="s">
        <v>166</v>
      </c>
      <c r="K591" s="4">
        <v>2</v>
      </c>
      <c r="L591" s="5">
        <v>232.47</v>
      </c>
      <c r="M591" s="5">
        <v>464.94</v>
      </c>
      <c r="N591" s="5">
        <v>266.18</v>
      </c>
      <c r="O591" s="5">
        <v>198.76</v>
      </c>
      <c r="P591" s="4">
        <f>--AND(OR(Dashboard!$A$10="All",C591=Dashboard!$A$10),OR(Dashboard!$A$14="All",F591=Dashboard!$A$14),OR(Dashboard!$A$18="All",G591=Dashboard!$A$18),OR(Dashboard!$A$22="All",I591=Dashboard!$A$22))</f>
        <v>1</v>
      </c>
    </row>
    <row r="592" spans="1:16" ht="15.75" customHeight="1">
      <c r="A592" s="4" t="s">
        <v>798</v>
      </c>
      <c r="B592" s="6">
        <v>45388</v>
      </c>
      <c r="C592" s="4">
        <v>2024</v>
      </c>
      <c r="D592" s="4">
        <v>4</v>
      </c>
      <c r="E592" s="4" t="s">
        <v>106</v>
      </c>
      <c r="F592" s="4" t="s">
        <v>8</v>
      </c>
      <c r="G592" s="4" t="s">
        <v>9</v>
      </c>
      <c r="H592" s="4" t="s">
        <v>35</v>
      </c>
      <c r="I592" s="4" t="s">
        <v>7</v>
      </c>
      <c r="J592" s="4" t="s">
        <v>417</v>
      </c>
      <c r="K592" s="4">
        <v>6</v>
      </c>
      <c r="L592" s="5">
        <v>49.24</v>
      </c>
      <c r="M592" s="5">
        <v>295.44</v>
      </c>
      <c r="N592" s="5">
        <v>143.41999999999999</v>
      </c>
      <c r="O592" s="5">
        <v>152.02000000000001</v>
      </c>
      <c r="P592" s="4">
        <f>--AND(OR(Dashboard!$A$10="All",C592=Dashboard!$A$10),OR(Dashboard!$A$14="All",F592=Dashboard!$A$14),OR(Dashboard!$A$18="All",G592=Dashboard!$A$18),OR(Dashboard!$A$22="All",I592=Dashboard!$A$22))</f>
        <v>1</v>
      </c>
    </row>
    <row r="593" spans="1:16" ht="15.75" customHeight="1">
      <c r="A593" s="4" t="s">
        <v>799</v>
      </c>
      <c r="B593" s="6">
        <v>45827</v>
      </c>
      <c r="C593" s="4">
        <v>2025</v>
      </c>
      <c r="D593" s="4">
        <v>6</v>
      </c>
      <c r="E593" s="4" t="s">
        <v>34</v>
      </c>
      <c r="F593" s="4" t="s">
        <v>14</v>
      </c>
      <c r="G593" s="4" t="s">
        <v>9</v>
      </c>
      <c r="H593" s="4" t="s">
        <v>71</v>
      </c>
      <c r="I593" s="4" t="s">
        <v>13</v>
      </c>
      <c r="J593" s="4" t="s">
        <v>111</v>
      </c>
      <c r="K593" s="4">
        <v>2</v>
      </c>
      <c r="L593" s="5">
        <v>45.83</v>
      </c>
      <c r="M593" s="5">
        <v>91.66</v>
      </c>
      <c r="N593" s="5">
        <v>46.48</v>
      </c>
      <c r="O593" s="5">
        <v>45.18</v>
      </c>
      <c r="P593" s="4">
        <f>--AND(OR(Dashboard!$A$10="All",C593=Dashboard!$A$10),OR(Dashboard!$A$14="All",F593=Dashboard!$A$14),OR(Dashboard!$A$18="All",G593=Dashboard!$A$18),OR(Dashboard!$A$22="All",I593=Dashboard!$A$22))</f>
        <v>1</v>
      </c>
    </row>
    <row r="594" spans="1:16" ht="15.75" customHeight="1">
      <c r="A594" s="4" t="s">
        <v>800</v>
      </c>
      <c r="B594" s="6">
        <v>45900</v>
      </c>
      <c r="C594" s="4">
        <v>2025</v>
      </c>
      <c r="D594" s="4">
        <v>8</v>
      </c>
      <c r="E594" s="4" t="s">
        <v>67</v>
      </c>
      <c r="F594" s="4" t="s">
        <v>5</v>
      </c>
      <c r="G594" s="4" t="s">
        <v>6</v>
      </c>
      <c r="H594" s="4" t="s">
        <v>98</v>
      </c>
      <c r="I594" s="4" t="s">
        <v>7</v>
      </c>
      <c r="J594" s="4" t="s">
        <v>485</v>
      </c>
      <c r="K594" s="4">
        <v>2</v>
      </c>
      <c r="L594" s="5">
        <v>93.36</v>
      </c>
      <c r="M594" s="5">
        <v>186.72</v>
      </c>
      <c r="N594" s="5">
        <v>127.98</v>
      </c>
      <c r="O594" s="5">
        <v>58.74</v>
      </c>
      <c r="P594" s="4">
        <f>--AND(OR(Dashboard!$A$10="All",C594=Dashboard!$A$10),OR(Dashboard!$A$14="All",F594=Dashboard!$A$14),OR(Dashboard!$A$18="All",G594=Dashboard!$A$18),OR(Dashboard!$A$22="All",I594=Dashboard!$A$22))</f>
        <v>1</v>
      </c>
    </row>
    <row r="595" spans="1:16" ht="15.75" customHeight="1">
      <c r="A595" s="4" t="s">
        <v>801</v>
      </c>
      <c r="B595" s="6">
        <v>45574</v>
      </c>
      <c r="C595" s="4">
        <v>2024</v>
      </c>
      <c r="D595" s="4">
        <v>10</v>
      </c>
      <c r="E595" s="4" t="s">
        <v>120</v>
      </c>
      <c r="F595" s="4" t="s">
        <v>14</v>
      </c>
      <c r="G595" s="4" t="s">
        <v>12</v>
      </c>
      <c r="H595" s="4" t="s">
        <v>127</v>
      </c>
      <c r="I595" s="4" t="s">
        <v>10</v>
      </c>
      <c r="J595" s="4" t="s">
        <v>491</v>
      </c>
      <c r="K595" s="4">
        <v>3</v>
      </c>
      <c r="L595" s="5">
        <v>182.12</v>
      </c>
      <c r="M595" s="5">
        <v>546.36</v>
      </c>
      <c r="N595" s="5">
        <v>321.89</v>
      </c>
      <c r="O595" s="5">
        <v>224.47</v>
      </c>
      <c r="P595" s="4">
        <f>--AND(OR(Dashboard!$A$10="All",C595=Dashboard!$A$10),OR(Dashboard!$A$14="All",F595=Dashboard!$A$14),OR(Dashboard!$A$18="All",G595=Dashboard!$A$18),OR(Dashboard!$A$22="All",I595=Dashboard!$A$22))</f>
        <v>1</v>
      </c>
    </row>
    <row r="596" spans="1:16" ht="15.75" customHeight="1">
      <c r="A596" s="4" t="s">
        <v>802</v>
      </c>
      <c r="B596" s="6">
        <v>45497</v>
      </c>
      <c r="C596" s="4">
        <v>2024</v>
      </c>
      <c r="D596" s="4">
        <v>7</v>
      </c>
      <c r="E596" s="4" t="s">
        <v>63</v>
      </c>
      <c r="F596" s="4" t="s">
        <v>8</v>
      </c>
      <c r="G596" s="4" t="s">
        <v>9</v>
      </c>
      <c r="H596" s="4" t="s">
        <v>35</v>
      </c>
      <c r="I596" s="4" t="s">
        <v>13</v>
      </c>
      <c r="J596" s="4" t="s">
        <v>125</v>
      </c>
      <c r="K596" s="4">
        <v>7</v>
      </c>
      <c r="L596" s="5">
        <v>41.47</v>
      </c>
      <c r="M596" s="5">
        <v>290.29000000000002</v>
      </c>
      <c r="N596" s="5">
        <v>148.9</v>
      </c>
      <c r="O596" s="5">
        <v>141.38999999999999</v>
      </c>
      <c r="P596" s="4">
        <f>--AND(OR(Dashboard!$A$10="All",C596=Dashboard!$A$10),OR(Dashboard!$A$14="All",F596=Dashboard!$A$14),OR(Dashboard!$A$18="All",G596=Dashboard!$A$18),OR(Dashboard!$A$22="All",I596=Dashboard!$A$22))</f>
        <v>1</v>
      </c>
    </row>
    <row r="597" spans="1:16" ht="15.75" customHeight="1">
      <c r="A597" s="4" t="s">
        <v>803</v>
      </c>
      <c r="B597" s="6">
        <v>45658</v>
      </c>
      <c r="C597" s="4">
        <v>2025</v>
      </c>
      <c r="D597" s="4">
        <v>1</v>
      </c>
      <c r="E597" s="4" t="s">
        <v>30</v>
      </c>
      <c r="F597" s="4" t="s">
        <v>5</v>
      </c>
      <c r="G597" s="4" t="s">
        <v>12</v>
      </c>
      <c r="H597" s="4" t="s">
        <v>127</v>
      </c>
      <c r="I597" s="4" t="s">
        <v>10</v>
      </c>
      <c r="J597" s="4" t="s">
        <v>218</v>
      </c>
      <c r="K597" s="4">
        <v>4</v>
      </c>
      <c r="L597" s="5">
        <v>236.81</v>
      </c>
      <c r="M597" s="5">
        <v>947.24</v>
      </c>
      <c r="N597" s="5">
        <v>552.96</v>
      </c>
      <c r="O597" s="5">
        <v>394.28</v>
      </c>
      <c r="P597" s="4">
        <f>--AND(OR(Dashboard!$A$10="All",C597=Dashboard!$A$10),OR(Dashboard!$A$14="All",F597=Dashboard!$A$14),OR(Dashboard!$A$18="All",G597=Dashboard!$A$18),OR(Dashboard!$A$22="All",I597=Dashboard!$A$22))</f>
        <v>1</v>
      </c>
    </row>
    <row r="598" spans="1:16" ht="15.75" customHeight="1">
      <c r="A598" s="4" t="s">
        <v>804</v>
      </c>
      <c r="B598" s="6">
        <v>45628</v>
      </c>
      <c r="C598" s="4">
        <v>2024</v>
      </c>
      <c r="D598" s="4">
        <v>12</v>
      </c>
      <c r="E598" s="4" t="s">
        <v>57</v>
      </c>
      <c r="F598" s="4" t="s">
        <v>5</v>
      </c>
      <c r="G598" s="4" t="s">
        <v>6</v>
      </c>
      <c r="H598" s="4" t="s">
        <v>114</v>
      </c>
      <c r="I598" s="4" t="s">
        <v>13</v>
      </c>
      <c r="J598" s="4" t="s">
        <v>268</v>
      </c>
      <c r="K598" s="4">
        <v>4</v>
      </c>
      <c r="L598" s="5">
        <v>123.99</v>
      </c>
      <c r="M598" s="5">
        <v>495.96</v>
      </c>
      <c r="N598" s="5">
        <v>324.10000000000002</v>
      </c>
      <c r="O598" s="5">
        <v>171.86</v>
      </c>
      <c r="P598" s="4">
        <f>--AND(OR(Dashboard!$A$10="All",C598=Dashboard!$A$10),OR(Dashboard!$A$14="All",F598=Dashboard!$A$14),OR(Dashboard!$A$18="All",G598=Dashboard!$A$18),OR(Dashboard!$A$22="All",I598=Dashboard!$A$22))</f>
        <v>1</v>
      </c>
    </row>
    <row r="599" spans="1:16" ht="15.75" customHeight="1">
      <c r="A599" s="4" t="s">
        <v>805</v>
      </c>
      <c r="B599" s="6">
        <v>45363</v>
      </c>
      <c r="C599" s="4">
        <v>2024</v>
      </c>
      <c r="D599" s="4">
        <v>3</v>
      </c>
      <c r="E599" s="4" t="s">
        <v>100</v>
      </c>
      <c r="F599" s="4" t="s">
        <v>8</v>
      </c>
      <c r="G599" s="4" t="s">
        <v>9</v>
      </c>
      <c r="H599" s="4" t="s">
        <v>71</v>
      </c>
      <c r="I599" s="4" t="s">
        <v>10</v>
      </c>
      <c r="J599" s="4" t="s">
        <v>216</v>
      </c>
      <c r="K599" s="4">
        <v>5</v>
      </c>
      <c r="L599" s="5">
        <v>35.6</v>
      </c>
      <c r="M599" s="5">
        <v>178</v>
      </c>
      <c r="N599" s="5">
        <v>92.58</v>
      </c>
      <c r="O599" s="5">
        <v>85.42</v>
      </c>
      <c r="P599" s="4">
        <f>--AND(OR(Dashboard!$A$10="All",C599=Dashboard!$A$10),OR(Dashboard!$A$14="All",F599=Dashboard!$A$14),OR(Dashboard!$A$18="All",G599=Dashboard!$A$18),OR(Dashboard!$A$22="All",I599=Dashboard!$A$22))</f>
        <v>1</v>
      </c>
    </row>
    <row r="600" spans="1:16" ht="15.75" customHeight="1">
      <c r="A600" s="4" t="s">
        <v>806</v>
      </c>
      <c r="B600" s="6">
        <v>45585</v>
      </c>
      <c r="C600" s="4">
        <v>2024</v>
      </c>
      <c r="D600" s="4">
        <v>10</v>
      </c>
      <c r="E600" s="4" t="s">
        <v>120</v>
      </c>
      <c r="F600" s="4" t="s">
        <v>8</v>
      </c>
      <c r="G600" s="4" t="s">
        <v>12</v>
      </c>
      <c r="H600" s="4" t="s">
        <v>86</v>
      </c>
      <c r="I600" s="4" t="s">
        <v>7</v>
      </c>
      <c r="J600" s="4" t="s">
        <v>362</v>
      </c>
      <c r="K600" s="4">
        <v>1</v>
      </c>
      <c r="L600" s="5">
        <v>247.81</v>
      </c>
      <c r="M600" s="5">
        <v>247.81</v>
      </c>
      <c r="N600" s="5">
        <v>145.41</v>
      </c>
      <c r="O600" s="5">
        <v>102.4</v>
      </c>
      <c r="P600" s="4">
        <f>--AND(OR(Dashboard!$A$10="All",C600=Dashboard!$A$10),OR(Dashboard!$A$14="All",F600=Dashboard!$A$14),OR(Dashboard!$A$18="All",G600=Dashboard!$A$18),OR(Dashboard!$A$22="All",I600=Dashboard!$A$22))</f>
        <v>1</v>
      </c>
    </row>
    <row r="601" spans="1:16" ht="15.75" customHeight="1">
      <c r="A601" s="4" t="s">
        <v>807</v>
      </c>
      <c r="B601" s="6">
        <v>45404</v>
      </c>
      <c r="C601" s="4">
        <v>2024</v>
      </c>
      <c r="D601" s="4">
        <v>4</v>
      </c>
      <c r="E601" s="4" t="s">
        <v>106</v>
      </c>
      <c r="F601" s="4" t="s">
        <v>11</v>
      </c>
      <c r="G601" s="4" t="s">
        <v>9</v>
      </c>
      <c r="H601" s="4" t="s">
        <v>142</v>
      </c>
      <c r="I601" s="4" t="s">
        <v>7</v>
      </c>
      <c r="J601" s="4" t="s">
        <v>211</v>
      </c>
      <c r="K601" s="4">
        <v>9</v>
      </c>
      <c r="L601" s="5">
        <v>66.45</v>
      </c>
      <c r="M601" s="5">
        <v>598.04999999999995</v>
      </c>
      <c r="N601" s="5">
        <v>291.48</v>
      </c>
      <c r="O601" s="5">
        <v>306.57</v>
      </c>
      <c r="P601" s="4">
        <f>--AND(OR(Dashboard!$A$10="All",C601=Dashboard!$A$10),OR(Dashboard!$A$14="All",F601=Dashboard!$A$14),OR(Dashboard!$A$18="All",G601=Dashboard!$A$18),OR(Dashboard!$A$22="All",I601=Dashboard!$A$22))</f>
        <v>1</v>
      </c>
    </row>
    <row r="602" spans="1:16" ht="15.75" customHeight="1">
      <c r="A602" s="4" t="s">
        <v>808</v>
      </c>
      <c r="B602" s="6">
        <v>45503</v>
      </c>
      <c r="C602" s="4">
        <v>2024</v>
      </c>
      <c r="D602" s="4">
        <v>7</v>
      </c>
      <c r="E602" s="4" t="s">
        <v>63</v>
      </c>
      <c r="F602" s="4" t="s">
        <v>14</v>
      </c>
      <c r="G602" s="4" t="s">
        <v>12</v>
      </c>
      <c r="H602" s="4" t="s">
        <v>86</v>
      </c>
      <c r="I602" s="4" t="s">
        <v>7</v>
      </c>
      <c r="J602" s="4" t="s">
        <v>270</v>
      </c>
      <c r="K602" s="4">
        <v>11</v>
      </c>
      <c r="L602" s="5">
        <v>308.08999999999997</v>
      </c>
      <c r="M602" s="5">
        <v>3388.99</v>
      </c>
      <c r="N602" s="5">
        <v>1948.4</v>
      </c>
      <c r="O602" s="5">
        <v>1440.59</v>
      </c>
      <c r="P602" s="4">
        <f>--AND(OR(Dashboard!$A$10="All",C602=Dashboard!$A$10),OR(Dashboard!$A$14="All",F602=Dashboard!$A$14),OR(Dashboard!$A$18="All",G602=Dashboard!$A$18),OR(Dashboard!$A$22="All",I602=Dashboard!$A$22))</f>
        <v>1</v>
      </c>
    </row>
    <row r="603" spans="1:16" ht="15.75" customHeight="1">
      <c r="A603" s="4" t="s">
        <v>809</v>
      </c>
      <c r="B603" s="6">
        <v>45932</v>
      </c>
      <c r="C603" s="4">
        <v>2025</v>
      </c>
      <c r="D603" s="4">
        <v>10</v>
      </c>
      <c r="E603" s="4" t="s">
        <v>120</v>
      </c>
      <c r="F603" s="4" t="s">
        <v>8</v>
      </c>
      <c r="G603" s="4" t="s">
        <v>12</v>
      </c>
      <c r="H603" s="4" t="s">
        <v>86</v>
      </c>
      <c r="I603" s="4" t="s">
        <v>10</v>
      </c>
      <c r="J603" s="4" t="s">
        <v>202</v>
      </c>
      <c r="K603" s="4">
        <v>1</v>
      </c>
      <c r="L603" s="5">
        <v>190.99</v>
      </c>
      <c r="M603" s="5">
        <v>190.99</v>
      </c>
      <c r="N603" s="5">
        <v>113.42</v>
      </c>
      <c r="O603" s="5">
        <v>77.569999999999993</v>
      </c>
      <c r="P603" s="4">
        <f>--AND(OR(Dashboard!$A$10="All",C603=Dashboard!$A$10),OR(Dashboard!$A$14="All",F603=Dashboard!$A$14),OR(Dashboard!$A$18="All",G603=Dashboard!$A$18),OR(Dashboard!$A$22="All",I603=Dashboard!$A$22))</f>
        <v>1</v>
      </c>
    </row>
    <row r="604" spans="1:16" ht="15.75" customHeight="1">
      <c r="A604" s="4" t="s">
        <v>810</v>
      </c>
      <c r="B604" s="6">
        <v>46011</v>
      </c>
      <c r="C604" s="4">
        <v>2025</v>
      </c>
      <c r="D604" s="4">
        <v>12</v>
      </c>
      <c r="E604" s="4" t="s">
        <v>57</v>
      </c>
      <c r="F604" s="4" t="s">
        <v>8</v>
      </c>
      <c r="G604" s="4" t="s">
        <v>6</v>
      </c>
      <c r="H604" s="4" t="s">
        <v>136</v>
      </c>
      <c r="I604" s="4" t="s">
        <v>7</v>
      </c>
      <c r="J604" s="4" t="s">
        <v>232</v>
      </c>
      <c r="K604" s="4">
        <v>1</v>
      </c>
      <c r="L604" s="5">
        <v>104.14</v>
      </c>
      <c r="M604" s="5">
        <v>104.14</v>
      </c>
      <c r="N604" s="5">
        <v>69.16</v>
      </c>
      <c r="O604" s="5">
        <v>34.979999999999997</v>
      </c>
      <c r="P604" s="4">
        <f>--AND(OR(Dashboard!$A$10="All",C604=Dashboard!$A$10),OR(Dashboard!$A$14="All",F604=Dashboard!$A$14),OR(Dashboard!$A$18="All",G604=Dashboard!$A$18),OR(Dashboard!$A$22="All",I604=Dashboard!$A$22))</f>
        <v>1</v>
      </c>
    </row>
    <row r="605" spans="1:16" ht="15.75" customHeight="1">
      <c r="A605" s="4" t="s">
        <v>811</v>
      </c>
      <c r="B605" s="6">
        <v>45299</v>
      </c>
      <c r="C605" s="4">
        <v>2024</v>
      </c>
      <c r="D605" s="4">
        <v>1</v>
      </c>
      <c r="E605" s="4" t="s">
        <v>30</v>
      </c>
      <c r="F605" s="4" t="s">
        <v>5</v>
      </c>
      <c r="G605" s="4" t="s">
        <v>9</v>
      </c>
      <c r="H605" s="4" t="s">
        <v>142</v>
      </c>
      <c r="I605" s="4" t="s">
        <v>7</v>
      </c>
      <c r="J605" s="4" t="s">
        <v>159</v>
      </c>
      <c r="K605" s="4">
        <v>2</v>
      </c>
      <c r="L605" s="5">
        <v>37.33</v>
      </c>
      <c r="M605" s="5">
        <v>74.66</v>
      </c>
      <c r="N605" s="5">
        <v>35.64</v>
      </c>
      <c r="O605" s="5">
        <v>39.020000000000003</v>
      </c>
      <c r="P605" s="4">
        <f>--AND(OR(Dashboard!$A$10="All",C605=Dashboard!$A$10),OR(Dashboard!$A$14="All",F605=Dashboard!$A$14),OR(Dashboard!$A$18="All",G605=Dashboard!$A$18),OR(Dashboard!$A$22="All",I605=Dashboard!$A$22))</f>
        <v>1</v>
      </c>
    </row>
    <row r="606" spans="1:16" ht="15.75" customHeight="1">
      <c r="A606" s="4" t="s">
        <v>812</v>
      </c>
      <c r="B606" s="6">
        <v>45746</v>
      </c>
      <c r="C606" s="4">
        <v>2025</v>
      </c>
      <c r="D606" s="4">
        <v>3</v>
      </c>
      <c r="E606" s="4" t="s">
        <v>100</v>
      </c>
      <c r="F606" s="4" t="s">
        <v>8</v>
      </c>
      <c r="G606" s="4" t="s">
        <v>9</v>
      </c>
      <c r="H606" s="4" t="s">
        <v>71</v>
      </c>
      <c r="I606" s="4" t="s">
        <v>13</v>
      </c>
      <c r="J606" s="4" t="s">
        <v>207</v>
      </c>
      <c r="K606" s="4">
        <v>5</v>
      </c>
      <c r="L606" s="5">
        <v>62.05</v>
      </c>
      <c r="M606" s="5">
        <v>310.25</v>
      </c>
      <c r="N606" s="5">
        <v>161.96</v>
      </c>
      <c r="O606" s="5">
        <v>148.29</v>
      </c>
      <c r="P606" s="4">
        <f>--AND(OR(Dashboard!$A$10="All",C606=Dashboard!$A$10),OR(Dashboard!$A$14="All",F606=Dashboard!$A$14),OR(Dashboard!$A$18="All",G606=Dashboard!$A$18),OR(Dashboard!$A$22="All",I606=Dashboard!$A$22))</f>
        <v>1</v>
      </c>
    </row>
    <row r="607" spans="1:16" ht="15.75" customHeight="1">
      <c r="A607" s="4" t="s">
        <v>813</v>
      </c>
      <c r="B607" s="6">
        <v>45649</v>
      </c>
      <c r="C607" s="4">
        <v>2024</v>
      </c>
      <c r="D607" s="4">
        <v>12</v>
      </c>
      <c r="E607" s="4" t="s">
        <v>57</v>
      </c>
      <c r="F607" s="4" t="s">
        <v>8</v>
      </c>
      <c r="G607" s="4" t="s">
        <v>9</v>
      </c>
      <c r="H607" s="4" t="s">
        <v>64</v>
      </c>
      <c r="I607" s="4" t="s">
        <v>13</v>
      </c>
      <c r="J607" s="4" t="s">
        <v>247</v>
      </c>
      <c r="K607" s="4">
        <v>3</v>
      </c>
      <c r="L607" s="5">
        <v>49.44</v>
      </c>
      <c r="M607" s="5">
        <v>148.32</v>
      </c>
      <c r="N607" s="5">
        <v>72.86</v>
      </c>
      <c r="O607" s="5">
        <v>75.459999999999994</v>
      </c>
      <c r="P607" s="4">
        <f>--AND(OR(Dashboard!$A$10="All",C607=Dashboard!$A$10),OR(Dashboard!$A$14="All",F607=Dashboard!$A$14),OR(Dashboard!$A$18="All",G607=Dashboard!$A$18),OR(Dashboard!$A$22="All",I607=Dashboard!$A$22))</f>
        <v>1</v>
      </c>
    </row>
    <row r="608" spans="1:16" ht="15.75" customHeight="1">
      <c r="A608" s="4" t="s">
        <v>814</v>
      </c>
      <c r="B608" s="6">
        <v>45687</v>
      </c>
      <c r="C608" s="4">
        <v>2025</v>
      </c>
      <c r="D608" s="4">
        <v>1</v>
      </c>
      <c r="E608" s="4" t="s">
        <v>30</v>
      </c>
      <c r="F608" s="4" t="s">
        <v>8</v>
      </c>
      <c r="G608" s="4" t="s">
        <v>6</v>
      </c>
      <c r="H608" s="4" t="s">
        <v>136</v>
      </c>
      <c r="I608" s="4" t="s">
        <v>7</v>
      </c>
      <c r="J608" s="4" t="s">
        <v>181</v>
      </c>
      <c r="K608" s="4">
        <v>3</v>
      </c>
      <c r="L608" s="5">
        <v>212.96</v>
      </c>
      <c r="M608" s="5">
        <v>638.88</v>
      </c>
      <c r="N608" s="5">
        <v>416.8</v>
      </c>
      <c r="O608" s="5">
        <v>222.08</v>
      </c>
      <c r="P608" s="4">
        <f>--AND(OR(Dashboard!$A$10="All",C608=Dashboard!$A$10),OR(Dashboard!$A$14="All",F608=Dashboard!$A$14),OR(Dashboard!$A$18="All",G608=Dashboard!$A$18),OR(Dashboard!$A$22="All",I608=Dashboard!$A$22))</f>
        <v>1</v>
      </c>
    </row>
    <row r="609" spans="1:16" ht="15.75" customHeight="1">
      <c r="A609" s="4" t="s">
        <v>815</v>
      </c>
      <c r="B609" s="6">
        <v>45418</v>
      </c>
      <c r="C609" s="4">
        <v>2024</v>
      </c>
      <c r="D609" s="4">
        <v>5</v>
      </c>
      <c r="E609" s="4" t="s">
        <v>108</v>
      </c>
      <c r="F609" s="4" t="s">
        <v>5</v>
      </c>
      <c r="G609" s="4" t="s">
        <v>9</v>
      </c>
      <c r="H609" s="4" t="s">
        <v>71</v>
      </c>
      <c r="I609" s="4" t="s">
        <v>7</v>
      </c>
      <c r="J609" s="4" t="s">
        <v>207</v>
      </c>
      <c r="K609" s="4">
        <v>5</v>
      </c>
      <c r="L609" s="5">
        <v>63.03</v>
      </c>
      <c r="M609" s="5">
        <v>315.14999999999998</v>
      </c>
      <c r="N609" s="5">
        <v>164.96</v>
      </c>
      <c r="O609" s="5">
        <v>150.19</v>
      </c>
      <c r="P609" s="4">
        <f>--AND(OR(Dashboard!$A$10="All",C609=Dashboard!$A$10),OR(Dashboard!$A$14="All",F609=Dashboard!$A$14),OR(Dashboard!$A$18="All",G609=Dashboard!$A$18),OR(Dashboard!$A$22="All",I609=Dashboard!$A$22))</f>
        <v>1</v>
      </c>
    </row>
    <row r="610" spans="1:16" ht="15.75" customHeight="1">
      <c r="A610" s="4" t="s">
        <v>816</v>
      </c>
      <c r="B610" s="6">
        <v>45612</v>
      </c>
      <c r="C610" s="4">
        <v>2024</v>
      </c>
      <c r="D610" s="4">
        <v>11</v>
      </c>
      <c r="E610" s="4" t="s">
        <v>89</v>
      </c>
      <c r="F610" s="4" t="s">
        <v>5</v>
      </c>
      <c r="G610" s="4" t="s">
        <v>6</v>
      </c>
      <c r="H610" s="4" t="s">
        <v>54</v>
      </c>
      <c r="I610" s="4" t="s">
        <v>13</v>
      </c>
      <c r="J610" s="4" t="s">
        <v>146</v>
      </c>
      <c r="K610" s="4">
        <v>5</v>
      </c>
      <c r="L610" s="5">
        <v>146.01</v>
      </c>
      <c r="M610" s="5">
        <v>730.05</v>
      </c>
      <c r="N610" s="5">
        <v>498.73</v>
      </c>
      <c r="O610" s="5">
        <v>231.32</v>
      </c>
      <c r="P610" s="4">
        <f>--AND(OR(Dashboard!$A$10="All",C610=Dashboard!$A$10),OR(Dashboard!$A$14="All",F610=Dashboard!$A$14),OR(Dashboard!$A$18="All",G610=Dashboard!$A$18),OR(Dashboard!$A$22="All",I610=Dashboard!$A$22))</f>
        <v>1</v>
      </c>
    </row>
    <row r="611" spans="1:16" ht="15.75" customHeight="1">
      <c r="A611" s="4" t="s">
        <v>817</v>
      </c>
      <c r="B611" s="6">
        <v>45626</v>
      </c>
      <c r="C611" s="4">
        <v>2024</v>
      </c>
      <c r="D611" s="4">
        <v>11</v>
      </c>
      <c r="E611" s="4" t="s">
        <v>89</v>
      </c>
      <c r="F611" s="4" t="s">
        <v>8</v>
      </c>
      <c r="G611" s="4" t="s">
        <v>9</v>
      </c>
      <c r="H611" s="4" t="s">
        <v>110</v>
      </c>
      <c r="I611" s="4" t="s">
        <v>10</v>
      </c>
      <c r="J611" s="4" t="s">
        <v>211</v>
      </c>
      <c r="K611" s="4">
        <v>2</v>
      </c>
      <c r="L611" s="5">
        <v>29.45</v>
      </c>
      <c r="M611" s="5">
        <v>58.9</v>
      </c>
      <c r="N611" s="5">
        <v>30.35</v>
      </c>
      <c r="O611" s="5">
        <v>28.55</v>
      </c>
      <c r="P611" s="4">
        <f>--AND(OR(Dashboard!$A$10="All",C611=Dashboard!$A$10),OR(Dashboard!$A$14="All",F611=Dashboard!$A$14),OR(Dashboard!$A$18="All",G611=Dashboard!$A$18),OR(Dashboard!$A$22="All",I611=Dashboard!$A$22))</f>
        <v>1</v>
      </c>
    </row>
    <row r="612" spans="1:16" ht="15.75" customHeight="1">
      <c r="A612" s="4" t="s">
        <v>818</v>
      </c>
      <c r="B612" s="6">
        <v>45995</v>
      </c>
      <c r="C612" s="4">
        <v>2025</v>
      </c>
      <c r="D612" s="4">
        <v>12</v>
      </c>
      <c r="E612" s="4" t="s">
        <v>57</v>
      </c>
      <c r="F612" s="4" t="s">
        <v>5</v>
      </c>
      <c r="G612" s="4" t="s">
        <v>9</v>
      </c>
      <c r="H612" s="4" t="s">
        <v>64</v>
      </c>
      <c r="I612" s="4" t="s">
        <v>7</v>
      </c>
      <c r="J612" s="4" t="s">
        <v>289</v>
      </c>
      <c r="K612" s="4">
        <v>2</v>
      </c>
      <c r="L612" s="5">
        <v>66.8</v>
      </c>
      <c r="M612" s="5">
        <v>133.6</v>
      </c>
      <c r="N612" s="5">
        <v>67.33</v>
      </c>
      <c r="O612" s="5">
        <v>66.27</v>
      </c>
      <c r="P612" s="4">
        <f>--AND(OR(Dashboard!$A$10="All",C612=Dashboard!$A$10),OR(Dashboard!$A$14="All",F612=Dashboard!$A$14),OR(Dashboard!$A$18="All",G612=Dashboard!$A$18),OR(Dashboard!$A$22="All",I612=Dashboard!$A$22))</f>
        <v>1</v>
      </c>
    </row>
    <row r="613" spans="1:16" ht="15.75" customHeight="1">
      <c r="A613" s="4" t="s">
        <v>819</v>
      </c>
      <c r="B613" s="6">
        <v>45559</v>
      </c>
      <c r="C613" s="4">
        <v>2024</v>
      </c>
      <c r="D613" s="4">
        <v>9</v>
      </c>
      <c r="E613" s="4" t="s">
        <v>79</v>
      </c>
      <c r="F613" s="4" t="s">
        <v>11</v>
      </c>
      <c r="G613" s="4" t="s">
        <v>6</v>
      </c>
      <c r="H613" s="4" t="s">
        <v>114</v>
      </c>
      <c r="I613" s="4" t="s">
        <v>10</v>
      </c>
      <c r="J613" s="4" t="s">
        <v>333</v>
      </c>
      <c r="K613" s="4">
        <v>1</v>
      </c>
      <c r="L613" s="5">
        <v>187.67</v>
      </c>
      <c r="M613" s="5">
        <v>187.67</v>
      </c>
      <c r="N613" s="5">
        <v>129.36000000000001</v>
      </c>
      <c r="O613" s="5">
        <v>58.31</v>
      </c>
      <c r="P613" s="4">
        <f>--AND(OR(Dashboard!$A$10="All",C613=Dashboard!$A$10),OR(Dashboard!$A$14="All",F613=Dashboard!$A$14),OR(Dashboard!$A$18="All",G613=Dashboard!$A$18),OR(Dashboard!$A$22="All",I613=Dashboard!$A$22))</f>
        <v>1</v>
      </c>
    </row>
    <row r="614" spans="1:16" ht="15.75" customHeight="1">
      <c r="A614" s="4" t="s">
        <v>820</v>
      </c>
      <c r="B614" s="6">
        <v>45378</v>
      </c>
      <c r="C614" s="4">
        <v>2024</v>
      </c>
      <c r="D614" s="4">
        <v>3</v>
      </c>
      <c r="E614" s="4" t="s">
        <v>100</v>
      </c>
      <c r="F614" s="4" t="s">
        <v>14</v>
      </c>
      <c r="G614" s="4" t="s">
        <v>6</v>
      </c>
      <c r="H614" s="4" t="s">
        <v>54</v>
      </c>
      <c r="I614" s="4" t="s">
        <v>7</v>
      </c>
      <c r="J614" s="4" t="s">
        <v>247</v>
      </c>
      <c r="K614" s="4">
        <v>1</v>
      </c>
      <c r="L614" s="5">
        <v>204.23</v>
      </c>
      <c r="M614" s="5">
        <v>204.23</v>
      </c>
      <c r="N614" s="5">
        <v>133.19999999999999</v>
      </c>
      <c r="O614" s="5">
        <v>71.03</v>
      </c>
      <c r="P614" s="4">
        <f>--AND(OR(Dashboard!$A$10="All",C614=Dashboard!$A$10),OR(Dashboard!$A$14="All",F614=Dashboard!$A$14),OR(Dashboard!$A$18="All",G614=Dashboard!$A$18),OR(Dashboard!$A$22="All",I614=Dashboard!$A$22))</f>
        <v>1</v>
      </c>
    </row>
    <row r="615" spans="1:16" ht="15.75" customHeight="1">
      <c r="A615" s="4" t="s">
        <v>821</v>
      </c>
      <c r="B615" s="6">
        <v>45741</v>
      </c>
      <c r="C615" s="4">
        <v>2025</v>
      </c>
      <c r="D615" s="4">
        <v>3</v>
      </c>
      <c r="E615" s="4" t="s">
        <v>100</v>
      </c>
      <c r="F615" s="4" t="s">
        <v>5</v>
      </c>
      <c r="G615" s="4" t="s">
        <v>12</v>
      </c>
      <c r="H615" s="4" t="s">
        <v>86</v>
      </c>
      <c r="I615" s="4" t="s">
        <v>13</v>
      </c>
      <c r="J615" s="4" t="s">
        <v>346</v>
      </c>
      <c r="K615" s="4">
        <v>2</v>
      </c>
      <c r="L615" s="5">
        <v>199.91</v>
      </c>
      <c r="M615" s="5">
        <v>399.82</v>
      </c>
      <c r="N615" s="5">
        <v>249.23</v>
      </c>
      <c r="O615" s="5">
        <v>150.59</v>
      </c>
      <c r="P615" s="4">
        <f>--AND(OR(Dashboard!$A$10="All",C615=Dashboard!$A$10),OR(Dashboard!$A$14="All",F615=Dashboard!$A$14),OR(Dashboard!$A$18="All",G615=Dashboard!$A$18),OR(Dashboard!$A$22="All",I615=Dashboard!$A$22))</f>
        <v>1</v>
      </c>
    </row>
    <row r="616" spans="1:16" ht="15.75" customHeight="1">
      <c r="A616" s="4" t="s">
        <v>822</v>
      </c>
      <c r="B616" s="6">
        <v>45687</v>
      </c>
      <c r="C616" s="4">
        <v>2025</v>
      </c>
      <c r="D616" s="4">
        <v>1</v>
      </c>
      <c r="E616" s="4" t="s">
        <v>30</v>
      </c>
      <c r="F616" s="4" t="s">
        <v>5</v>
      </c>
      <c r="G616" s="4" t="s">
        <v>9</v>
      </c>
      <c r="H616" s="4" t="s">
        <v>110</v>
      </c>
      <c r="I616" s="4" t="s">
        <v>10</v>
      </c>
      <c r="J616" s="4" t="s">
        <v>261</v>
      </c>
      <c r="K616" s="4">
        <v>3</v>
      </c>
      <c r="L616" s="5">
        <v>55.31</v>
      </c>
      <c r="M616" s="5">
        <v>165.93</v>
      </c>
      <c r="N616" s="5">
        <v>85.04</v>
      </c>
      <c r="O616" s="5">
        <v>80.89</v>
      </c>
      <c r="P616" s="4">
        <f>--AND(OR(Dashboard!$A$10="All",C616=Dashboard!$A$10),OR(Dashboard!$A$14="All",F616=Dashboard!$A$14),OR(Dashboard!$A$18="All",G616=Dashboard!$A$18),OR(Dashboard!$A$22="All",I616=Dashboard!$A$22))</f>
        <v>1</v>
      </c>
    </row>
    <row r="617" spans="1:16" ht="15.75" customHeight="1">
      <c r="A617" s="4" t="s">
        <v>823</v>
      </c>
      <c r="B617" s="6">
        <v>45350</v>
      </c>
      <c r="C617" s="4">
        <v>2024</v>
      </c>
      <c r="D617" s="4">
        <v>2</v>
      </c>
      <c r="E617" s="4" t="s">
        <v>70</v>
      </c>
      <c r="F617" s="4" t="s">
        <v>11</v>
      </c>
      <c r="G617" s="4" t="s">
        <v>9</v>
      </c>
      <c r="H617" s="4" t="s">
        <v>35</v>
      </c>
      <c r="I617" s="4" t="s">
        <v>10</v>
      </c>
      <c r="J617" s="4" t="s">
        <v>371</v>
      </c>
      <c r="K617" s="4">
        <v>2</v>
      </c>
      <c r="L617" s="5">
        <v>39.89</v>
      </c>
      <c r="M617" s="5">
        <v>79.78</v>
      </c>
      <c r="N617" s="5">
        <v>41.23</v>
      </c>
      <c r="O617" s="5">
        <v>38.549999999999997</v>
      </c>
      <c r="P617" s="4">
        <f>--AND(OR(Dashboard!$A$10="All",C617=Dashboard!$A$10),OR(Dashboard!$A$14="All",F617=Dashboard!$A$14),OR(Dashboard!$A$18="All",G617=Dashboard!$A$18),OR(Dashboard!$A$22="All",I617=Dashboard!$A$22))</f>
        <v>1</v>
      </c>
    </row>
    <row r="618" spans="1:16" ht="15.75" customHeight="1">
      <c r="A618" s="4" t="s">
        <v>824</v>
      </c>
      <c r="B618" s="6">
        <v>45569</v>
      </c>
      <c r="C618" s="4">
        <v>2024</v>
      </c>
      <c r="D618" s="4">
        <v>10</v>
      </c>
      <c r="E618" s="4" t="s">
        <v>120</v>
      </c>
      <c r="F618" s="4" t="s">
        <v>5</v>
      </c>
      <c r="G618" s="4" t="s">
        <v>9</v>
      </c>
      <c r="H618" s="4" t="s">
        <v>142</v>
      </c>
      <c r="I618" s="4" t="s">
        <v>13</v>
      </c>
      <c r="J618" s="4" t="s">
        <v>146</v>
      </c>
      <c r="K618" s="4">
        <v>2</v>
      </c>
      <c r="L618" s="5">
        <v>41.68</v>
      </c>
      <c r="M618" s="5">
        <v>83.36</v>
      </c>
      <c r="N618" s="5">
        <v>42.87</v>
      </c>
      <c r="O618" s="5">
        <v>40.49</v>
      </c>
      <c r="P618" s="4">
        <f>--AND(OR(Dashboard!$A$10="All",C618=Dashboard!$A$10),OR(Dashboard!$A$14="All",F618=Dashboard!$A$14),OR(Dashboard!$A$18="All",G618=Dashboard!$A$18),OR(Dashboard!$A$22="All",I618=Dashboard!$A$22))</f>
        <v>1</v>
      </c>
    </row>
    <row r="619" spans="1:16" ht="15.75" customHeight="1">
      <c r="A619" s="4" t="s">
        <v>825</v>
      </c>
      <c r="B619" s="6">
        <v>45760</v>
      </c>
      <c r="C619" s="4">
        <v>2025</v>
      </c>
      <c r="D619" s="4">
        <v>4</v>
      </c>
      <c r="E619" s="4" t="s">
        <v>106</v>
      </c>
      <c r="F619" s="4" t="s">
        <v>5</v>
      </c>
      <c r="G619" s="4" t="s">
        <v>6</v>
      </c>
      <c r="H619" s="4" t="s">
        <v>80</v>
      </c>
      <c r="I619" s="4" t="s">
        <v>7</v>
      </c>
      <c r="J619" s="4" t="s">
        <v>168</v>
      </c>
      <c r="K619" s="4">
        <v>1</v>
      </c>
      <c r="L619" s="5">
        <v>99.32</v>
      </c>
      <c r="M619" s="5">
        <v>99.32</v>
      </c>
      <c r="N619" s="5">
        <v>64.16</v>
      </c>
      <c r="O619" s="5">
        <v>35.159999999999997</v>
      </c>
      <c r="P619" s="4">
        <f>--AND(OR(Dashboard!$A$10="All",C619=Dashboard!$A$10),OR(Dashboard!$A$14="All",F619=Dashboard!$A$14),OR(Dashboard!$A$18="All",G619=Dashboard!$A$18),OR(Dashboard!$A$22="All",I619=Dashboard!$A$22))</f>
        <v>1</v>
      </c>
    </row>
    <row r="620" spans="1:16" ht="15.75" customHeight="1">
      <c r="A620" s="4" t="s">
        <v>826</v>
      </c>
      <c r="B620" s="6">
        <v>45712</v>
      </c>
      <c r="C620" s="4">
        <v>2025</v>
      </c>
      <c r="D620" s="4">
        <v>2</v>
      </c>
      <c r="E620" s="4" t="s">
        <v>70</v>
      </c>
      <c r="F620" s="4" t="s">
        <v>5</v>
      </c>
      <c r="G620" s="4" t="s">
        <v>12</v>
      </c>
      <c r="H620" s="4" t="s">
        <v>124</v>
      </c>
      <c r="I620" s="4" t="s">
        <v>7</v>
      </c>
      <c r="J620" s="4" t="s">
        <v>195</v>
      </c>
      <c r="K620" s="4">
        <v>1</v>
      </c>
      <c r="L620" s="5">
        <v>140.41999999999999</v>
      </c>
      <c r="M620" s="5">
        <v>140.41999999999999</v>
      </c>
      <c r="N620" s="5">
        <v>81.55</v>
      </c>
      <c r="O620" s="5">
        <v>58.87</v>
      </c>
      <c r="P620" s="4">
        <f>--AND(OR(Dashboard!$A$10="All",C620=Dashboard!$A$10),OR(Dashboard!$A$14="All",F620=Dashboard!$A$14),OR(Dashboard!$A$18="All",G620=Dashboard!$A$18),OR(Dashboard!$A$22="All",I620=Dashboard!$A$22))</f>
        <v>1</v>
      </c>
    </row>
    <row r="621" spans="1:16" ht="15.75" customHeight="1">
      <c r="A621" s="4" t="s">
        <v>827</v>
      </c>
      <c r="B621" s="6">
        <v>45939</v>
      </c>
      <c r="C621" s="4">
        <v>2025</v>
      </c>
      <c r="D621" s="4">
        <v>10</v>
      </c>
      <c r="E621" s="4" t="s">
        <v>120</v>
      </c>
      <c r="F621" s="4" t="s">
        <v>5</v>
      </c>
      <c r="G621" s="4" t="s">
        <v>6</v>
      </c>
      <c r="H621" s="4" t="s">
        <v>80</v>
      </c>
      <c r="I621" s="4" t="s">
        <v>7</v>
      </c>
      <c r="J621" s="4" t="s">
        <v>111</v>
      </c>
      <c r="K621" s="4">
        <v>1</v>
      </c>
      <c r="L621" s="5">
        <v>117.56</v>
      </c>
      <c r="M621" s="5">
        <v>117.56</v>
      </c>
      <c r="N621" s="5">
        <v>80.209999999999994</v>
      </c>
      <c r="O621" s="5">
        <v>37.35</v>
      </c>
      <c r="P621" s="4">
        <f>--AND(OR(Dashboard!$A$10="All",C621=Dashboard!$A$10),OR(Dashboard!$A$14="All",F621=Dashboard!$A$14),OR(Dashboard!$A$18="All",G621=Dashboard!$A$18),OR(Dashboard!$A$22="All",I621=Dashboard!$A$22))</f>
        <v>1</v>
      </c>
    </row>
    <row r="622" spans="1:16" ht="15.75" customHeight="1">
      <c r="A622" s="4" t="s">
        <v>828</v>
      </c>
      <c r="B622" s="6">
        <v>45872</v>
      </c>
      <c r="C622" s="4">
        <v>2025</v>
      </c>
      <c r="D622" s="4">
        <v>8</v>
      </c>
      <c r="E622" s="4" t="s">
        <v>67</v>
      </c>
      <c r="F622" s="4" t="s">
        <v>5</v>
      </c>
      <c r="G622" s="4" t="s">
        <v>12</v>
      </c>
      <c r="H622" s="4" t="s">
        <v>124</v>
      </c>
      <c r="I622" s="4" t="s">
        <v>10</v>
      </c>
      <c r="J622" s="4" t="s">
        <v>174</v>
      </c>
      <c r="K622" s="4">
        <v>2</v>
      </c>
      <c r="L622" s="5">
        <v>310.02999999999997</v>
      </c>
      <c r="M622" s="5">
        <v>620.05999999999995</v>
      </c>
      <c r="N622" s="5">
        <v>358.69</v>
      </c>
      <c r="O622" s="5">
        <v>261.37</v>
      </c>
      <c r="P622" s="4">
        <f>--AND(OR(Dashboard!$A$10="All",C622=Dashboard!$A$10),OR(Dashboard!$A$14="All",F622=Dashboard!$A$14),OR(Dashboard!$A$18="All",G622=Dashboard!$A$18),OR(Dashboard!$A$22="All",I622=Dashboard!$A$22))</f>
        <v>1</v>
      </c>
    </row>
    <row r="623" spans="1:16" ht="15.75" customHeight="1">
      <c r="A623" s="4" t="s">
        <v>829</v>
      </c>
      <c r="B623" s="6">
        <v>45591</v>
      </c>
      <c r="C623" s="4">
        <v>2024</v>
      </c>
      <c r="D623" s="4">
        <v>10</v>
      </c>
      <c r="E623" s="4" t="s">
        <v>120</v>
      </c>
      <c r="F623" s="4" t="s">
        <v>5</v>
      </c>
      <c r="G623" s="4" t="s">
        <v>12</v>
      </c>
      <c r="H623" s="4" t="s">
        <v>86</v>
      </c>
      <c r="I623" s="4" t="s">
        <v>10</v>
      </c>
      <c r="J623" s="4" t="s">
        <v>249</v>
      </c>
      <c r="K623" s="4">
        <v>3</v>
      </c>
      <c r="L623" s="5">
        <v>237.15</v>
      </c>
      <c r="M623" s="5">
        <v>711.45</v>
      </c>
      <c r="N623" s="5">
        <v>431.29</v>
      </c>
      <c r="O623" s="5">
        <v>280.16000000000003</v>
      </c>
      <c r="P623" s="4">
        <f>--AND(OR(Dashboard!$A$10="All",C623=Dashboard!$A$10),OR(Dashboard!$A$14="All",F623=Dashboard!$A$14),OR(Dashboard!$A$18="All",G623=Dashboard!$A$18),OR(Dashboard!$A$22="All",I623=Dashboard!$A$22))</f>
        <v>1</v>
      </c>
    </row>
    <row r="624" spans="1:16" ht="15.75" customHeight="1">
      <c r="A624" s="4" t="s">
        <v>830</v>
      </c>
      <c r="B624" s="6">
        <v>45565</v>
      </c>
      <c r="C624" s="4">
        <v>2024</v>
      </c>
      <c r="D624" s="4">
        <v>9</v>
      </c>
      <c r="E624" s="4" t="s">
        <v>79</v>
      </c>
      <c r="F624" s="4" t="s">
        <v>5</v>
      </c>
      <c r="G624" s="4" t="s">
        <v>12</v>
      </c>
      <c r="H624" s="4" t="s">
        <v>58</v>
      </c>
      <c r="I624" s="4" t="s">
        <v>7</v>
      </c>
      <c r="J624" s="4" t="s">
        <v>65</v>
      </c>
      <c r="K624" s="4">
        <v>1</v>
      </c>
      <c r="L624" s="5">
        <v>232.08</v>
      </c>
      <c r="M624" s="5">
        <v>232.08</v>
      </c>
      <c r="N624" s="5">
        <v>141.22999999999999</v>
      </c>
      <c r="O624" s="5">
        <v>90.85</v>
      </c>
      <c r="P624" s="4">
        <f>--AND(OR(Dashboard!$A$10="All",C624=Dashboard!$A$10),OR(Dashboard!$A$14="All",F624=Dashboard!$A$14),OR(Dashboard!$A$18="All",G624=Dashboard!$A$18),OR(Dashboard!$A$22="All",I624=Dashboard!$A$22))</f>
        <v>1</v>
      </c>
    </row>
    <row r="625" spans="1:16" ht="15.75" customHeight="1">
      <c r="A625" s="4" t="s">
        <v>831</v>
      </c>
      <c r="B625" s="6">
        <v>45603</v>
      </c>
      <c r="C625" s="4">
        <v>2024</v>
      </c>
      <c r="D625" s="4">
        <v>11</v>
      </c>
      <c r="E625" s="4" t="s">
        <v>89</v>
      </c>
      <c r="F625" s="4" t="s">
        <v>5</v>
      </c>
      <c r="G625" s="4" t="s">
        <v>9</v>
      </c>
      <c r="H625" s="4" t="s">
        <v>142</v>
      </c>
      <c r="I625" s="4" t="s">
        <v>7</v>
      </c>
      <c r="J625" s="4" t="s">
        <v>270</v>
      </c>
      <c r="K625" s="4">
        <v>2</v>
      </c>
      <c r="L625" s="5">
        <v>33.53</v>
      </c>
      <c r="M625" s="5">
        <v>67.06</v>
      </c>
      <c r="N625" s="5">
        <v>34.1</v>
      </c>
      <c r="O625" s="5">
        <v>32.96</v>
      </c>
      <c r="P625" s="4">
        <f>--AND(OR(Dashboard!$A$10="All",C625=Dashboard!$A$10),OR(Dashboard!$A$14="All",F625=Dashboard!$A$14),OR(Dashboard!$A$18="All",G625=Dashboard!$A$18),OR(Dashboard!$A$22="All",I625=Dashboard!$A$22))</f>
        <v>1</v>
      </c>
    </row>
    <row r="626" spans="1:16" ht="15.75" customHeight="1">
      <c r="A626" s="4" t="s">
        <v>832</v>
      </c>
      <c r="B626" s="6">
        <v>45536</v>
      </c>
      <c r="C626" s="4">
        <v>2024</v>
      </c>
      <c r="D626" s="4">
        <v>9</v>
      </c>
      <c r="E626" s="4" t="s">
        <v>79</v>
      </c>
      <c r="F626" s="4" t="s">
        <v>14</v>
      </c>
      <c r="G626" s="4" t="s">
        <v>6</v>
      </c>
      <c r="H626" s="4" t="s">
        <v>114</v>
      </c>
      <c r="I626" s="4" t="s">
        <v>7</v>
      </c>
      <c r="J626" s="4" t="s">
        <v>348</v>
      </c>
      <c r="K626" s="4">
        <v>1</v>
      </c>
      <c r="L626" s="5">
        <v>123.06</v>
      </c>
      <c r="M626" s="5">
        <v>123.06</v>
      </c>
      <c r="N626" s="5">
        <v>78.239999999999995</v>
      </c>
      <c r="O626" s="5">
        <v>44.82</v>
      </c>
      <c r="P626" s="4">
        <f>--AND(OR(Dashboard!$A$10="All",C626=Dashboard!$A$10),OR(Dashboard!$A$14="All",F626=Dashboard!$A$14),OR(Dashboard!$A$18="All",G626=Dashboard!$A$18),OR(Dashboard!$A$22="All",I626=Dashboard!$A$22))</f>
        <v>1</v>
      </c>
    </row>
    <row r="627" spans="1:16" ht="15.75" customHeight="1">
      <c r="A627" s="4" t="s">
        <v>833</v>
      </c>
      <c r="B627" s="6">
        <v>45693</v>
      </c>
      <c r="C627" s="4">
        <v>2025</v>
      </c>
      <c r="D627" s="4">
        <v>2</v>
      </c>
      <c r="E627" s="4" t="s">
        <v>70</v>
      </c>
      <c r="F627" s="4" t="s">
        <v>8</v>
      </c>
      <c r="G627" s="4" t="s">
        <v>6</v>
      </c>
      <c r="H627" s="4" t="s">
        <v>54</v>
      </c>
      <c r="I627" s="4" t="s">
        <v>7</v>
      </c>
      <c r="J627" s="4" t="s">
        <v>371</v>
      </c>
      <c r="K627" s="4">
        <v>1</v>
      </c>
      <c r="L627" s="5">
        <v>194.86</v>
      </c>
      <c r="M627" s="5">
        <v>194.86</v>
      </c>
      <c r="N627" s="5">
        <v>133.46</v>
      </c>
      <c r="O627" s="5">
        <v>61.4</v>
      </c>
      <c r="P627" s="4">
        <f>--AND(OR(Dashboard!$A$10="All",C627=Dashboard!$A$10),OR(Dashboard!$A$14="All",F627=Dashboard!$A$14),OR(Dashboard!$A$18="All",G627=Dashboard!$A$18),OR(Dashboard!$A$22="All",I627=Dashboard!$A$22))</f>
        <v>1</v>
      </c>
    </row>
    <row r="628" spans="1:16" ht="15.75" customHeight="1">
      <c r="A628" s="4" t="s">
        <v>834</v>
      </c>
      <c r="B628" s="6">
        <v>45915</v>
      </c>
      <c r="C628" s="4">
        <v>2025</v>
      </c>
      <c r="D628" s="4">
        <v>9</v>
      </c>
      <c r="E628" s="4" t="s">
        <v>79</v>
      </c>
      <c r="F628" s="4" t="s">
        <v>5</v>
      </c>
      <c r="G628" s="4" t="s">
        <v>6</v>
      </c>
      <c r="H628" s="4" t="s">
        <v>80</v>
      </c>
      <c r="I628" s="4" t="s">
        <v>7</v>
      </c>
      <c r="J628" s="4" t="s">
        <v>371</v>
      </c>
      <c r="K628" s="4">
        <v>3</v>
      </c>
      <c r="L628" s="5">
        <v>185.95</v>
      </c>
      <c r="M628" s="5">
        <v>557.85</v>
      </c>
      <c r="N628" s="5">
        <v>353.97</v>
      </c>
      <c r="O628" s="5">
        <v>203.88</v>
      </c>
      <c r="P628" s="4">
        <f>--AND(OR(Dashboard!$A$10="All",C628=Dashboard!$A$10),OR(Dashboard!$A$14="All",F628=Dashboard!$A$14),OR(Dashboard!$A$18="All",G628=Dashboard!$A$18),OR(Dashboard!$A$22="All",I628=Dashboard!$A$22))</f>
        <v>1</v>
      </c>
    </row>
    <row r="629" spans="1:16" ht="15.75" customHeight="1">
      <c r="A629" s="4" t="s">
        <v>835</v>
      </c>
      <c r="B629" s="6">
        <v>45930</v>
      </c>
      <c r="C629" s="4">
        <v>2025</v>
      </c>
      <c r="D629" s="4">
        <v>9</v>
      </c>
      <c r="E629" s="4" t="s">
        <v>79</v>
      </c>
      <c r="F629" s="4" t="s">
        <v>11</v>
      </c>
      <c r="G629" s="4" t="s">
        <v>6</v>
      </c>
      <c r="H629" s="4" t="s">
        <v>114</v>
      </c>
      <c r="I629" s="4" t="s">
        <v>10</v>
      </c>
      <c r="J629" s="4" t="s">
        <v>181</v>
      </c>
      <c r="K629" s="4">
        <v>7</v>
      </c>
      <c r="L629" s="5">
        <v>220.48</v>
      </c>
      <c r="M629" s="5">
        <v>1543.36</v>
      </c>
      <c r="N629" s="5">
        <v>968.84</v>
      </c>
      <c r="O629" s="5">
        <v>574.52</v>
      </c>
      <c r="P629" s="4">
        <f>--AND(OR(Dashboard!$A$10="All",C629=Dashboard!$A$10),OR(Dashboard!$A$14="All",F629=Dashboard!$A$14),OR(Dashboard!$A$18="All",G629=Dashboard!$A$18),OR(Dashboard!$A$22="All",I629=Dashboard!$A$22))</f>
        <v>1</v>
      </c>
    </row>
    <row r="630" spans="1:16" ht="15.75" customHeight="1">
      <c r="A630" s="4" t="s">
        <v>836</v>
      </c>
      <c r="B630" s="6">
        <v>45299</v>
      </c>
      <c r="C630" s="4">
        <v>2024</v>
      </c>
      <c r="D630" s="4">
        <v>1</v>
      </c>
      <c r="E630" s="4" t="s">
        <v>30</v>
      </c>
      <c r="F630" s="4" t="s">
        <v>8</v>
      </c>
      <c r="G630" s="4" t="s">
        <v>12</v>
      </c>
      <c r="H630" s="4" t="s">
        <v>127</v>
      </c>
      <c r="I630" s="4" t="s">
        <v>7</v>
      </c>
      <c r="J630" s="4" t="s">
        <v>191</v>
      </c>
      <c r="K630" s="4">
        <v>2</v>
      </c>
      <c r="L630" s="5">
        <v>233.14</v>
      </c>
      <c r="M630" s="5">
        <v>466.28</v>
      </c>
      <c r="N630" s="5">
        <v>265.82</v>
      </c>
      <c r="O630" s="5">
        <v>200.46</v>
      </c>
      <c r="P630" s="4">
        <f>--AND(OR(Dashboard!$A$10="All",C630=Dashboard!$A$10),OR(Dashboard!$A$14="All",F630=Dashboard!$A$14),OR(Dashboard!$A$18="All",G630=Dashboard!$A$18),OR(Dashboard!$A$22="All",I630=Dashboard!$A$22))</f>
        <v>1</v>
      </c>
    </row>
    <row r="631" spans="1:16" ht="15.75" customHeight="1">
      <c r="A631" s="4" t="s">
        <v>837</v>
      </c>
      <c r="B631" s="6">
        <v>45325</v>
      </c>
      <c r="C631" s="4">
        <v>2024</v>
      </c>
      <c r="D631" s="4">
        <v>2</v>
      </c>
      <c r="E631" s="4" t="s">
        <v>70</v>
      </c>
      <c r="F631" s="4" t="s">
        <v>5</v>
      </c>
      <c r="G631" s="4" t="s">
        <v>12</v>
      </c>
      <c r="H631" s="4" t="s">
        <v>86</v>
      </c>
      <c r="I631" s="4" t="s">
        <v>7</v>
      </c>
      <c r="J631" s="4" t="s">
        <v>247</v>
      </c>
      <c r="K631" s="4">
        <v>2</v>
      </c>
      <c r="L631" s="5">
        <v>210.54</v>
      </c>
      <c r="M631" s="5">
        <v>421.08</v>
      </c>
      <c r="N631" s="5">
        <v>249.47</v>
      </c>
      <c r="O631" s="5">
        <v>171.61</v>
      </c>
      <c r="P631" s="4">
        <f>--AND(OR(Dashboard!$A$10="All",C631=Dashboard!$A$10),OR(Dashboard!$A$14="All",F631=Dashboard!$A$14),OR(Dashboard!$A$18="All",G631=Dashboard!$A$18),OR(Dashboard!$A$22="All",I631=Dashboard!$A$22))</f>
        <v>1</v>
      </c>
    </row>
    <row r="632" spans="1:16" ht="15.75" customHeight="1">
      <c r="A632" s="4" t="s">
        <v>838</v>
      </c>
      <c r="B632" s="6">
        <v>45672</v>
      </c>
      <c r="C632" s="4">
        <v>2025</v>
      </c>
      <c r="D632" s="4">
        <v>1</v>
      </c>
      <c r="E632" s="4" t="s">
        <v>30</v>
      </c>
      <c r="F632" s="4" t="s">
        <v>14</v>
      </c>
      <c r="G632" s="4" t="s">
        <v>9</v>
      </c>
      <c r="H632" s="4" t="s">
        <v>110</v>
      </c>
      <c r="I632" s="4" t="s">
        <v>10</v>
      </c>
      <c r="J632" s="4" t="s">
        <v>379</v>
      </c>
      <c r="K632" s="4">
        <v>4</v>
      </c>
      <c r="L632" s="5">
        <v>55.84</v>
      </c>
      <c r="M632" s="5">
        <v>223.36</v>
      </c>
      <c r="N632" s="5">
        <v>111.8</v>
      </c>
      <c r="O632" s="5">
        <v>111.56</v>
      </c>
      <c r="P632" s="4">
        <f>--AND(OR(Dashboard!$A$10="All",C632=Dashboard!$A$10),OR(Dashboard!$A$14="All",F632=Dashboard!$A$14),OR(Dashboard!$A$18="All",G632=Dashboard!$A$18),OR(Dashboard!$A$22="All",I632=Dashboard!$A$22))</f>
        <v>1</v>
      </c>
    </row>
    <row r="633" spans="1:16" ht="15.75" customHeight="1">
      <c r="A633" s="4" t="s">
        <v>839</v>
      </c>
      <c r="B633" s="6">
        <v>45783</v>
      </c>
      <c r="C633" s="4">
        <v>2025</v>
      </c>
      <c r="D633" s="4">
        <v>5</v>
      </c>
      <c r="E633" s="4" t="s">
        <v>108</v>
      </c>
      <c r="F633" s="4" t="s">
        <v>8</v>
      </c>
      <c r="G633" s="4" t="s">
        <v>6</v>
      </c>
      <c r="H633" s="4" t="s">
        <v>98</v>
      </c>
      <c r="I633" s="4" t="s">
        <v>10</v>
      </c>
      <c r="J633" s="4" t="s">
        <v>255</v>
      </c>
      <c r="K633" s="4">
        <v>6</v>
      </c>
      <c r="L633" s="5">
        <v>147.66999999999999</v>
      </c>
      <c r="M633" s="5">
        <v>886.02</v>
      </c>
      <c r="N633" s="5">
        <v>565.4</v>
      </c>
      <c r="O633" s="5">
        <v>320.62</v>
      </c>
      <c r="P633" s="4">
        <f>--AND(OR(Dashboard!$A$10="All",C633=Dashboard!$A$10),OR(Dashboard!$A$14="All",F633=Dashboard!$A$14),OR(Dashboard!$A$18="All",G633=Dashboard!$A$18),OR(Dashboard!$A$22="All",I633=Dashboard!$A$22))</f>
        <v>1</v>
      </c>
    </row>
    <row r="634" spans="1:16" ht="15.75" customHeight="1">
      <c r="A634" s="4" t="s">
        <v>840</v>
      </c>
      <c r="B634" s="6">
        <v>46021</v>
      </c>
      <c r="C634" s="4">
        <v>2025</v>
      </c>
      <c r="D634" s="4">
        <v>12</v>
      </c>
      <c r="E634" s="4" t="s">
        <v>57</v>
      </c>
      <c r="F634" s="4" t="s">
        <v>5</v>
      </c>
      <c r="G634" s="4" t="s">
        <v>12</v>
      </c>
      <c r="H634" s="4" t="s">
        <v>58</v>
      </c>
      <c r="I634" s="4" t="s">
        <v>7</v>
      </c>
      <c r="J634" s="4" t="s">
        <v>333</v>
      </c>
      <c r="K634" s="4">
        <v>2</v>
      </c>
      <c r="L634" s="5">
        <v>230.75</v>
      </c>
      <c r="M634" s="5">
        <v>461.5</v>
      </c>
      <c r="N634" s="5">
        <v>286.05</v>
      </c>
      <c r="O634" s="5">
        <v>175.45</v>
      </c>
      <c r="P634" s="4">
        <f>--AND(OR(Dashboard!$A$10="All",C634=Dashboard!$A$10),OR(Dashboard!$A$14="All",F634=Dashboard!$A$14),OR(Dashboard!$A$18="All",G634=Dashboard!$A$18),OR(Dashboard!$A$22="All",I634=Dashboard!$A$22))</f>
        <v>1</v>
      </c>
    </row>
    <row r="635" spans="1:16" ht="15.75" customHeight="1">
      <c r="A635" s="4" t="s">
        <v>841</v>
      </c>
      <c r="B635" s="6">
        <v>45535</v>
      </c>
      <c r="C635" s="4">
        <v>2024</v>
      </c>
      <c r="D635" s="4">
        <v>8</v>
      </c>
      <c r="E635" s="4" t="s">
        <v>67</v>
      </c>
      <c r="F635" s="4" t="s">
        <v>5</v>
      </c>
      <c r="G635" s="4" t="s">
        <v>6</v>
      </c>
      <c r="H635" s="4" t="s">
        <v>114</v>
      </c>
      <c r="I635" s="4" t="s">
        <v>7</v>
      </c>
      <c r="J635" s="4" t="s">
        <v>455</v>
      </c>
      <c r="K635" s="4">
        <v>2</v>
      </c>
      <c r="L635" s="5">
        <v>87.17</v>
      </c>
      <c r="M635" s="5">
        <v>174.34</v>
      </c>
      <c r="N635" s="5">
        <v>114.15</v>
      </c>
      <c r="O635" s="5">
        <v>60.19</v>
      </c>
      <c r="P635" s="4">
        <f>--AND(OR(Dashboard!$A$10="All",C635=Dashboard!$A$10),OR(Dashboard!$A$14="All",F635=Dashboard!$A$14),OR(Dashboard!$A$18="All",G635=Dashboard!$A$18),OR(Dashboard!$A$22="All",I635=Dashboard!$A$22))</f>
        <v>1</v>
      </c>
    </row>
    <row r="636" spans="1:16" ht="15.75" customHeight="1">
      <c r="A636" s="4" t="s">
        <v>842</v>
      </c>
      <c r="B636" s="6">
        <v>45441</v>
      </c>
      <c r="C636" s="4">
        <v>2024</v>
      </c>
      <c r="D636" s="4">
        <v>5</v>
      </c>
      <c r="E636" s="4" t="s">
        <v>108</v>
      </c>
      <c r="F636" s="4" t="s">
        <v>11</v>
      </c>
      <c r="G636" s="4" t="s">
        <v>9</v>
      </c>
      <c r="H636" s="4" t="s">
        <v>64</v>
      </c>
      <c r="I636" s="4" t="s">
        <v>7</v>
      </c>
      <c r="J636" s="4" t="s">
        <v>186</v>
      </c>
      <c r="K636" s="4">
        <v>9</v>
      </c>
      <c r="L636" s="5">
        <v>23.53</v>
      </c>
      <c r="M636" s="5">
        <v>211.77</v>
      </c>
      <c r="N636" s="5">
        <v>106.21</v>
      </c>
      <c r="O636" s="5">
        <v>105.56</v>
      </c>
      <c r="P636" s="4">
        <f>--AND(OR(Dashboard!$A$10="All",C636=Dashboard!$A$10),OR(Dashboard!$A$14="All",F636=Dashboard!$A$14),OR(Dashboard!$A$18="All",G636=Dashboard!$A$18),OR(Dashboard!$A$22="All",I636=Dashboard!$A$22))</f>
        <v>1</v>
      </c>
    </row>
    <row r="637" spans="1:16" ht="15.75" customHeight="1">
      <c r="A637" s="4" t="s">
        <v>843</v>
      </c>
      <c r="B637" s="6">
        <v>45890</v>
      </c>
      <c r="C637" s="4">
        <v>2025</v>
      </c>
      <c r="D637" s="4">
        <v>8</v>
      </c>
      <c r="E637" s="4" t="s">
        <v>67</v>
      </c>
      <c r="F637" s="4" t="s">
        <v>8</v>
      </c>
      <c r="G637" s="4" t="s">
        <v>12</v>
      </c>
      <c r="H637" s="4" t="s">
        <v>86</v>
      </c>
      <c r="I637" s="4" t="s">
        <v>7</v>
      </c>
      <c r="J637" s="4" t="s">
        <v>55</v>
      </c>
      <c r="K637" s="4">
        <v>3</v>
      </c>
      <c r="L637" s="5">
        <v>281.51</v>
      </c>
      <c r="M637" s="5">
        <v>844.53</v>
      </c>
      <c r="N637" s="5">
        <v>498.32</v>
      </c>
      <c r="O637" s="5">
        <v>346.21</v>
      </c>
      <c r="P637" s="4">
        <f>--AND(OR(Dashboard!$A$10="All",C637=Dashboard!$A$10),OR(Dashboard!$A$14="All",F637=Dashboard!$A$14),OR(Dashboard!$A$18="All",G637=Dashboard!$A$18),OR(Dashboard!$A$22="All",I637=Dashboard!$A$22))</f>
        <v>1</v>
      </c>
    </row>
    <row r="638" spans="1:16" ht="15.75" customHeight="1">
      <c r="A638" s="4" t="s">
        <v>844</v>
      </c>
      <c r="B638" s="6">
        <v>45975</v>
      </c>
      <c r="C638" s="4">
        <v>2025</v>
      </c>
      <c r="D638" s="4">
        <v>11</v>
      </c>
      <c r="E638" s="4" t="s">
        <v>89</v>
      </c>
      <c r="F638" s="4" t="s">
        <v>8</v>
      </c>
      <c r="G638" s="4" t="s">
        <v>9</v>
      </c>
      <c r="H638" s="4" t="s">
        <v>71</v>
      </c>
      <c r="I638" s="4" t="s">
        <v>10</v>
      </c>
      <c r="J638" s="4" t="s">
        <v>402</v>
      </c>
      <c r="K638" s="4">
        <v>1</v>
      </c>
      <c r="L638" s="5">
        <v>33.18</v>
      </c>
      <c r="M638" s="5">
        <v>33.18</v>
      </c>
      <c r="N638" s="5">
        <v>17.27</v>
      </c>
      <c r="O638" s="5">
        <v>15.91</v>
      </c>
      <c r="P638" s="4">
        <f>--AND(OR(Dashboard!$A$10="All",C638=Dashboard!$A$10),OR(Dashboard!$A$14="All",F638=Dashboard!$A$14),OR(Dashboard!$A$18="All",G638=Dashboard!$A$18),OR(Dashboard!$A$22="All",I638=Dashboard!$A$22))</f>
        <v>1</v>
      </c>
    </row>
    <row r="639" spans="1:16" ht="15.75" customHeight="1">
      <c r="A639" s="4" t="s">
        <v>845</v>
      </c>
      <c r="B639" s="6">
        <v>45416</v>
      </c>
      <c r="C639" s="4">
        <v>2024</v>
      </c>
      <c r="D639" s="4">
        <v>5</v>
      </c>
      <c r="E639" s="4" t="s">
        <v>108</v>
      </c>
      <c r="F639" s="4" t="s">
        <v>5</v>
      </c>
      <c r="G639" s="4" t="s">
        <v>9</v>
      </c>
      <c r="H639" s="4" t="s">
        <v>64</v>
      </c>
      <c r="I639" s="4" t="s">
        <v>7</v>
      </c>
      <c r="J639" s="4" t="s">
        <v>166</v>
      </c>
      <c r="K639" s="4">
        <v>2</v>
      </c>
      <c r="L639" s="5">
        <v>46.14</v>
      </c>
      <c r="M639" s="5">
        <v>92.28</v>
      </c>
      <c r="N639" s="5">
        <v>47.63</v>
      </c>
      <c r="O639" s="5">
        <v>44.65</v>
      </c>
      <c r="P639" s="4">
        <f>--AND(OR(Dashboard!$A$10="All",C639=Dashboard!$A$10),OR(Dashboard!$A$14="All",F639=Dashboard!$A$14),OR(Dashboard!$A$18="All",G639=Dashboard!$A$18),OR(Dashboard!$A$22="All",I639=Dashboard!$A$22))</f>
        <v>1</v>
      </c>
    </row>
    <row r="640" spans="1:16" ht="15.75" customHeight="1">
      <c r="A640" s="4" t="s">
        <v>846</v>
      </c>
      <c r="B640" s="6">
        <v>45562</v>
      </c>
      <c r="C640" s="4">
        <v>2024</v>
      </c>
      <c r="D640" s="4">
        <v>9</v>
      </c>
      <c r="E640" s="4" t="s">
        <v>79</v>
      </c>
      <c r="F640" s="4" t="s">
        <v>8</v>
      </c>
      <c r="G640" s="4" t="s">
        <v>6</v>
      </c>
      <c r="H640" s="4" t="s">
        <v>136</v>
      </c>
      <c r="I640" s="4" t="s">
        <v>13</v>
      </c>
      <c r="J640" s="4" t="s">
        <v>193</v>
      </c>
      <c r="K640" s="4">
        <v>3</v>
      </c>
      <c r="L640" s="5">
        <v>184.34</v>
      </c>
      <c r="M640" s="5">
        <v>553.02</v>
      </c>
      <c r="N640" s="5">
        <v>369.86</v>
      </c>
      <c r="O640" s="5">
        <v>183.16</v>
      </c>
      <c r="P640" s="4">
        <f>--AND(OR(Dashboard!$A$10="All",C640=Dashboard!$A$10),OR(Dashboard!$A$14="All",F640=Dashboard!$A$14),OR(Dashboard!$A$18="All",G640=Dashboard!$A$18),OR(Dashboard!$A$22="All",I640=Dashboard!$A$22))</f>
        <v>1</v>
      </c>
    </row>
    <row r="641" spans="1:16" ht="15.75" customHeight="1">
      <c r="A641" s="4" t="s">
        <v>847</v>
      </c>
      <c r="B641" s="6">
        <v>45294</v>
      </c>
      <c r="C641" s="4">
        <v>2024</v>
      </c>
      <c r="D641" s="4">
        <v>1</v>
      </c>
      <c r="E641" s="4" t="s">
        <v>30</v>
      </c>
      <c r="F641" s="4" t="s">
        <v>8</v>
      </c>
      <c r="G641" s="4" t="s">
        <v>12</v>
      </c>
      <c r="H641" s="4" t="s">
        <v>58</v>
      </c>
      <c r="I641" s="4" t="s">
        <v>13</v>
      </c>
      <c r="J641" s="4" t="s">
        <v>104</v>
      </c>
      <c r="K641" s="4">
        <v>4</v>
      </c>
      <c r="L641" s="5">
        <v>170.29</v>
      </c>
      <c r="M641" s="5">
        <v>681.16</v>
      </c>
      <c r="N641" s="5">
        <v>399.03</v>
      </c>
      <c r="O641" s="5">
        <v>282.13</v>
      </c>
      <c r="P641" s="4">
        <f>--AND(OR(Dashboard!$A$10="All",C641=Dashboard!$A$10),OR(Dashboard!$A$14="All",F641=Dashboard!$A$14),OR(Dashboard!$A$18="All",G641=Dashboard!$A$18),OR(Dashboard!$A$22="All",I641=Dashboard!$A$22))</f>
        <v>1</v>
      </c>
    </row>
    <row r="642" spans="1:16" ht="15.75" customHeight="1">
      <c r="A642" s="4" t="s">
        <v>848</v>
      </c>
      <c r="B642" s="6">
        <v>45613</v>
      </c>
      <c r="C642" s="4">
        <v>2024</v>
      </c>
      <c r="D642" s="4">
        <v>11</v>
      </c>
      <c r="E642" s="4" t="s">
        <v>89</v>
      </c>
      <c r="F642" s="4" t="s">
        <v>5</v>
      </c>
      <c r="G642" s="4" t="s">
        <v>12</v>
      </c>
      <c r="H642" s="4" t="s">
        <v>92</v>
      </c>
      <c r="I642" s="4" t="s">
        <v>7</v>
      </c>
      <c r="J642" s="4" t="s">
        <v>230</v>
      </c>
      <c r="K642" s="4">
        <v>1</v>
      </c>
      <c r="L642" s="5">
        <v>252.86</v>
      </c>
      <c r="M642" s="5">
        <v>252.86</v>
      </c>
      <c r="N642" s="5">
        <v>157.68</v>
      </c>
      <c r="O642" s="5">
        <v>95.18</v>
      </c>
      <c r="P642" s="4">
        <f>--AND(OR(Dashboard!$A$10="All",C642=Dashboard!$A$10),OR(Dashboard!$A$14="All",F642=Dashboard!$A$14),OR(Dashboard!$A$18="All",G642=Dashboard!$A$18),OR(Dashboard!$A$22="All",I642=Dashboard!$A$22))</f>
        <v>1</v>
      </c>
    </row>
    <row r="643" spans="1:16" ht="15.75" customHeight="1">
      <c r="A643" s="4" t="s">
        <v>849</v>
      </c>
      <c r="B643" s="6">
        <v>45849</v>
      </c>
      <c r="C643" s="4">
        <v>2025</v>
      </c>
      <c r="D643" s="4">
        <v>7</v>
      </c>
      <c r="E643" s="4" t="s">
        <v>63</v>
      </c>
      <c r="F643" s="4" t="s">
        <v>14</v>
      </c>
      <c r="G643" s="4" t="s">
        <v>6</v>
      </c>
      <c r="H643" s="4" t="s">
        <v>80</v>
      </c>
      <c r="I643" s="4" t="s">
        <v>10</v>
      </c>
      <c r="J643" s="4" t="s">
        <v>144</v>
      </c>
      <c r="K643" s="4">
        <v>2</v>
      </c>
      <c r="L643" s="5">
        <v>211.41</v>
      </c>
      <c r="M643" s="5">
        <v>422.82</v>
      </c>
      <c r="N643" s="5">
        <v>273.38</v>
      </c>
      <c r="O643" s="5">
        <v>149.44</v>
      </c>
      <c r="P643" s="4">
        <f>--AND(OR(Dashboard!$A$10="All",C643=Dashboard!$A$10),OR(Dashboard!$A$14="All",F643=Dashboard!$A$14),OR(Dashboard!$A$18="All",G643=Dashboard!$A$18),OR(Dashboard!$A$22="All",I643=Dashboard!$A$22))</f>
        <v>1</v>
      </c>
    </row>
    <row r="644" spans="1:16" ht="15.75" customHeight="1">
      <c r="A644" s="4" t="s">
        <v>850</v>
      </c>
      <c r="B644" s="6">
        <v>46002</v>
      </c>
      <c r="C644" s="4">
        <v>2025</v>
      </c>
      <c r="D644" s="4">
        <v>12</v>
      </c>
      <c r="E644" s="4" t="s">
        <v>57</v>
      </c>
      <c r="F644" s="4" t="s">
        <v>5</v>
      </c>
      <c r="G644" s="4" t="s">
        <v>9</v>
      </c>
      <c r="H644" s="4" t="s">
        <v>64</v>
      </c>
      <c r="I644" s="4" t="s">
        <v>13</v>
      </c>
      <c r="J644" s="4" t="s">
        <v>131</v>
      </c>
      <c r="K644" s="4">
        <v>2</v>
      </c>
      <c r="L644" s="5">
        <v>32.61</v>
      </c>
      <c r="M644" s="5">
        <v>65.22</v>
      </c>
      <c r="N644" s="5">
        <v>33.78</v>
      </c>
      <c r="O644" s="5">
        <v>31.44</v>
      </c>
      <c r="P644" s="4">
        <f>--AND(OR(Dashboard!$A$10="All",C644=Dashboard!$A$10),OR(Dashboard!$A$14="All",F644=Dashboard!$A$14),OR(Dashboard!$A$18="All",G644=Dashboard!$A$18),OR(Dashboard!$A$22="All",I644=Dashboard!$A$22))</f>
        <v>1</v>
      </c>
    </row>
    <row r="645" spans="1:16" ht="15.75" customHeight="1">
      <c r="A645" s="4" t="s">
        <v>851</v>
      </c>
      <c r="B645" s="6">
        <v>45549</v>
      </c>
      <c r="C645" s="4">
        <v>2024</v>
      </c>
      <c r="D645" s="4">
        <v>9</v>
      </c>
      <c r="E645" s="4" t="s">
        <v>79</v>
      </c>
      <c r="F645" s="4" t="s">
        <v>5</v>
      </c>
      <c r="G645" s="4" t="s">
        <v>6</v>
      </c>
      <c r="H645" s="4" t="s">
        <v>98</v>
      </c>
      <c r="I645" s="4" t="s">
        <v>13</v>
      </c>
      <c r="J645" s="4" t="s">
        <v>189</v>
      </c>
      <c r="K645" s="4">
        <v>7</v>
      </c>
      <c r="L645" s="5">
        <v>199.04</v>
      </c>
      <c r="M645" s="5">
        <v>1393.28</v>
      </c>
      <c r="N645" s="5">
        <v>884.72</v>
      </c>
      <c r="O645" s="5">
        <v>508.56</v>
      </c>
      <c r="P645" s="4">
        <f>--AND(OR(Dashboard!$A$10="All",C645=Dashboard!$A$10),OR(Dashboard!$A$14="All",F645=Dashboard!$A$14),OR(Dashboard!$A$18="All",G645=Dashboard!$A$18),OR(Dashboard!$A$22="All",I645=Dashboard!$A$22))</f>
        <v>1</v>
      </c>
    </row>
    <row r="646" spans="1:16" ht="15.75" customHeight="1">
      <c r="A646" s="4" t="s">
        <v>852</v>
      </c>
      <c r="B646" s="6">
        <v>45694</v>
      </c>
      <c r="C646" s="4">
        <v>2025</v>
      </c>
      <c r="D646" s="4">
        <v>2</v>
      </c>
      <c r="E646" s="4" t="s">
        <v>70</v>
      </c>
      <c r="F646" s="4" t="s">
        <v>5</v>
      </c>
      <c r="G646" s="4" t="s">
        <v>12</v>
      </c>
      <c r="H646" s="4" t="s">
        <v>124</v>
      </c>
      <c r="I646" s="4" t="s">
        <v>7</v>
      </c>
      <c r="J646" s="4" t="s">
        <v>146</v>
      </c>
      <c r="K646" s="4">
        <v>4</v>
      </c>
      <c r="L646" s="5">
        <v>191.18</v>
      </c>
      <c r="M646" s="5">
        <v>764.72</v>
      </c>
      <c r="N646" s="5">
        <v>453.46</v>
      </c>
      <c r="O646" s="5">
        <v>311.26</v>
      </c>
      <c r="P646" s="4">
        <f>--AND(OR(Dashboard!$A$10="All",C646=Dashboard!$A$10),OR(Dashboard!$A$14="All",F646=Dashboard!$A$14),OR(Dashboard!$A$18="All",G646=Dashboard!$A$18),OR(Dashboard!$A$22="All",I646=Dashboard!$A$22))</f>
        <v>1</v>
      </c>
    </row>
    <row r="647" spans="1:16" ht="15.75" customHeight="1">
      <c r="A647" s="4" t="s">
        <v>853</v>
      </c>
      <c r="B647" s="6">
        <v>45639</v>
      </c>
      <c r="C647" s="4">
        <v>2024</v>
      </c>
      <c r="D647" s="4">
        <v>12</v>
      </c>
      <c r="E647" s="4" t="s">
        <v>57</v>
      </c>
      <c r="F647" s="4" t="s">
        <v>5</v>
      </c>
      <c r="G647" s="4" t="s">
        <v>9</v>
      </c>
      <c r="H647" s="4" t="s">
        <v>71</v>
      </c>
      <c r="I647" s="4" t="s">
        <v>10</v>
      </c>
      <c r="J647" s="4" t="s">
        <v>326</v>
      </c>
      <c r="K647" s="4">
        <v>8</v>
      </c>
      <c r="L647" s="5">
        <v>40.28</v>
      </c>
      <c r="M647" s="5">
        <v>322.24</v>
      </c>
      <c r="N647" s="5">
        <v>160.5</v>
      </c>
      <c r="O647" s="5">
        <v>161.74</v>
      </c>
      <c r="P647" s="4">
        <f>--AND(OR(Dashboard!$A$10="All",C647=Dashboard!$A$10),OR(Dashboard!$A$14="All",F647=Dashboard!$A$14),OR(Dashboard!$A$18="All",G647=Dashboard!$A$18),OR(Dashboard!$A$22="All",I647=Dashboard!$A$22))</f>
        <v>1</v>
      </c>
    </row>
    <row r="648" spans="1:16" ht="15.75" customHeight="1">
      <c r="A648" s="4" t="s">
        <v>854</v>
      </c>
      <c r="B648" s="6">
        <v>45568</v>
      </c>
      <c r="C648" s="4">
        <v>2024</v>
      </c>
      <c r="D648" s="4">
        <v>10</v>
      </c>
      <c r="E648" s="4" t="s">
        <v>120</v>
      </c>
      <c r="F648" s="4" t="s">
        <v>5</v>
      </c>
      <c r="G648" s="4" t="s">
        <v>6</v>
      </c>
      <c r="H648" s="4" t="s">
        <v>80</v>
      </c>
      <c r="I648" s="4" t="s">
        <v>10</v>
      </c>
      <c r="J648" s="4" t="s">
        <v>336</v>
      </c>
      <c r="K648" s="4">
        <v>1</v>
      </c>
      <c r="L648" s="5">
        <v>176.06</v>
      </c>
      <c r="M648" s="5">
        <v>176.06</v>
      </c>
      <c r="N648" s="5">
        <v>116.02</v>
      </c>
      <c r="O648" s="5">
        <v>60.04</v>
      </c>
      <c r="P648" s="4">
        <f>--AND(OR(Dashboard!$A$10="All",C648=Dashboard!$A$10),OR(Dashboard!$A$14="All",F648=Dashboard!$A$14),OR(Dashboard!$A$18="All",G648=Dashboard!$A$18),OR(Dashboard!$A$22="All",I648=Dashboard!$A$22))</f>
        <v>1</v>
      </c>
    </row>
    <row r="649" spans="1:16" ht="15.75" customHeight="1">
      <c r="A649" s="4" t="s">
        <v>855</v>
      </c>
      <c r="B649" s="6">
        <v>45776</v>
      </c>
      <c r="C649" s="4">
        <v>2025</v>
      </c>
      <c r="D649" s="4">
        <v>4</v>
      </c>
      <c r="E649" s="4" t="s">
        <v>106</v>
      </c>
      <c r="F649" s="4" t="s">
        <v>5</v>
      </c>
      <c r="G649" s="4" t="s">
        <v>9</v>
      </c>
      <c r="H649" s="4" t="s">
        <v>64</v>
      </c>
      <c r="I649" s="4" t="s">
        <v>10</v>
      </c>
      <c r="J649" s="4" t="s">
        <v>373</v>
      </c>
      <c r="K649" s="4">
        <v>2</v>
      </c>
      <c r="L649" s="5">
        <v>45.21</v>
      </c>
      <c r="M649" s="5">
        <v>90.42</v>
      </c>
      <c r="N649" s="5">
        <v>43.4</v>
      </c>
      <c r="O649" s="5">
        <v>47.02</v>
      </c>
      <c r="P649" s="4">
        <f>--AND(OR(Dashboard!$A$10="All",C649=Dashboard!$A$10),OR(Dashboard!$A$14="All",F649=Dashboard!$A$14),OR(Dashboard!$A$18="All",G649=Dashboard!$A$18),OR(Dashboard!$A$22="All",I649=Dashboard!$A$22))</f>
        <v>1</v>
      </c>
    </row>
    <row r="650" spans="1:16" ht="15.75" customHeight="1">
      <c r="A650" s="4" t="s">
        <v>856</v>
      </c>
      <c r="B650" s="6">
        <v>45618</v>
      </c>
      <c r="C650" s="4">
        <v>2024</v>
      </c>
      <c r="D650" s="4">
        <v>11</v>
      </c>
      <c r="E650" s="4" t="s">
        <v>89</v>
      </c>
      <c r="F650" s="4" t="s">
        <v>5</v>
      </c>
      <c r="G650" s="4" t="s">
        <v>12</v>
      </c>
      <c r="H650" s="4" t="s">
        <v>92</v>
      </c>
      <c r="I650" s="4" t="s">
        <v>7</v>
      </c>
      <c r="J650" s="4" t="s">
        <v>181</v>
      </c>
      <c r="K650" s="4">
        <v>5</v>
      </c>
      <c r="L650" s="5">
        <v>295.36</v>
      </c>
      <c r="M650" s="5">
        <v>1476.8</v>
      </c>
      <c r="N650" s="5">
        <v>922.87</v>
      </c>
      <c r="O650" s="5">
        <v>553.92999999999995</v>
      </c>
      <c r="P650" s="4">
        <f>--AND(OR(Dashboard!$A$10="All",C650=Dashboard!$A$10),OR(Dashboard!$A$14="All",F650=Dashboard!$A$14),OR(Dashboard!$A$18="All",G650=Dashboard!$A$18),OR(Dashboard!$A$22="All",I650=Dashboard!$A$22))</f>
        <v>1</v>
      </c>
    </row>
    <row r="651" spans="1:16" ht="15.75" customHeight="1">
      <c r="A651" s="4" t="s">
        <v>857</v>
      </c>
      <c r="B651" s="6">
        <v>45646</v>
      </c>
      <c r="C651" s="4">
        <v>2024</v>
      </c>
      <c r="D651" s="4">
        <v>12</v>
      </c>
      <c r="E651" s="4" t="s">
        <v>57</v>
      </c>
      <c r="F651" s="4" t="s">
        <v>8</v>
      </c>
      <c r="G651" s="4" t="s">
        <v>12</v>
      </c>
      <c r="H651" s="4" t="s">
        <v>124</v>
      </c>
      <c r="I651" s="4" t="s">
        <v>10</v>
      </c>
      <c r="J651" s="4" t="s">
        <v>292</v>
      </c>
      <c r="K651" s="4">
        <v>11</v>
      </c>
      <c r="L651" s="5">
        <v>318.87</v>
      </c>
      <c r="M651" s="5">
        <v>3507.57</v>
      </c>
      <c r="N651" s="5">
        <v>2115.38</v>
      </c>
      <c r="O651" s="5">
        <v>1392.19</v>
      </c>
      <c r="P651" s="4">
        <f>--AND(OR(Dashboard!$A$10="All",C651=Dashboard!$A$10),OR(Dashboard!$A$14="All",F651=Dashboard!$A$14),OR(Dashboard!$A$18="All",G651=Dashboard!$A$18),OR(Dashboard!$A$22="All",I651=Dashboard!$A$22))</f>
        <v>1</v>
      </c>
    </row>
    <row r="652" spans="1:16" ht="15.75" customHeight="1">
      <c r="A652" s="4" t="s">
        <v>858</v>
      </c>
      <c r="B652" s="6">
        <v>45511</v>
      </c>
      <c r="C652" s="4">
        <v>2024</v>
      </c>
      <c r="D652" s="4">
        <v>8</v>
      </c>
      <c r="E652" s="4" t="s">
        <v>67</v>
      </c>
      <c r="F652" s="4" t="s">
        <v>8</v>
      </c>
      <c r="G652" s="4" t="s">
        <v>6</v>
      </c>
      <c r="H652" s="4" t="s">
        <v>114</v>
      </c>
      <c r="I652" s="4" t="s">
        <v>7</v>
      </c>
      <c r="J652" s="4" t="s">
        <v>232</v>
      </c>
      <c r="K652" s="4">
        <v>4</v>
      </c>
      <c r="L652" s="5">
        <v>87.24</v>
      </c>
      <c r="M652" s="5">
        <v>348.96</v>
      </c>
      <c r="N652" s="5">
        <v>236.76</v>
      </c>
      <c r="O652" s="5">
        <v>112.2</v>
      </c>
      <c r="P652" s="4">
        <f>--AND(OR(Dashboard!$A$10="All",C652=Dashboard!$A$10),OR(Dashboard!$A$14="All",F652=Dashboard!$A$14),OR(Dashboard!$A$18="All",G652=Dashboard!$A$18),OR(Dashboard!$A$22="All",I652=Dashboard!$A$22))</f>
        <v>1</v>
      </c>
    </row>
    <row r="653" spans="1:16" ht="15.75" customHeight="1">
      <c r="A653" s="4" t="s">
        <v>859</v>
      </c>
      <c r="B653" s="6">
        <v>45785</v>
      </c>
      <c r="C653" s="4">
        <v>2025</v>
      </c>
      <c r="D653" s="4">
        <v>5</v>
      </c>
      <c r="E653" s="4" t="s">
        <v>108</v>
      </c>
      <c r="F653" s="4" t="s">
        <v>5</v>
      </c>
      <c r="G653" s="4" t="s">
        <v>6</v>
      </c>
      <c r="H653" s="4" t="s">
        <v>98</v>
      </c>
      <c r="I653" s="4" t="s">
        <v>7</v>
      </c>
      <c r="J653" s="4" t="s">
        <v>247</v>
      </c>
      <c r="K653" s="4">
        <v>3</v>
      </c>
      <c r="L653" s="5">
        <v>197.12</v>
      </c>
      <c r="M653" s="5">
        <v>591.36</v>
      </c>
      <c r="N653" s="5">
        <v>389.11</v>
      </c>
      <c r="O653" s="5">
        <v>202.25</v>
      </c>
      <c r="P653" s="4">
        <f>--AND(OR(Dashboard!$A$10="All",C653=Dashboard!$A$10),OR(Dashboard!$A$14="All",F653=Dashboard!$A$14),OR(Dashboard!$A$18="All",G653=Dashboard!$A$18),OR(Dashboard!$A$22="All",I653=Dashboard!$A$22))</f>
        <v>1</v>
      </c>
    </row>
    <row r="654" spans="1:16" ht="15.75" customHeight="1">
      <c r="A654" s="4" t="s">
        <v>860</v>
      </c>
      <c r="B654" s="6">
        <v>45677</v>
      </c>
      <c r="C654" s="4">
        <v>2025</v>
      </c>
      <c r="D654" s="4">
        <v>1</v>
      </c>
      <c r="E654" s="4" t="s">
        <v>30</v>
      </c>
      <c r="F654" s="4" t="s">
        <v>5</v>
      </c>
      <c r="G654" s="4" t="s">
        <v>12</v>
      </c>
      <c r="H654" s="4" t="s">
        <v>58</v>
      </c>
      <c r="I654" s="4" t="s">
        <v>10</v>
      </c>
      <c r="J654" s="4" t="s">
        <v>59</v>
      </c>
      <c r="K654" s="4">
        <v>3</v>
      </c>
      <c r="L654" s="5">
        <v>163.72</v>
      </c>
      <c r="M654" s="5">
        <v>491.16</v>
      </c>
      <c r="N654" s="5">
        <v>283.05</v>
      </c>
      <c r="O654" s="5">
        <v>208.11</v>
      </c>
      <c r="P654" s="4">
        <f>--AND(OR(Dashboard!$A$10="All",C654=Dashboard!$A$10),OR(Dashboard!$A$14="All",F654=Dashboard!$A$14),OR(Dashboard!$A$18="All",G654=Dashboard!$A$18),OR(Dashboard!$A$22="All",I654=Dashboard!$A$22))</f>
        <v>1</v>
      </c>
    </row>
    <row r="655" spans="1:16" ht="15.75" customHeight="1">
      <c r="A655" s="4" t="s">
        <v>861</v>
      </c>
      <c r="B655" s="6">
        <v>45816</v>
      </c>
      <c r="C655" s="4">
        <v>2025</v>
      </c>
      <c r="D655" s="4">
        <v>6</v>
      </c>
      <c r="E655" s="4" t="s">
        <v>34</v>
      </c>
      <c r="F655" s="4" t="s">
        <v>5</v>
      </c>
      <c r="G655" s="4" t="s">
        <v>6</v>
      </c>
      <c r="H655" s="4" t="s">
        <v>114</v>
      </c>
      <c r="I655" s="4" t="s">
        <v>10</v>
      </c>
      <c r="J655" s="4" t="s">
        <v>247</v>
      </c>
      <c r="K655" s="4">
        <v>6</v>
      </c>
      <c r="L655" s="5">
        <v>95.17</v>
      </c>
      <c r="M655" s="5">
        <v>571.02</v>
      </c>
      <c r="N655" s="5">
        <v>394.12</v>
      </c>
      <c r="O655" s="5">
        <v>176.9</v>
      </c>
      <c r="P655" s="4">
        <f>--AND(OR(Dashboard!$A$10="All",C655=Dashboard!$A$10),OR(Dashboard!$A$14="All",F655=Dashboard!$A$14),OR(Dashboard!$A$18="All",G655=Dashboard!$A$18),OR(Dashboard!$A$22="All",I655=Dashboard!$A$22))</f>
        <v>1</v>
      </c>
    </row>
    <row r="656" spans="1:16" ht="15.75" customHeight="1">
      <c r="A656" s="4" t="s">
        <v>862</v>
      </c>
      <c r="B656" s="6">
        <v>45947</v>
      </c>
      <c r="C656" s="4">
        <v>2025</v>
      </c>
      <c r="D656" s="4">
        <v>10</v>
      </c>
      <c r="E656" s="4" t="s">
        <v>120</v>
      </c>
      <c r="F656" s="4" t="s">
        <v>8</v>
      </c>
      <c r="G656" s="4" t="s">
        <v>6</v>
      </c>
      <c r="H656" s="4" t="s">
        <v>98</v>
      </c>
      <c r="I656" s="4" t="s">
        <v>7</v>
      </c>
      <c r="J656" s="4" t="s">
        <v>184</v>
      </c>
      <c r="K656" s="4">
        <v>5</v>
      </c>
      <c r="L656" s="5">
        <v>191.16</v>
      </c>
      <c r="M656" s="5">
        <v>955.8</v>
      </c>
      <c r="N656" s="5">
        <v>599.53</v>
      </c>
      <c r="O656" s="5">
        <v>356.27</v>
      </c>
      <c r="P656" s="4">
        <f>--AND(OR(Dashboard!$A$10="All",C656=Dashboard!$A$10),OR(Dashboard!$A$14="All",F656=Dashboard!$A$14),OR(Dashboard!$A$18="All",G656=Dashboard!$A$18),OR(Dashboard!$A$22="All",I656=Dashboard!$A$22))</f>
        <v>1</v>
      </c>
    </row>
    <row r="657" spans="1:16" ht="15.75" customHeight="1">
      <c r="A657" s="4" t="s">
        <v>863</v>
      </c>
      <c r="B657" s="6">
        <v>45347</v>
      </c>
      <c r="C657" s="4">
        <v>2024</v>
      </c>
      <c r="D657" s="4">
        <v>2</v>
      </c>
      <c r="E657" s="4" t="s">
        <v>70</v>
      </c>
      <c r="F657" s="4" t="s">
        <v>5</v>
      </c>
      <c r="G657" s="4" t="s">
        <v>12</v>
      </c>
      <c r="H657" s="4" t="s">
        <v>86</v>
      </c>
      <c r="I657" s="4" t="s">
        <v>7</v>
      </c>
      <c r="J657" s="4" t="s">
        <v>255</v>
      </c>
      <c r="K657" s="4">
        <v>4</v>
      </c>
      <c r="L657" s="5">
        <v>145.52000000000001</v>
      </c>
      <c r="M657" s="5">
        <v>582.08000000000004</v>
      </c>
      <c r="N657" s="5">
        <v>357.47</v>
      </c>
      <c r="O657" s="5">
        <v>224.61</v>
      </c>
      <c r="P657" s="4">
        <f>--AND(OR(Dashboard!$A$10="All",C657=Dashboard!$A$10),OR(Dashboard!$A$14="All",F657=Dashboard!$A$14),OR(Dashboard!$A$18="All",G657=Dashboard!$A$18),OR(Dashboard!$A$22="All",I657=Dashboard!$A$22))</f>
        <v>1</v>
      </c>
    </row>
    <row r="658" spans="1:16" ht="15.75" customHeight="1">
      <c r="A658" s="4" t="s">
        <v>864</v>
      </c>
      <c r="B658" s="6">
        <v>45536</v>
      </c>
      <c r="C658" s="4">
        <v>2024</v>
      </c>
      <c r="D658" s="4">
        <v>9</v>
      </c>
      <c r="E658" s="4" t="s">
        <v>79</v>
      </c>
      <c r="F658" s="4" t="s">
        <v>14</v>
      </c>
      <c r="G658" s="4" t="s">
        <v>12</v>
      </c>
      <c r="H658" s="4" t="s">
        <v>86</v>
      </c>
      <c r="I658" s="4" t="s">
        <v>10</v>
      </c>
      <c r="J658" s="4" t="s">
        <v>166</v>
      </c>
      <c r="K658" s="4">
        <v>4</v>
      </c>
      <c r="L658" s="5">
        <v>130.15</v>
      </c>
      <c r="M658" s="5">
        <v>520.6</v>
      </c>
      <c r="N658" s="5">
        <v>321.39999999999998</v>
      </c>
      <c r="O658" s="5">
        <v>199.2</v>
      </c>
      <c r="P658" s="4">
        <f>--AND(OR(Dashboard!$A$10="All",C658=Dashboard!$A$10),OR(Dashboard!$A$14="All",F658=Dashboard!$A$14),OR(Dashboard!$A$18="All",G658=Dashboard!$A$18),OR(Dashboard!$A$22="All",I658=Dashboard!$A$22))</f>
        <v>1</v>
      </c>
    </row>
    <row r="659" spans="1:16" ht="15.75" customHeight="1">
      <c r="A659" s="4" t="s">
        <v>865</v>
      </c>
      <c r="B659" s="6">
        <v>45332</v>
      </c>
      <c r="C659" s="4">
        <v>2024</v>
      </c>
      <c r="D659" s="4">
        <v>2</v>
      </c>
      <c r="E659" s="4" t="s">
        <v>70</v>
      </c>
      <c r="F659" s="4" t="s">
        <v>5</v>
      </c>
      <c r="G659" s="4" t="s">
        <v>9</v>
      </c>
      <c r="H659" s="4" t="s">
        <v>142</v>
      </c>
      <c r="I659" s="4" t="s">
        <v>10</v>
      </c>
      <c r="J659" s="4" t="s">
        <v>240</v>
      </c>
      <c r="K659" s="4">
        <v>9</v>
      </c>
      <c r="L659" s="5">
        <v>23.18</v>
      </c>
      <c r="M659" s="5">
        <v>208.62</v>
      </c>
      <c r="N659" s="5">
        <v>103.78</v>
      </c>
      <c r="O659" s="5">
        <v>104.84</v>
      </c>
      <c r="P659" s="4">
        <f>--AND(OR(Dashboard!$A$10="All",C659=Dashboard!$A$10),OR(Dashboard!$A$14="All",F659=Dashboard!$A$14),OR(Dashboard!$A$18="All",G659=Dashboard!$A$18),OR(Dashboard!$A$22="All",I659=Dashboard!$A$22))</f>
        <v>1</v>
      </c>
    </row>
    <row r="660" spans="1:16" ht="15.75" customHeight="1">
      <c r="A660" s="4" t="s">
        <v>866</v>
      </c>
      <c r="B660" s="6">
        <v>45920</v>
      </c>
      <c r="C660" s="4">
        <v>2025</v>
      </c>
      <c r="D660" s="4">
        <v>9</v>
      </c>
      <c r="E660" s="4" t="s">
        <v>79</v>
      </c>
      <c r="F660" s="4" t="s">
        <v>8</v>
      </c>
      <c r="G660" s="4" t="s">
        <v>12</v>
      </c>
      <c r="H660" s="4" t="s">
        <v>86</v>
      </c>
      <c r="I660" s="4" t="s">
        <v>7</v>
      </c>
      <c r="J660" s="4" t="s">
        <v>381</v>
      </c>
      <c r="K660" s="4">
        <v>1</v>
      </c>
      <c r="L660" s="5">
        <v>157.18</v>
      </c>
      <c r="M660" s="5">
        <v>157.18</v>
      </c>
      <c r="N660" s="5">
        <v>94.46</v>
      </c>
      <c r="O660" s="5">
        <v>62.72</v>
      </c>
      <c r="P660" s="4">
        <f>--AND(OR(Dashboard!$A$10="All",C660=Dashboard!$A$10),OR(Dashboard!$A$14="All",F660=Dashboard!$A$14),OR(Dashboard!$A$18="All",G660=Dashboard!$A$18),OR(Dashboard!$A$22="All",I660=Dashboard!$A$22))</f>
        <v>1</v>
      </c>
    </row>
    <row r="661" spans="1:16" ht="15.75" customHeight="1">
      <c r="A661" s="4" t="s">
        <v>867</v>
      </c>
      <c r="B661" s="6">
        <v>45377</v>
      </c>
      <c r="C661" s="4">
        <v>2024</v>
      </c>
      <c r="D661" s="4">
        <v>3</v>
      </c>
      <c r="E661" s="4" t="s">
        <v>100</v>
      </c>
      <c r="F661" s="4" t="s">
        <v>5</v>
      </c>
      <c r="G661" s="4" t="s">
        <v>12</v>
      </c>
      <c r="H661" s="4" t="s">
        <v>127</v>
      </c>
      <c r="I661" s="4" t="s">
        <v>7</v>
      </c>
      <c r="J661" s="4" t="s">
        <v>270</v>
      </c>
      <c r="K661" s="4">
        <v>4</v>
      </c>
      <c r="L661" s="5">
        <v>310.63</v>
      </c>
      <c r="M661" s="5">
        <v>1242.52</v>
      </c>
      <c r="N661" s="5">
        <v>724.24</v>
      </c>
      <c r="O661" s="5">
        <v>518.28</v>
      </c>
      <c r="P661" s="4">
        <f>--AND(OR(Dashboard!$A$10="All",C661=Dashboard!$A$10),OR(Dashboard!$A$14="All",F661=Dashboard!$A$14),OR(Dashboard!$A$18="All",G661=Dashboard!$A$18),OR(Dashboard!$A$22="All",I661=Dashboard!$A$22))</f>
        <v>1</v>
      </c>
    </row>
    <row r="662" spans="1:16" ht="15.75" customHeight="1">
      <c r="A662" s="4" t="s">
        <v>868</v>
      </c>
      <c r="B662" s="6">
        <v>45830</v>
      </c>
      <c r="C662" s="4">
        <v>2025</v>
      </c>
      <c r="D662" s="4">
        <v>6</v>
      </c>
      <c r="E662" s="4" t="s">
        <v>34</v>
      </c>
      <c r="F662" s="4" t="s">
        <v>14</v>
      </c>
      <c r="G662" s="4" t="s">
        <v>6</v>
      </c>
      <c r="H662" s="4" t="s">
        <v>98</v>
      </c>
      <c r="I662" s="4" t="s">
        <v>10</v>
      </c>
      <c r="J662" s="4" t="s">
        <v>494</v>
      </c>
      <c r="K662" s="4">
        <v>1</v>
      </c>
      <c r="L662" s="5">
        <v>144.13999999999999</v>
      </c>
      <c r="M662" s="5">
        <v>144.13999999999999</v>
      </c>
      <c r="N662" s="5">
        <v>98.92</v>
      </c>
      <c r="O662" s="5">
        <v>45.22</v>
      </c>
      <c r="P662" s="4">
        <f>--AND(OR(Dashboard!$A$10="All",C662=Dashboard!$A$10),OR(Dashboard!$A$14="All",F662=Dashboard!$A$14),OR(Dashboard!$A$18="All",G662=Dashboard!$A$18),OR(Dashboard!$A$22="All",I662=Dashboard!$A$22))</f>
        <v>1</v>
      </c>
    </row>
    <row r="663" spans="1:16" ht="15.75" customHeight="1">
      <c r="A663" s="4" t="s">
        <v>869</v>
      </c>
      <c r="B663" s="6">
        <v>45652</v>
      </c>
      <c r="C663" s="4">
        <v>2024</v>
      </c>
      <c r="D663" s="4">
        <v>12</v>
      </c>
      <c r="E663" s="4" t="s">
        <v>57</v>
      </c>
      <c r="F663" s="4" t="s">
        <v>14</v>
      </c>
      <c r="G663" s="4" t="s">
        <v>12</v>
      </c>
      <c r="H663" s="4" t="s">
        <v>124</v>
      </c>
      <c r="I663" s="4" t="s">
        <v>13</v>
      </c>
      <c r="J663" s="4" t="s">
        <v>240</v>
      </c>
      <c r="K663" s="4">
        <v>2</v>
      </c>
      <c r="L663" s="5">
        <v>223.54</v>
      </c>
      <c r="M663" s="5">
        <v>447.08</v>
      </c>
      <c r="N663" s="5">
        <v>266.16000000000003</v>
      </c>
      <c r="O663" s="5">
        <v>180.92</v>
      </c>
      <c r="P663" s="4">
        <f>--AND(OR(Dashboard!$A$10="All",C663=Dashboard!$A$10),OR(Dashboard!$A$14="All",F663=Dashboard!$A$14),OR(Dashboard!$A$18="All",G663=Dashboard!$A$18),OR(Dashboard!$A$22="All",I663=Dashboard!$A$22))</f>
        <v>1</v>
      </c>
    </row>
    <row r="664" spans="1:16" ht="15.75" customHeight="1">
      <c r="A664" s="4" t="s">
        <v>870</v>
      </c>
      <c r="B664" s="6">
        <v>45377</v>
      </c>
      <c r="C664" s="4">
        <v>2024</v>
      </c>
      <c r="D664" s="4">
        <v>3</v>
      </c>
      <c r="E664" s="4" t="s">
        <v>100</v>
      </c>
      <c r="F664" s="4" t="s">
        <v>5</v>
      </c>
      <c r="G664" s="4" t="s">
        <v>9</v>
      </c>
      <c r="H664" s="4" t="s">
        <v>71</v>
      </c>
      <c r="I664" s="4" t="s">
        <v>13</v>
      </c>
      <c r="J664" s="4" t="s">
        <v>240</v>
      </c>
      <c r="K664" s="4">
        <v>8</v>
      </c>
      <c r="L664" s="5">
        <v>32.520000000000003</v>
      </c>
      <c r="M664" s="5">
        <v>260.16000000000003</v>
      </c>
      <c r="N664" s="5">
        <v>135.02000000000001</v>
      </c>
      <c r="O664" s="5">
        <v>125.14</v>
      </c>
      <c r="P664" s="4">
        <f>--AND(OR(Dashboard!$A$10="All",C664=Dashboard!$A$10),OR(Dashboard!$A$14="All",F664=Dashboard!$A$14),OR(Dashboard!$A$18="All",G664=Dashboard!$A$18),OR(Dashboard!$A$22="All",I664=Dashboard!$A$22))</f>
        <v>1</v>
      </c>
    </row>
    <row r="665" spans="1:16" ht="15.75" customHeight="1">
      <c r="A665" s="4" t="s">
        <v>871</v>
      </c>
      <c r="B665" s="6">
        <v>45464</v>
      </c>
      <c r="C665" s="4">
        <v>2024</v>
      </c>
      <c r="D665" s="4">
        <v>6</v>
      </c>
      <c r="E665" s="4" t="s">
        <v>34</v>
      </c>
      <c r="F665" s="4" t="s">
        <v>5</v>
      </c>
      <c r="G665" s="4" t="s">
        <v>6</v>
      </c>
      <c r="H665" s="4" t="s">
        <v>136</v>
      </c>
      <c r="I665" s="4" t="s">
        <v>10</v>
      </c>
      <c r="J665" s="4" t="s">
        <v>247</v>
      </c>
      <c r="K665" s="4">
        <v>12</v>
      </c>
      <c r="L665" s="5">
        <v>201.06</v>
      </c>
      <c r="M665" s="5">
        <v>2412.7199999999998</v>
      </c>
      <c r="N665" s="5">
        <v>1541.07</v>
      </c>
      <c r="O665" s="5">
        <v>871.65</v>
      </c>
      <c r="P665" s="4">
        <f>--AND(OR(Dashboard!$A$10="All",C665=Dashboard!$A$10),OR(Dashboard!$A$14="All",F665=Dashboard!$A$14),OR(Dashboard!$A$18="All",G665=Dashboard!$A$18),OR(Dashboard!$A$22="All",I665=Dashboard!$A$22))</f>
        <v>1</v>
      </c>
    </row>
    <row r="666" spans="1:16" ht="15.75" customHeight="1">
      <c r="A666" s="4" t="s">
        <v>872</v>
      </c>
      <c r="B666" s="6">
        <v>45363</v>
      </c>
      <c r="C666" s="4">
        <v>2024</v>
      </c>
      <c r="D666" s="4">
        <v>3</v>
      </c>
      <c r="E666" s="4" t="s">
        <v>100</v>
      </c>
      <c r="F666" s="4" t="s">
        <v>5</v>
      </c>
      <c r="G666" s="4" t="s">
        <v>9</v>
      </c>
      <c r="H666" s="4" t="s">
        <v>142</v>
      </c>
      <c r="I666" s="4" t="s">
        <v>7</v>
      </c>
      <c r="J666" s="4" t="s">
        <v>211</v>
      </c>
      <c r="K666" s="4">
        <v>5</v>
      </c>
      <c r="L666" s="5">
        <v>22.61</v>
      </c>
      <c r="M666" s="5">
        <v>113.05</v>
      </c>
      <c r="N666" s="5">
        <v>57.47</v>
      </c>
      <c r="O666" s="5">
        <v>55.58</v>
      </c>
      <c r="P666" s="4">
        <f>--AND(OR(Dashboard!$A$10="All",C666=Dashboard!$A$10),OR(Dashboard!$A$14="All",F666=Dashboard!$A$14),OR(Dashboard!$A$18="All",G666=Dashboard!$A$18),OR(Dashboard!$A$22="All",I666=Dashboard!$A$22))</f>
        <v>1</v>
      </c>
    </row>
    <row r="667" spans="1:16" ht="15.75" customHeight="1">
      <c r="A667" s="4" t="s">
        <v>873</v>
      </c>
      <c r="B667" s="6">
        <v>45884</v>
      </c>
      <c r="C667" s="4">
        <v>2025</v>
      </c>
      <c r="D667" s="4">
        <v>8</v>
      </c>
      <c r="E667" s="4" t="s">
        <v>67</v>
      </c>
      <c r="F667" s="4" t="s">
        <v>5</v>
      </c>
      <c r="G667" s="4" t="s">
        <v>9</v>
      </c>
      <c r="H667" s="4" t="s">
        <v>71</v>
      </c>
      <c r="I667" s="4" t="s">
        <v>7</v>
      </c>
      <c r="J667" s="4" t="s">
        <v>230</v>
      </c>
      <c r="K667" s="4">
        <v>1</v>
      </c>
      <c r="L667" s="5">
        <v>52.57</v>
      </c>
      <c r="M667" s="5">
        <v>52.57</v>
      </c>
      <c r="N667" s="5">
        <v>26.21</v>
      </c>
      <c r="O667" s="5">
        <v>26.36</v>
      </c>
      <c r="P667" s="4">
        <f>--AND(OR(Dashboard!$A$10="All",C667=Dashboard!$A$10),OR(Dashboard!$A$14="All",F667=Dashboard!$A$14),OR(Dashboard!$A$18="All",G667=Dashboard!$A$18),OR(Dashboard!$A$22="All",I667=Dashboard!$A$22))</f>
        <v>1</v>
      </c>
    </row>
    <row r="668" spans="1:16" ht="15.75" customHeight="1">
      <c r="A668" s="4" t="s">
        <v>874</v>
      </c>
      <c r="B668" s="6">
        <v>45533</v>
      </c>
      <c r="C668" s="4">
        <v>2024</v>
      </c>
      <c r="D668" s="4">
        <v>8</v>
      </c>
      <c r="E668" s="4" t="s">
        <v>67</v>
      </c>
      <c r="F668" s="4" t="s">
        <v>5</v>
      </c>
      <c r="G668" s="4" t="s">
        <v>6</v>
      </c>
      <c r="H668" s="4" t="s">
        <v>136</v>
      </c>
      <c r="I668" s="4" t="s">
        <v>13</v>
      </c>
      <c r="J668" s="4" t="s">
        <v>115</v>
      </c>
      <c r="K668" s="4">
        <v>3</v>
      </c>
      <c r="L668" s="5">
        <v>172.76</v>
      </c>
      <c r="M668" s="5">
        <v>518.28</v>
      </c>
      <c r="N668" s="5">
        <v>342.07</v>
      </c>
      <c r="O668" s="5">
        <v>176.21</v>
      </c>
      <c r="P668" s="4">
        <f>--AND(OR(Dashboard!$A$10="All",C668=Dashboard!$A$10),OR(Dashboard!$A$14="All",F668=Dashboard!$A$14),OR(Dashboard!$A$18="All",G668=Dashboard!$A$18),OR(Dashboard!$A$22="All",I668=Dashboard!$A$22))</f>
        <v>1</v>
      </c>
    </row>
    <row r="669" spans="1:16" ht="15.75" customHeight="1">
      <c r="A669" s="4" t="s">
        <v>875</v>
      </c>
      <c r="B669" s="6">
        <v>45688</v>
      </c>
      <c r="C669" s="4">
        <v>2025</v>
      </c>
      <c r="D669" s="4">
        <v>1</v>
      </c>
      <c r="E669" s="4" t="s">
        <v>30</v>
      </c>
      <c r="F669" s="4" t="s">
        <v>5</v>
      </c>
      <c r="G669" s="4" t="s">
        <v>6</v>
      </c>
      <c r="H669" s="4" t="s">
        <v>136</v>
      </c>
      <c r="I669" s="4" t="s">
        <v>7</v>
      </c>
      <c r="J669" s="4" t="s">
        <v>420</v>
      </c>
      <c r="K669" s="4">
        <v>6</v>
      </c>
      <c r="L669" s="5">
        <v>118.42</v>
      </c>
      <c r="M669" s="5">
        <v>710.52</v>
      </c>
      <c r="N669" s="5">
        <v>464.24</v>
      </c>
      <c r="O669" s="5">
        <v>246.28</v>
      </c>
      <c r="P669" s="4">
        <f>--AND(OR(Dashboard!$A$10="All",C669=Dashboard!$A$10),OR(Dashboard!$A$14="All",F669=Dashboard!$A$14),OR(Dashboard!$A$18="All",G669=Dashboard!$A$18),OR(Dashboard!$A$22="All",I669=Dashboard!$A$22))</f>
        <v>1</v>
      </c>
    </row>
    <row r="670" spans="1:16" ht="15.75" customHeight="1">
      <c r="A670" s="4" t="s">
        <v>876</v>
      </c>
      <c r="B670" s="6">
        <v>45988</v>
      </c>
      <c r="C670" s="4">
        <v>2025</v>
      </c>
      <c r="D670" s="4">
        <v>11</v>
      </c>
      <c r="E670" s="4" t="s">
        <v>89</v>
      </c>
      <c r="F670" s="4" t="s">
        <v>8</v>
      </c>
      <c r="G670" s="4" t="s">
        <v>6</v>
      </c>
      <c r="H670" s="4" t="s">
        <v>136</v>
      </c>
      <c r="I670" s="4" t="s">
        <v>10</v>
      </c>
      <c r="J670" s="4" t="s">
        <v>199</v>
      </c>
      <c r="K670" s="4">
        <v>1</v>
      </c>
      <c r="L670" s="5">
        <v>175.44</v>
      </c>
      <c r="M670" s="5">
        <v>175.44</v>
      </c>
      <c r="N670" s="5">
        <v>112.28</v>
      </c>
      <c r="O670" s="5">
        <v>63.16</v>
      </c>
      <c r="P670" s="4">
        <f>--AND(OR(Dashboard!$A$10="All",C670=Dashboard!$A$10),OR(Dashboard!$A$14="All",F670=Dashboard!$A$14),OR(Dashboard!$A$18="All",G670=Dashboard!$A$18),OR(Dashboard!$A$22="All",I670=Dashboard!$A$22))</f>
        <v>1</v>
      </c>
    </row>
    <row r="671" spans="1:16" ht="15.75" customHeight="1">
      <c r="A671" s="4" t="s">
        <v>877</v>
      </c>
      <c r="B671" s="6">
        <v>45381</v>
      </c>
      <c r="C671" s="4">
        <v>2024</v>
      </c>
      <c r="D671" s="4">
        <v>3</v>
      </c>
      <c r="E671" s="4" t="s">
        <v>100</v>
      </c>
      <c r="F671" s="4" t="s">
        <v>14</v>
      </c>
      <c r="G671" s="4" t="s">
        <v>6</v>
      </c>
      <c r="H671" s="4" t="s">
        <v>114</v>
      </c>
      <c r="I671" s="4" t="s">
        <v>7</v>
      </c>
      <c r="J671" s="4" t="s">
        <v>230</v>
      </c>
      <c r="K671" s="4">
        <v>1</v>
      </c>
      <c r="L671" s="5">
        <v>215.81</v>
      </c>
      <c r="M671" s="5">
        <v>215.81</v>
      </c>
      <c r="N671" s="5">
        <v>138.22999999999999</v>
      </c>
      <c r="O671" s="5">
        <v>77.58</v>
      </c>
      <c r="P671" s="4">
        <f>--AND(OR(Dashboard!$A$10="All",C671=Dashboard!$A$10),OR(Dashboard!$A$14="All",F671=Dashboard!$A$14),OR(Dashboard!$A$18="All",G671=Dashboard!$A$18),OR(Dashboard!$A$22="All",I671=Dashboard!$A$22))</f>
        <v>1</v>
      </c>
    </row>
    <row r="672" spans="1:16" ht="15.75" customHeight="1">
      <c r="A672" s="4" t="s">
        <v>878</v>
      </c>
      <c r="B672" s="6">
        <v>45467</v>
      </c>
      <c r="C672" s="4">
        <v>2024</v>
      </c>
      <c r="D672" s="4">
        <v>6</v>
      </c>
      <c r="E672" s="4" t="s">
        <v>34</v>
      </c>
      <c r="F672" s="4" t="s">
        <v>11</v>
      </c>
      <c r="G672" s="4" t="s">
        <v>6</v>
      </c>
      <c r="H672" s="4" t="s">
        <v>54</v>
      </c>
      <c r="I672" s="4" t="s">
        <v>7</v>
      </c>
      <c r="J672" s="4" t="s">
        <v>144</v>
      </c>
      <c r="K672" s="4">
        <v>4</v>
      </c>
      <c r="L672" s="5">
        <v>81.78</v>
      </c>
      <c r="M672" s="5">
        <v>327.12</v>
      </c>
      <c r="N672" s="5">
        <v>216.27</v>
      </c>
      <c r="O672" s="5">
        <v>110.85</v>
      </c>
      <c r="P672" s="4">
        <f>--AND(OR(Dashboard!$A$10="All",C672=Dashboard!$A$10),OR(Dashboard!$A$14="All",F672=Dashboard!$A$14),OR(Dashboard!$A$18="All",G672=Dashboard!$A$18),OR(Dashboard!$A$22="All",I672=Dashboard!$A$22))</f>
        <v>1</v>
      </c>
    </row>
    <row r="673" spans="1:16" ht="15.75" customHeight="1">
      <c r="A673" s="4" t="s">
        <v>879</v>
      </c>
      <c r="B673" s="6">
        <v>45690</v>
      </c>
      <c r="C673" s="4">
        <v>2025</v>
      </c>
      <c r="D673" s="4">
        <v>2</v>
      </c>
      <c r="E673" s="4" t="s">
        <v>70</v>
      </c>
      <c r="F673" s="4" t="s">
        <v>8</v>
      </c>
      <c r="G673" s="4" t="s">
        <v>9</v>
      </c>
      <c r="H673" s="4" t="s">
        <v>110</v>
      </c>
      <c r="I673" s="4" t="s">
        <v>7</v>
      </c>
      <c r="J673" s="4" t="s">
        <v>146</v>
      </c>
      <c r="K673" s="4">
        <v>2</v>
      </c>
      <c r="L673" s="5">
        <v>25.03</v>
      </c>
      <c r="M673" s="5">
        <v>50.06</v>
      </c>
      <c r="N673" s="5">
        <v>26.02</v>
      </c>
      <c r="O673" s="5">
        <v>24.04</v>
      </c>
      <c r="P673" s="4">
        <f>--AND(OR(Dashboard!$A$10="All",C673=Dashboard!$A$10),OR(Dashboard!$A$14="All",F673=Dashboard!$A$14),OR(Dashboard!$A$18="All",G673=Dashboard!$A$18),OR(Dashboard!$A$22="All",I673=Dashboard!$A$22))</f>
        <v>1</v>
      </c>
    </row>
    <row r="674" spans="1:16" ht="15.75" customHeight="1">
      <c r="A674" s="4" t="s">
        <v>880</v>
      </c>
      <c r="B674" s="6">
        <v>45876</v>
      </c>
      <c r="C674" s="4">
        <v>2025</v>
      </c>
      <c r="D674" s="4">
        <v>8</v>
      </c>
      <c r="E674" s="4" t="s">
        <v>67</v>
      </c>
      <c r="F674" s="4" t="s">
        <v>5</v>
      </c>
      <c r="G674" s="4" t="s">
        <v>12</v>
      </c>
      <c r="H674" s="4" t="s">
        <v>58</v>
      </c>
      <c r="I674" s="4" t="s">
        <v>7</v>
      </c>
      <c r="J674" s="4" t="s">
        <v>249</v>
      </c>
      <c r="K674" s="4">
        <v>1</v>
      </c>
      <c r="L674" s="5">
        <v>136.58000000000001</v>
      </c>
      <c r="M674" s="5">
        <v>136.58000000000001</v>
      </c>
      <c r="N674" s="5">
        <v>85.68</v>
      </c>
      <c r="O674" s="5">
        <v>50.9</v>
      </c>
      <c r="P674" s="4">
        <f>--AND(OR(Dashboard!$A$10="All",C674=Dashboard!$A$10),OR(Dashboard!$A$14="All",F674=Dashboard!$A$14),OR(Dashboard!$A$18="All",G674=Dashboard!$A$18),OR(Dashboard!$A$22="All",I674=Dashboard!$A$22))</f>
        <v>1</v>
      </c>
    </row>
    <row r="675" spans="1:16" ht="15.75" customHeight="1">
      <c r="A675" s="4" t="s">
        <v>881</v>
      </c>
      <c r="B675" s="6">
        <v>45717</v>
      </c>
      <c r="C675" s="4">
        <v>2025</v>
      </c>
      <c r="D675" s="4">
        <v>3</v>
      </c>
      <c r="E675" s="4" t="s">
        <v>100</v>
      </c>
      <c r="F675" s="4" t="s">
        <v>8</v>
      </c>
      <c r="G675" s="4" t="s">
        <v>6</v>
      </c>
      <c r="H675" s="4" t="s">
        <v>136</v>
      </c>
      <c r="I675" s="4" t="s">
        <v>7</v>
      </c>
      <c r="J675" s="4" t="s">
        <v>491</v>
      </c>
      <c r="K675" s="4">
        <v>3</v>
      </c>
      <c r="L675" s="5">
        <v>85.33</v>
      </c>
      <c r="M675" s="5">
        <v>255.99</v>
      </c>
      <c r="N675" s="5">
        <v>161.18</v>
      </c>
      <c r="O675" s="5">
        <v>94.81</v>
      </c>
      <c r="P675" s="4">
        <f>--AND(OR(Dashboard!$A$10="All",C675=Dashboard!$A$10),OR(Dashboard!$A$14="All",F675=Dashboard!$A$14),OR(Dashboard!$A$18="All",G675=Dashboard!$A$18),OR(Dashboard!$A$22="All",I675=Dashboard!$A$22))</f>
        <v>1</v>
      </c>
    </row>
    <row r="676" spans="1:16" ht="15.75" customHeight="1">
      <c r="A676" s="4" t="s">
        <v>882</v>
      </c>
      <c r="B676" s="6">
        <v>45979</v>
      </c>
      <c r="C676" s="4">
        <v>2025</v>
      </c>
      <c r="D676" s="4">
        <v>11</v>
      </c>
      <c r="E676" s="4" t="s">
        <v>89</v>
      </c>
      <c r="F676" s="4" t="s">
        <v>8</v>
      </c>
      <c r="G676" s="4" t="s">
        <v>6</v>
      </c>
      <c r="H676" s="4" t="s">
        <v>80</v>
      </c>
      <c r="I676" s="4" t="s">
        <v>7</v>
      </c>
      <c r="J676" s="4" t="s">
        <v>205</v>
      </c>
      <c r="K676" s="4">
        <v>1</v>
      </c>
      <c r="L676" s="5">
        <v>119.39</v>
      </c>
      <c r="M676" s="5">
        <v>119.39</v>
      </c>
      <c r="N676" s="5">
        <v>77.87</v>
      </c>
      <c r="O676" s="5">
        <v>41.52</v>
      </c>
      <c r="P676" s="4">
        <f>--AND(OR(Dashboard!$A$10="All",C676=Dashboard!$A$10),OR(Dashboard!$A$14="All",F676=Dashboard!$A$14),OR(Dashboard!$A$18="All",G676=Dashboard!$A$18),OR(Dashboard!$A$22="All",I676=Dashboard!$A$22))</f>
        <v>1</v>
      </c>
    </row>
    <row r="677" spans="1:16" ht="15.75" customHeight="1">
      <c r="A677" s="4" t="s">
        <v>883</v>
      </c>
      <c r="B677" s="6">
        <v>45806</v>
      </c>
      <c r="C677" s="4">
        <v>2025</v>
      </c>
      <c r="D677" s="4">
        <v>5</v>
      </c>
      <c r="E677" s="4" t="s">
        <v>108</v>
      </c>
      <c r="F677" s="4" t="s">
        <v>5</v>
      </c>
      <c r="G677" s="4" t="s">
        <v>12</v>
      </c>
      <c r="H677" s="4" t="s">
        <v>127</v>
      </c>
      <c r="I677" s="4" t="s">
        <v>7</v>
      </c>
      <c r="J677" s="4" t="s">
        <v>230</v>
      </c>
      <c r="K677" s="4">
        <v>2</v>
      </c>
      <c r="L677" s="5">
        <v>276.19</v>
      </c>
      <c r="M677" s="5">
        <v>552.38</v>
      </c>
      <c r="N677" s="5">
        <v>334.18</v>
      </c>
      <c r="O677" s="5">
        <v>218.2</v>
      </c>
      <c r="P677" s="4">
        <f>--AND(OR(Dashboard!$A$10="All",C677=Dashboard!$A$10),OR(Dashboard!$A$14="All",F677=Dashboard!$A$14),OR(Dashboard!$A$18="All",G677=Dashboard!$A$18),OR(Dashboard!$A$22="All",I677=Dashboard!$A$22))</f>
        <v>1</v>
      </c>
    </row>
    <row r="678" spans="1:16" ht="15.75" customHeight="1">
      <c r="A678" s="4" t="s">
        <v>884</v>
      </c>
      <c r="B678" s="6">
        <v>45824</v>
      </c>
      <c r="C678" s="4">
        <v>2025</v>
      </c>
      <c r="D678" s="4">
        <v>6</v>
      </c>
      <c r="E678" s="4" t="s">
        <v>34</v>
      </c>
      <c r="F678" s="4" t="s">
        <v>14</v>
      </c>
      <c r="G678" s="4" t="s">
        <v>12</v>
      </c>
      <c r="H678" s="4" t="s">
        <v>124</v>
      </c>
      <c r="I678" s="4" t="s">
        <v>7</v>
      </c>
      <c r="J678" s="4" t="s">
        <v>131</v>
      </c>
      <c r="K678" s="4">
        <v>10</v>
      </c>
      <c r="L678" s="5">
        <v>202.86</v>
      </c>
      <c r="M678" s="5">
        <v>2028.6</v>
      </c>
      <c r="N678" s="5">
        <v>1265.31</v>
      </c>
      <c r="O678" s="5">
        <v>763.29</v>
      </c>
      <c r="P678" s="4">
        <f>--AND(OR(Dashboard!$A$10="All",C678=Dashboard!$A$10),OR(Dashboard!$A$14="All",F678=Dashboard!$A$14),OR(Dashboard!$A$18="All",G678=Dashboard!$A$18),OR(Dashboard!$A$22="All",I678=Dashboard!$A$22))</f>
        <v>1</v>
      </c>
    </row>
    <row r="679" spans="1:16" ht="15.75" customHeight="1">
      <c r="A679" s="4" t="s">
        <v>885</v>
      </c>
      <c r="B679" s="6">
        <v>45347</v>
      </c>
      <c r="C679" s="4">
        <v>2024</v>
      </c>
      <c r="D679" s="4">
        <v>2</v>
      </c>
      <c r="E679" s="4" t="s">
        <v>70</v>
      </c>
      <c r="F679" s="4" t="s">
        <v>5</v>
      </c>
      <c r="G679" s="4" t="s">
        <v>12</v>
      </c>
      <c r="H679" s="4" t="s">
        <v>58</v>
      </c>
      <c r="I679" s="4" t="s">
        <v>7</v>
      </c>
      <c r="J679" s="4" t="s">
        <v>218</v>
      </c>
      <c r="K679" s="4">
        <v>2</v>
      </c>
      <c r="L679" s="5">
        <v>121.86</v>
      </c>
      <c r="M679" s="5">
        <v>243.72</v>
      </c>
      <c r="N679" s="5">
        <v>140.44999999999999</v>
      </c>
      <c r="O679" s="5">
        <v>103.27</v>
      </c>
      <c r="P679" s="4">
        <f>--AND(OR(Dashboard!$A$10="All",C679=Dashboard!$A$10),OR(Dashboard!$A$14="All",F679=Dashboard!$A$14),OR(Dashboard!$A$18="All",G679=Dashboard!$A$18),OR(Dashboard!$A$22="All",I679=Dashboard!$A$22))</f>
        <v>1</v>
      </c>
    </row>
    <row r="680" spans="1:16" ht="15.75" customHeight="1">
      <c r="A680" s="4" t="s">
        <v>886</v>
      </c>
      <c r="B680" s="6">
        <v>45994</v>
      </c>
      <c r="C680" s="4">
        <v>2025</v>
      </c>
      <c r="D680" s="4">
        <v>12</v>
      </c>
      <c r="E680" s="4" t="s">
        <v>57</v>
      </c>
      <c r="F680" s="4" t="s">
        <v>5</v>
      </c>
      <c r="G680" s="4" t="s">
        <v>12</v>
      </c>
      <c r="H680" s="4" t="s">
        <v>92</v>
      </c>
      <c r="I680" s="4" t="s">
        <v>13</v>
      </c>
      <c r="J680" s="4" t="s">
        <v>104</v>
      </c>
      <c r="K680" s="4">
        <v>4</v>
      </c>
      <c r="L680" s="5">
        <v>203.94</v>
      </c>
      <c r="M680" s="5">
        <v>815.76</v>
      </c>
      <c r="N680" s="5">
        <v>472.36</v>
      </c>
      <c r="O680" s="5">
        <v>343.4</v>
      </c>
      <c r="P680" s="4">
        <f>--AND(OR(Dashboard!$A$10="All",C680=Dashboard!$A$10),OR(Dashboard!$A$14="All",F680=Dashboard!$A$14),OR(Dashboard!$A$18="All",G680=Dashboard!$A$18),OR(Dashboard!$A$22="All",I680=Dashboard!$A$22))</f>
        <v>1</v>
      </c>
    </row>
    <row r="681" spans="1:16" ht="15.75" customHeight="1">
      <c r="A681" s="4" t="s">
        <v>887</v>
      </c>
      <c r="B681" s="6">
        <v>45701</v>
      </c>
      <c r="C681" s="4">
        <v>2025</v>
      </c>
      <c r="D681" s="4">
        <v>2</v>
      </c>
      <c r="E681" s="4" t="s">
        <v>70</v>
      </c>
      <c r="F681" s="4" t="s">
        <v>5</v>
      </c>
      <c r="G681" s="4" t="s">
        <v>6</v>
      </c>
      <c r="H681" s="4" t="s">
        <v>80</v>
      </c>
      <c r="I681" s="4" t="s">
        <v>10</v>
      </c>
      <c r="J681" s="4" t="s">
        <v>162</v>
      </c>
      <c r="K681" s="4">
        <v>1</v>
      </c>
      <c r="L681" s="5">
        <v>200.28</v>
      </c>
      <c r="M681" s="5">
        <v>200.28</v>
      </c>
      <c r="N681" s="5">
        <v>130.21</v>
      </c>
      <c r="O681" s="5">
        <v>70.069999999999993</v>
      </c>
      <c r="P681" s="4">
        <f>--AND(OR(Dashboard!$A$10="All",C681=Dashboard!$A$10),OR(Dashboard!$A$14="All",F681=Dashboard!$A$14),OR(Dashboard!$A$18="All",G681=Dashboard!$A$18),OR(Dashboard!$A$22="All",I681=Dashboard!$A$22))</f>
        <v>1</v>
      </c>
    </row>
    <row r="682" spans="1:16" ht="15.75" customHeight="1">
      <c r="A682" s="4" t="s">
        <v>888</v>
      </c>
      <c r="B682" s="6">
        <v>45607</v>
      </c>
      <c r="C682" s="4">
        <v>2024</v>
      </c>
      <c r="D682" s="4">
        <v>11</v>
      </c>
      <c r="E682" s="4" t="s">
        <v>89</v>
      </c>
      <c r="F682" s="4" t="s">
        <v>14</v>
      </c>
      <c r="G682" s="4" t="s">
        <v>12</v>
      </c>
      <c r="H682" s="4" t="s">
        <v>86</v>
      </c>
      <c r="I682" s="4" t="s">
        <v>7</v>
      </c>
      <c r="J682" s="4" t="s">
        <v>68</v>
      </c>
      <c r="K682" s="4">
        <v>5</v>
      </c>
      <c r="L682" s="5">
        <v>120.75</v>
      </c>
      <c r="M682" s="5">
        <v>603.75</v>
      </c>
      <c r="N682" s="5">
        <v>377.63</v>
      </c>
      <c r="O682" s="5">
        <v>226.12</v>
      </c>
      <c r="P682" s="4">
        <f>--AND(OR(Dashboard!$A$10="All",C682=Dashboard!$A$10),OR(Dashboard!$A$14="All",F682=Dashboard!$A$14),OR(Dashboard!$A$18="All",G682=Dashboard!$A$18),OR(Dashboard!$A$22="All",I682=Dashboard!$A$22))</f>
        <v>1</v>
      </c>
    </row>
    <row r="683" spans="1:16" ht="15.75" customHeight="1">
      <c r="A683" s="4" t="s">
        <v>889</v>
      </c>
      <c r="B683" s="6">
        <v>45763</v>
      </c>
      <c r="C683" s="4">
        <v>2025</v>
      </c>
      <c r="D683" s="4">
        <v>4</v>
      </c>
      <c r="E683" s="4" t="s">
        <v>106</v>
      </c>
      <c r="F683" s="4" t="s">
        <v>5</v>
      </c>
      <c r="G683" s="4" t="s">
        <v>12</v>
      </c>
      <c r="H683" s="4" t="s">
        <v>58</v>
      </c>
      <c r="I683" s="4" t="s">
        <v>7</v>
      </c>
      <c r="J683" s="4" t="s">
        <v>249</v>
      </c>
      <c r="K683" s="4">
        <v>4</v>
      </c>
      <c r="L683" s="5">
        <v>197.67</v>
      </c>
      <c r="M683" s="5">
        <v>790.68</v>
      </c>
      <c r="N683" s="5">
        <v>467.35</v>
      </c>
      <c r="O683" s="5">
        <v>323.33</v>
      </c>
      <c r="P683" s="4">
        <f>--AND(OR(Dashboard!$A$10="All",C683=Dashboard!$A$10),OR(Dashboard!$A$14="All",F683=Dashboard!$A$14),OR(Dashboard!$A$18="All",G683=Dashboard!$A$18),OR(Dashboard!$A$22="All",I683=Dashboard!$A$22))</f>
        <v>1</v>
      </c>
    </row>
    <row r="684" spans="1:16" ht="15.75" customHeight="1">
      <c r="A684" s="4" t="s">
        <v>890</v>
      </c>
      <c r="B684" s="6">
        <v>45612</v>
      </c>
      <c r="C684" s="4">
        <v>2024</v>
      </c>
      <c r="D684" s="4">
        <v>11</v>
      </c>
      <c r="E684" s="4" t="s">
        <v>89</v>
      </c>
      <c r="F684" s="4" t="s">
        <v>5</v>
      </c>
      <c r="G684" s="4" t="s">
        <v>9</v>
      </c>
      <c r="H684" s="4" t="s">
        <v>142</v>
      </c>
      <c r="I684" s="4" t="s">
        <v>7</v>
      </c>
      <c r="J684" s="4" t="s">
        <v>240</v>
      </c>
      <c r="K684" s="4">
        <v>8</v>
      </c>
      <c r="L684" s="5">
        <v>53.01</v>
      </c>
      <c r="M684" s="5">
        <v>424.08</v>
      </c>
      <c r="N684" s="5">
        <v>218.52</v>
      </c>
      <c r="O684" s="5">
        <v>205.56</v>
      </c>
      <c r="P684" s="4">
        <f>--AND(OR(Dashboard!$A$10="All",C684=Dashboard!$A$10),OR(Dashboard!$A$14="All",F684=Dashboard!$A$14),OR(Dashboard!$A$18="All",G684=Dashboard!$A$18),OR(Dashboard!$A$22="All",I684=Dashboard!$A$22))</f>
        <v>1</v>
      </c>
    </row>
    <row r="685" spans="1:16" ht="15.75" customHeight="1">
      <c r="A685" s="4" t="s">
        <v>891</v>
      </c>
      <c r="B685" s="6">
        <v>45441</v>
      </c>
      <c r="C685" s="4">
        <v>2024</v>
      </c>
      <c r="D685" s="4">
        <v>5</v>
      </c>
      <c r="E685" s="4" t="s">
        <v>108</v>
      </c>
      <c r="F685" s="4" t="s">
        <v>11</v>
      </c>
      <c r="G685" s="4" t="s">
        <v>12</v>
      </c>
      <c r="H685" s="4" t="s">
        <v>58</v>
      </c>
      <c r="I685" s="4" t="s">
        <v>10</v>
      </c>
      <c r="J685" s="4" t="s">
        <v>55</v>
      </c>
      <c r="K685" s="4">
        <v>1</v>
      </c>
      <c r="L685" s="5">
        <v>289.63</v>
      </c>
      <c r="M685" s="5">
        <v>289.63</v>
      </c>
      <c r="N685" s="5">
        <v>180.79</v>
      </c>
      <c r="O685" s="5">
        <v>108.84</v>
      </c>
      <c r="P685" s="4">
        <f>--AND(OR(Dashboard!$A$10="All",C685=Dashboard!$A$10),OR(Dashboard!$A$14="All",F685=Dashboard!$A$14),OR(Dashboard!$A$18="All",G685=Dashboard!$A$18),OR(Dashboard!$A$22="All",I685=Dashboard!$A$22))</f>
        <v>1</v>
      </c>
    </row>
    <row r="686" spans="1:16" ht="15.75" customHeight="1">
      <c r="A686" s="4" t="s">
        <v>892</v>
      </c>
      <c r="B686" s="6">
        <v>45293</v>
      </c>
      <c r="C686" s="4">
        <v>2024</v>
      </c>
      <c r="D686" s="4">
        <v>1</v>
      </c>
      <c r="E686" s="4" t="s">
        <v>30</v>
      </c>
      <c r="F686" s="4" t="s">
        <v>11</v>
      </c>
      <c r="G686" s="4" t="s">
        <v>9</v>
      </c>
      <c r="H686" s="4" t="s">
        <v>110</v>
      </c>
      <c r="I686" s="4" t="s">
        <v>7</v>
      </c>
      <c r="J686" s="4" t="s">
        <v>115</v>
      </c>
      <c r="K686" s="4">
        <v>1</v>
      </c>
      <c r="L686" s="5">
        <v>62.51</v>
      </c>
      <c r="M686" s="5">
        <v>62.51</v>
      </c>
      <c r="N686" s="5">
        <v>31.9</v>
      </c>
      <c r="O686" s="5">
        <v>30.61</v>
      </c>
      <c r="P686" s="4">
        <f>--AND(OR(Dashboard!$A$10="All",C686=Dashboard!$A$10),OR(Dashboard!$A$14="All",F686=Dashboard!$A$14),OR(Dashboard!$A$18="All",G686=Dashboard!$A$18),OR(Dashboard!$A$22="All",I686=Dashboard!$A$22))</f>
        <v>1</v>
      </c>
    </row>
    <row r="687" spans="1:16" ht="15.75" customHeight="1">
      <c r="A687" s="4" t="s">
        <v>893</v>
      </c>
      <c r="B687" s="6">
        <v>45782</v>
      </c>
      <c r="C687" s="4">
        <v>2025</v>
      </c>
      <c r="D687" s="4">
        <v>5</v>
      </c>
      <c r="E687" s="4" t="s">
        <v>108</v>
      </c>
      <c r="F687" s="4" t="s">
        <v>11</v>
      </c>
      <c r="G687" s="4" t="s">
        <v>9</v>
      </c>
      <c r="H687" s="4" t="s">
        <v>142</v>
      </c>
      <c r="I687" s="4" t="s">
        <v>10</v>
      </c>
      <c r="J687" s="4" t="s">
        <v>179</v>
      </c>
      <c r="K687" s="4">
        <v>2</v>
      </c>
      <c r="L687" s="5">
        <v>36.909999999999997</v>
      </c>
      <c r="M687" s="5">
        <v>73.819999999999993</v>
      </c>
      <c r="N687" s="5">
        <v>38.25</v>
      </c>
      <c r="O687" s="5">
        <v>35.57</v>
      </c>
      <c r="P687" s="4">
        <f>--AND(OR(Dashboard!$A$10="All",C687=Dashboard!$A$10),OR(Dashboard!$A$14="All",F687=Dashboard!$A$14),OR(Dashboard!$A$18="All",G687=Dashboard!$A$18),OR(Dashboard!$A$22="All",I687=Dashboard!$A$22))</f>
        <v>1</v>
      </c>
    </row>
    <row r="688" spans="1:16" ht="15.75" customHeight="1">
      <c r="A688" s="4" t="s">
        <v>894</v>
      </c>
      <c r="B688" s="6">
        <v>45822</v>
      </c>
      <c r="C688" s="4">
        <v>2025</v>
      </c>
      <c r="D688" s="4">
        <v>6</v>
      </c>
      <c r="E688" s="4" t="s">
        <v>34</v>
      </c>
      <c r="F688" s="4" t="s">
        <v>11</v>
      </c>
      <c r="G688" s="4" t="s">
        <v>6</v>
      </c>
      <c r="H688" s="4" t="s">
        <v>54</v>
      </c>
      <c r="I688" s="4" t="s">
        <v>7</v>
      </c>
      <c r="J688" s="4" t="s">
        <v>207</v>
      </c>
      <c r="K688" s="4">
        <v>1</v>
      </c>
      <c r="L688" s="5">
        <v>97.67</v>
      </c>
      <c r="M688" s="5">
        <v>97.67</v>
      </c>
      <c r="N688" s="5">
        <v>65.33</v>
      </c>
      <c r="O688" s="5">
        <v>32.340000000000003</v>
      </c>
      <c r="P688" s="4">
        <f>--AND(OR(Dashboard!$A$10="All",C688=Dashboard!$A$10),OR(Dashboard!$A$14="All",F688=Dashboard!$A$14),OR(Dashboard!$A$18="All",G688=Dashboard!$A$18),OR(Dashboard!$A$22="All",I688=Dashboard!$A$22))</f>
        <v>1</v>
      </c>
    </row>
    <row r="689" spans="1:16" ht="15.75" customHeight="1">
      <c r="A689" s="4" t="s">
        <v>895</v>
      </c>
      <c r="B689" s="6">
        <v>45906</v>
      </c>
      <c r="C689" s="4">
        <v>2025</v>
      </c>
      <c r="D689" s="4">
        <v>9</v>
      </c>
      <c r="E689" s="4" t="s">
        <v>79</v>
      </c>
      <c r="F689" s="4" t="s">
        <v>5</v>
      </c>
      <c r="G689" s="4" t="s">
        <v>9</v>
      </c>
      <c r="H689" s="4" t="s">
        <v>142</v>
      </c>
      <c r="I689" s="4" t="s">
        <v>10</v>
      </c>
      <c r="J689" s="4" t="s">
        <v>381</v>
      </c>
      <c r="K689" s="4">
        <v>5</v>
      </c>
      <c r="L689" s="5">
        <v>53.05</v>
      </c>
      <c r="M689" s="5">
        <v>265.25</v>
      </c>
      <c r="N689" s="5">
        <v>132.94999999999999</v>
      </c>
      <c r="O689" s="5">
        <v>132.30000000000001</v>
      </c>
      <c r="P689" s="4">
        <f>--AND(OR(Dashboard!$A$10="All",C689=Dashboard!$A$10),OR(Dashboard!$A$14="All",F689=Dashboard!$A$14),OR(Dashboard!$A$18="All",G689=Dashboard!$A$18),OR(Dashboard!$A$22="All",I689=Dashboard!$A$22))</f>
        <v>1</v>
      </c>
    </row>
    <row r="690" spans="1:16" ht="15.75" customHeight="1">
      <c r="A690" s="4" t="s">
        <v>896</v>
      </c>
      <c r="B690" s="6">
        <v>45726</v>
      </c>
      <c r="C690" s="4">
        <v>2025</v>
      </c>
      <c r="D690" s="4">
        <v>3</v>
      </c>
      <c r="E690" s="4" t="s">
        <v>100</v>
      </c>
      <c r="F690" s="4" t="s">
        <v>5</v>
      </c>
      <c r="G690" s="4" t="s">
        <v>12</v>
      </c>
      <c r="H690" s="4" t="s">
        <v>86</v>
      </c>
      <c r="I690" s="4" t="s">
        <v>13</v>
      </c>
      <c r="J690" s="4" t="s">
        <v>68</v>
      </c>
      <c r="K690" s="4">
        <v>3</v>
      </c>
      <c r="L690" s="5">
        <v>161.85</v>
      </c>
      <c r="M690" s="5">
        <v>485.55</v>
      </c>
      <c r="N690" s="5">
        <v>285.14</v>
      </c>
      <c r="O690" s="5">
        <v>200.41</v>
      </c>
      <c r="P690" s="4">
        <f>--AND(OR(Dashboard!$A$10="All",C690=Dashboard!$A$10),OR(Dashboard!$A$14="All",F690=Dashboard!$A$14),OR(Dashboard!$A$18="All",G690=Dashboard!$A$18),OR(Dashboard!$A$22="All",I690=Dashboard!$A$22))</f>
        <v>1</v>
      </c>
    </row>
    <row r="691" spans="1:16" ht="15.75" customHeight="1">
      <c r="A691" s="4" t="s">
        <v>897</v>
      </c>
      <c r="B691" s="6">
        <v>45968</v>
      </c>
      <c r="C691" s="4">
        <v>2025</v>
      </c>
      <c r="D691" s="4">
        <v>11</v>
      </c>
      <c r="E691" s="4" t="s">
        <v>89</v>
      </c>
      <c r="F691" s="4" t="s">
        <v>5</v>
      </c>
      <c r="G691" s="4" t="s">
        <v>9</v>
      </c>
      <c r="H691" s="4" t="s">
        <v>64</v>
      </c>
      <c r="I691" s="4" t="s">
        <v>7</v>
      </c>
      <c r="J691" s="4" t="s">
        <v>311</v>
      </c>
      <c r="K691" s="4">
        <v>2</v>
      </c>
      <c r="L691" s="5">
        <v>32.82</v>
      </c>
      <c r="M691" s="5">
        <v>65.64</v>
      </c>
      <c r="N691" s="5">
        <v>32.81</v>
      </c>
      <c r="O691" s="5">
        <v>32.83</v>
      </c>
      <c r="P691" s="4">
        <f>--AND(OR(Dashboard!$A$10="All",C691=Dashboard!$A$10),OR(Dashboard!$A$14="All",F691=Dashboard!$A$14),OR(Dashboard!$A$18="All",G691=Dashboard!$A$18),OR(Dashboard!$A$22="All",I691=Dashboard!$A$22))</f>
        <v>1</v>
      </c>
    </row>
    <row r="692" spans="1:16" ht="15.75" customHeight="1">
      <c r="A692" s="4" t="s">
        <v>898</v>
      </c>
      <c r="B692" s="6">
        <v>45453</v>
      </c>
      <c r="C692" s="4">
        <v>2024</v>
      </c>
      <c r="D692" s="4">
        <v>6</v>
      </c>
      <c r="E692" s="4" t="s">
        <v>34</v>
      </c>
      <c r="F692" s="4" t="s">
        <v>8</v>
      </c>
      <c r="G692" s="4" t="s">
        <v>9</v>
      </c>
      <c r="H692" s="4" t="s">
        <v>110</v>
      </c>
      <c r="I692" s="4" t="s">
        <v>13</v>
      </c>
      <c r="J692" s="4" t="s">
        <v>81</v>
      </c>
      <c r="K692" s="4">
        <v>3</v>
      </c>
      <c r="L692" s="5">
        <v>48.36</v>
      </c>
      <c r="M692" s="5">
        <v>145.08000000000001</v>
      </c>
      <c r="N692" s="5">
        <v>75.06</v>
      </c>
      <c r="O692" s="5">
        <v>70.02</v>
      </c>
      <c r="P692" s="4">
        <f>--AND(OR(Dashboard!$A$10="All",C692=Dashboard!$A$10),OR(Dashboard!$A$14="All",F692=Dashboard!$A$14),OR(Dashboard!$A$18="All",G692=Dashboard!$A$18),OR(Dashboard!$A$22="All",I692=Dashboard!$A$22))</f>
        <v>1</v>
      </c>
    </row>
    <row r="693" spans="1:16" ht="15.75" customHeight="1">
      <c r="A693" s="4" t="s">
        <v>899</v>
      </c>
      <c r="B693" s="6">
        <v>45380</v>
      </c>
      <c r="C693" s="4">
        <v>2024</v>
      </c>
      <c r="D693" s="4">
        <v>3</v>
      </c>
      <c r="E693" s="4" t="s">
        <v>100</v>
      </c>
      <c r="F693" s="4" t="s">
        <v>5</v>
      </c>
      <c r="G693" s="4" t="s">
        <v>6</v>
      </c>
      <c r="H693" s="4" t="s">
        <v>54</v>
      </c>
      <c r="I693" s="4" t="s">
        <v>7</v>
      </c>
      <c r="J693" s="4" t="s">
        <v>134</v>
      </c>
      <c r="K693" s="4">
        <v>2</v>
      </c>
      <c r="L693" s="5">
        <v>188.89</v>
      </c>
      <c r="M693" s="5">
        <v>377.78</v>
      </c>
      <c r="N693" s="5">
        <v>257.93</v>
      </c>
      <c r="O693" s="5">
        <v>119.85</v>
      </c>
      <c r="P693" s="4">
        <f>--AND(OR(Dashboard!$A$10="All",C693=Dashboard!$A$10),OR(Dashboard!$A$14="All",F693=Dashboard!$A$14),OR(Dashboard!$A$18="All",G693=Dashboard!$A$18),OR(Dashboard!$A$22="All",I693=Dashboard!$A$22))</f>
        <v>1</v>
      </c>
    </row>
    <row r="694" spans="1:16" ht="15.75" customHeight="1">
      <c r="A694" s="4" t="s">
        <v>900</v>
      </c>
      <c r="B694" s="6">
        <v>45960</v>
      </c>
      <c r="C694" s="4">
        <v>2025</v>
      </c>
      <c r="D694" s="4">
        <v>10</v>
      </c>
      <c r="E694" s="4" t="s">
        <v>120</v>
      </c>
      <c r="F694" s="4" t="s">
        <v>5</v>
      </c>
      <c r="G694" s="4" t="s">
        <v>12</v>
      </c>
      <c r="H694" s="4" t="s">
        <v>127</v>
      </c>
      <c r="I694" s="4" t="s">
        <v>10</v>
      </c>
      <c r="J694" s="4" t="s">
        <v>317</v>
      </c>
      <c r="K694" s="4">
        <v>2</v>
      </c>
      <c r="L694" s="5">
        <v>183.77</v>
      </c>
      <c r="M694" s="5">
        <v>367.54</v>
      </c>
      <c r="N694" s="5">
        <v>222.59</v>
      </c>
      <c r="O694" s="5">
        <v>144.94999999999999</v>
      </c>
      <c r="P694" s="4">
        <f>--AND(OR(Dashboard!$A$10="All",C694=Dashboard!$A$10),OR(Dashboard!$A$14="All",F694=Dashboard!$A$14),OR(Dashboard!$A$18="All",G694=Dashboard!$A$18),OR(Dashboard!$A$22="All",I694=Dashboard!$A$22))</f>
        <v>1</v>
      </c>
    </row>
    <row r="695" spans="1:16" ht="15.75" customHeight="1">
      <c r="A695" s="4" t="s">
        <v>901</v>
      </c>
      <c r="B695" s="6">
        <v>45526</v>
      </c>
      <c r="C695" s="4">
        <v>2024</v>
      </c>
      <c r="D695" s="4">
        <v>8</v>
      </c>
      <c r="E695" s="4" t="s">
        <v>67</v>
      </c>
      <c r="F695" s="4" t="s">
        <v>8</v>
      </c>
      <c r="G695" s="4" t="s">
        <v>6</v>
      </c>
      <c r="H695" s="4" t="s">
        <v>98</v>
      </c>
      <c r="I695" s="4" t="s">
        <v>10</v>
      </c>
      <c r="J695" s="4" t="s">
        <v>460</v>
      </c>
      <c r="K695" s="4">
        <v>6</v>
      </c>
      <c r="L695" s="5">
        <v>204.1</v>
      </c>
      <c r="M695" s="5">
        <v>1224.5999999999999</v>
      </c>
      <c r="N695" s="5">
        <v>846.14</v>
      </c>
      <c r="O695" s="5">
        <v>378.46</v>
      </c>
      <c r="P695" s="4">
        <f>--AND(OR(Dashboard!$A$10="All",C695=Dashboard!$A$10),OR(Dashboard!$A$14="All",F695=Dashboard!$A$14),OR(Dashboard!$A$18="All",G695=Dashboard!$A$18),OR(Dashboard!$A$22="All",I695=Dashboard!$A$22))</f>
        <v>1</v>
      </c>
    </row>
    <row r="696" spans="1:16" ht="15.75" customHeight="1">
      <c r="A696" s="4" t="s">
        <v>902</v>
      </c>
      <c r="B696" s="6">
        <v>45734</v>
      </c>
      <c r="C696" s="4">
        <v>2025</v>
      </c>
      <c r="D696" s="4">
        <v>3</v>
      </c>
      <c r="E696" s="4" t="s">
        <v>100</v>
      </c>
      <c r="F696" s="4" t="s">
        <v>14</v>
      </c>
      <c r="G696" s="4" t="s">
        <v>12</v>
      </c>
      <c r="H696" s="4" t="s">
        <v>127</v>
      </c>
      <c r="I696" s="4" t="s">
        <v>7</v>
      </c>
      <c r="J696" s="4" t="s">
        <v>193</v>
      </c>
      <c r="K696" s="4">
        <v>4</v>
      </c>
      <c r="L696" s="5">
        <v>117.3</v>
      </c>
      <c r="M696" s="5">
        <v>469.2</v>
      </c>
      <c r="N696" s="5">
        <v>285.14999999999998</v>
      </c>
      <c r="O696" s="5">
        <v>184.05</v>
      </c>
      <c r="P696" s="4">
        <f>--AND(OR(Dashboard!$A$10="All",C696=Dashboard!$A$10),OR(Dashboard!$A$14="All",F696=Dashboard!$A$14),OR(Dashboard!$A$18="All",G696=Dashboard!$A$18),OR(Dashboard!$A$22="All",I696=Dashboard!$A$22))</f>
        <v>1</v>
      </c>
    </row>
    <row r="697" spans="1:16" ht="15.75" customHeight="1">
      <c r="A697" s="4" t="s">
        <v>903</v>
      </c>
      <c r="B697" s="6">
        <v>45480</v>
      </c>
      <c r="C697" s="4">
        <v>2024</v>
      </c>
      <c r="D697" s="4">
        <v>7</v>
      </c>
      <c r="E697" s="4" t="s">
        <v>63</v>
      </c>
      <c r="F697" s="4" t="s">
        <v>5</v>
      </c>
      <c r="G697" s="4" t="s">
        <v>9</v>
      </c>
      <c r="H697" s="4" t="s">
        <v>71</v>
      </c>
      <c r="I697" s="4" t="s">
        <v>13</v>
      </c>
      <c r="J697" s="4" t="s">
        <v>455</v>
      </c>
      <c r="K697" s="4">
        <v>9</v>
      </c>
      <c r="L697" s="5">
        <v>36.090000000000003</v>
      </c>
      <c r="M697" s="5">
        <v>324.81</v>
      </c>
      <c r="N697" s="5">
        <v>169.21</v>
      </c>
      <c r="O697" s="5">
        <v>155.6</v>
      </c>
      <c r="P697" s="4">
        <f>--AND(OR(Dashboard!$A$10="All",C697=Dashboard!$A$10),OR(Dashboard!$A$14="All",F697=Dashboard!$A$14),OR(Dashboard!$A$18="All",G697=Dashboard!$A$18),OR(Dashboard!$A$22="All",I697=Dashboard!$A$22))</f>
        <v>1</v>
      </c>
    </row>
    <row r="698" spans="1:16" ht="15.75" customHeight="1">
      <c r="A698" s="4" t="s">
        <v>904</v>
      </c>
      <c r="B698" s="6">
        <v>46016</v>
      </c>
      <c r="C698" s="4">
        <v>2025</v>
      </c>
      <c r="D698" s="4">
        <v>12</v>
      </c>
      <c r="E698" s="4" t="s">
        <v>57</v>
      </c>
      <c r="F698" s="4" t="s">
        <v>11</v>
      </c>
      <c r="G698" s="4" t="s">
        <v>9</v>
      </c>
      <c r="H698" s="4" t="s">
        <v>64</v>
      </c>
      <c r="I698" s="4" t="s">
        <v>13</v>
      </c>
      <c r="J698" s="4" t="s">
        <v>371</v>
      </c>
      <c r="K698" s="4">
        <v>3</v>
      </c>
      <c r="L698" s="5">
        <v>49.58</v>
      </c>
      <c r="M698" s="5">
        <v>148.74</v>
      </c>
      <c r="N698" s="5">
        <v>75.73</v>
      </c>
      <c r="O698" s="5">
        <v>73.010000000000005</v>
      </c>
      <c r="P698" s="4">
        <f>--AND(OR(Dashboard!$A$10="All",C698=Dashboard!$A$10),OR(Dashboard!$A$14="All",F698=Dashboard!$A$14),OR(Dashboard!$A$18="All",G698=Dashboard!$A$18),OR(Dashboard!$A$22="All",I698=Dashboard!$A$22))</f>
        <v>1</v>
      </c>
    </row>
    <row r="699" spans="1:16" ht="15.75" customHeight="1">
      <c r="A699" s="4" t="s">
        <v>905</v>
      </c>
      <c r="B699" s="6">
        <v>45302</v>
      </c>
      <c r="C699" s="4">
        <v>2024</v>
      </c>
      <c r="D699" s="4">
        <v>1</v>
      </c>
      <c r="E699" s="4" t="s">
        <v>30</v>
      </c>
      <c r="F699" s="4" t="s">
        <v>5</v>
      </c>
      <c r="G699" s="4" t="s">
        <v>6</v>
      </c>
      <c r="H699" s="4" t="s">
        <v>114</v>
      </c>
      <c r="I699" s="4" t="s">
        <v>7</v>
      </c>
      <c r="J699" s="4" t="s">
        <v>381</v>
      </c>
      <c r="K699" s="4">
        <v>9</v>
      </c>
      <c r="L699" s="5">
        <v>79.36</v>
      </c>
      <c r="M699" s="5">
        <v>714.24</v>
      </c>
      <c r="N699" s="5">
        <v>456.09</v>
      </c>
      <c r="O699" s="5">
        <v>258.14999999999998</v>
      </c>
      <c r="P699" s="4">
        <f>--AND(OR(Dashboard!$A$10="All",C699=Dashboard!$A$10),OR(Dashboard!$A$14="All",F699=Dashboard!$A$14),OR(Dashboard!$A$18="All",G699=Dashboard!$A$18),OR(Dashboard!$A$22="All",I699=Dashboard!$A$22))</f>
        <v>1</v>
      </c>
    </row>
    <row r="700" spans="1:16" ht="15.75" customHeight="1">
      <c r="A700" s="4" t="s">
        <v>906</v>
      </c>
      <c r="B700" s="6">
        <v>45303</v>
      </c>
      <c r="C700" s="4">
        <v>2024</v>
      </c>
      <c r="D700" s="4">
        <v>1</v>
      </c>
      <c r="E700" s="4" t="s">
        <v>30</v>
      </c>
      <c r="F700" s="4" t="s">
        <v>5</v>
      </c>
      <c r="G700" s="4" t="s">
        <v>9</v>
      </c>
      <c r="H700" s="4" t="s">
        <v>142</v>
      </c>
      <c r="I700" s="4" t="s">
        <v>7</v>
      </c>
      <c r="J700" s="4" t="s">
        <v>216</v>
      </c>
      <c r="K700" s="4">
        <v>5</v>
      </c>
      <c r="L700" s="5">
        <v>54.48</v>
      </c>
      <c r="M700" s="5">
        <v>272.39999999999998</v>
      </c>
      <c r="N700" s="5">
        <v>134.59</v>
      </c>
      <c r="O700" s="5">
        <v>137.81</v>
      </c>
      <c r="P700" s="4">
        <f>--AND(OR(Dashboard!$A$10="All",C700=Dashboard!$A$10),OR(Dashboard!$A$14="All",F700=Dashboard!$A$14),OR(Dashboard!$A$18="All",G700=Dashboard!$A$18),OR(Dashboard!$A$22="All",I700=Dashboard!$A$22))</f>
        <v>1</v>
      </c>
    </row>
    <row r="701" spans="1:16" ht="15.75" customHeight="1">
      <c r="A701" s="4" t="s">
        <v>907</v>
      </c>
      <c r="B701" s="6">
        <v>45981</v>
      </c>
      <c r="C701" s="4">
        <v>2025</v>
      </c>
      <c r="D701" s="4">
        <v>11</v>
      </c>
      <c r="E701" s="4" t="s">
        <v>89</v>
      </c>
      <c r="F701" s="4" t="s">
        <v>8</v>
      </c>
      <c r="G701" s="4" t="s">
        <v>12</v>
      </c>
      <c r="H701" s="4" t="s">
        <v>127</v>
      </c>
      <c r="I701" s="4" t="s">
        <v>10</v>
      </c>
      <c r="J701" s="4" t="s">
        <v>321</v>
      </c>
      <c r="K701" s="4">
        <v>2</v>
      </c>
      <c r="L701" s="5">
        <v>195.43</v>
      </c>
      <c r="M701" s="5">
        <v>390.86</v>
      </c>
      <c r="N701" s="5">
        <v>229.07</v>
      </c>
      <c r="O701" s="5">
        <v>161.79</v>
      </c>
      <c r="P701" s="4">
        <f>--AND(OR(Dashboard!$A$10="All",C701=Dashboard!$A$10),OR(Dashboard!$A$14="All",F701=Dashboard!$A$14),OR(Dashboard!$A$18="All",G701=Dashboard!$A$18),OR(Dashboard!$A$22="All",I701=Dashboard!$A$22))</f>
        <v>1</v>
      </c>
    </row>
    <row r="702" spans="1:16" ht="15.75" customHeight="1">
      <c r="A702" s="4" t="s">
        <v>908</v>
      </c>
      <c r="B702" s="6">
        <v>45800</v>
      </c>
      <c r="C702" s="4">
        <v>2025</v>
      </c>
      <c r="D702" s="4">
        <v>5</v>
      </c>
      <c r="E702" s="4" t="s">
        <v>108</v>
      </c>
      <c r="F702" s="4" t="s">
        <v>5</v>
      </c>
      <c r="G702" s="4" t="s">
        <v>6</v>
      </c>
      <c r="H702" s="4" t="s">
        <v>136</v>
      </c>
      <c r="I702" s="4" t="s">
        <v>7</v>
      </c>
      <c r="J702" s="4" t="s">
        <v>280</v>
      </c>
      <c r="K702" s="4">
        <v>5</v>
      </c>
      <c r="L702" s="5">
        <v>150.04</v>
      </c>
      <c r="M702" s="5">
        <v>750.2</v>
      </c>
      <c r="N702" s="5">
        <v>513.77</v>
      </c>
      <c r="O702" s="5">
        <v>236.43</v>
      </c>
      <c r="P702" s="4">
        <f>--AND(OR(Dashboard!$A$10="All",C702=Dashboard!$A$10),OR(Dashboard!$A$14="All",F702=Dashboard!$A$14),OR(Dashboard!$A$18="All",G702=Dashboard!$A$18),OR(Dashboard!$A$22="All",I702=Dashboard!$A$22))</f>
        <v>1</v>
      </c>
    </row>
    <row r="703" spans="1:16" ht="15.75" customHeight="1">
      <c r="A703" s="4" t="s">
        <v>909</v>
      </c>
      <c r="B703" s="6">
        <v>45472</v>
      </c>
      <c r="C703" s="4">
        <v>2024</v>
      </c>
      <c r="D703" s="4">
        <v>6</v>
      </c>
      <c r="E703" s="4" t="s">
        <v>34</v>
      </c>
      <c r="F703" s="4" t="s">
        <v>5</v>
      </c>
      <c r="G703" s="4" t="s">
        <v>9</v>
      </c>
      <c r="H703" s="4" t="s">
        <v>64</v>
      </c>
      <c r="I703" s="4" t="s">
        <v>7</v>
      </c>
      <c r="J703" s="4" t="s">
        <v>174</v>
      </c>
      <c r="K703" s="4">
        <v>2</v>
      </c>
      <c r="L703" s="5">
        <v>52.16</v>
      </c>
      <c r="M703" s="5">
        <v>104.32</v>
      </c>
      <c r="N703" s="5">
        <v>50.95</v>
      </c>
      <c r="O703" s="5">
        <v>53.37</v>
      </c>
      <c r="P703" s="4">
        <f>--AND(OR(Dashboard!$A$10="All",C703=Dashboard!$A$10),OR(Dashboard!$A$14="All",F703=Dashboard!$A$14),OR(Dashboard!$A$18="All",G703=Dashboard!$A$18),OR(Dashboard!$A$22="All",I703=Dashboard!$A$22))</f>
        <v>1</v>
      </c>
    </row>
    <row r="704" spans="1:16" ht="15.75" customHeight="1">
      <c r="A704" s="4" t="s">
        <v>910</v>
      </c>
      <c r="B704" s="6">
        <v>45522</v>
      </c>
      <c r="C704" s="4">
        <v>2024</v>
      </c>
      <c r="D704" s="4">
        <v>8</v>
      </c>
      <c r="E704" s="4" t="s">
        <v>67</v>
      </c>
      <c r="F704" s="4" t="s">
        <v>8</v>
      </c>
      <c r="G704" s="4" t="s">
        <v>6</v>
      </c>
      <c r="H704" s="4" t="s">
        <v>80</v>
      </c>
      <c r="I704" s="4" t="s">
        <v>10</v>
      </c>
      <c r="J704" s="4" t="s">
        <v>218</v>
      </c>
      <c r="K704" s="4">
        <v>3</v>
      </c>
      <c r="L704" s="5">
        <v>176.28</v>
      </c>
      <c r="M704" s="5">
        <v>528.84</v>
      </c>
      <c r="N704" s="5">
        <v>339.12</v>
      </c>
      <c r="O704" s="5">
        <v>189.72</v>
      </c>
      <c r="P704" s="4">
        <f>--AND(OR(Dashboard!$A$10="All",C704=Dashboard!$A$10),OR(Dashboard!$A$14="All",F704=Dashboard!$A$14),OR(Dashboard!$A$18="All",G704=Dashboard!$A$18),OR(Dashboard!$A$22="All",I704=Dashboard!$A$22))</f>
        <v>1</v>
      </c>
    </row>
    <row r="705" spans="1:16" ht="15.75" customHeight="1">
      <c r="A705" s="4" t="s">
        <v>911</v>
      </c>
      <c r="B705" s="6">
        <v>45532</v>
      </c>
      <c r="C705" s="4">
        <v>2024</v>
      </c>
      <c r="D705" s="4">
        <v>8</v>
      </c>
      <c r="E705" s="4" t="s">
        <v>67</v>
      </c>
      <c r="F705" s="4" t="s">
        <v>5</v>
      </c>
      <c r="G705" s="4" t="s">
        <v>9</v>
      </c>
      <c r="H705" s="4" t="s">
        <v>71</v>
      </c>
      <c r="I705" s="4" t="s">
        <v>10</v>
      </c>
      <c r="J705" s="4" t="s">
        <v>104</v>
      </c>
      <c r="K705" s="4">
        <v>2</v>
      </c>
      <c r="L705" s="5">
        <v>22.71</v>
      </c>
      <c r="M705" s="5">
        <v>45.42</v>
      </c>
      <c r="N705" s="5">
        <v>23.07</v>
      </c>
      <c r="O705" s="5">
        <v>22.35</v>
      </c>
      <c r="P705" s="4">
        <f>--AND(OR(Dashboard!$A$10="All",C705=Dashboard!$A$10),OR(Dashboard!$A$14="All",F705=Dashboard!$A$14),OR(Dashboard!$A$18="All",G705=Dashboard!$A$18),OR(Dashboard!$A$22="All",I705=Dashboard!$A$22))</f>
        <v>1</v>
      </c>
    </row>
    <row r="706" spans="1:16" ht="15.75" customHeight="1">
      <c r="A706" s="4" t="s">
        <v>912</v>
      </c>
      <c r="B706" s="6">
        <v>45435</v>
      </c>
      <c r="C706" s="4">
        <v>2024</v>
      </c>
      <c r="D706" s="4">
        <v>5</v>
      </c>
      <c r="E706" s="4" t="s">
        <v>108</v>
      </c>
      <c r="F706" s="4" t="s">
        <v>8</v>
      </c>
      <c r="G706" s="4" t="s">
        <v>6</v>
      </c>
      <c r="H706" s="4" t="s">
        <v>98</v>
      </c>
      <c r="I706" s="4" t="s">
        <v>13</v>
      </c>
      <c r="J706" s="4" t="s">
        <v>162</v>
      </c>
      <c r="K706" s="4">
        <v>1</v>
      </c>
      <c r="L706" s="5">
        <v>222.64</v>
      </c>
      <c r="M706" s="5">
        <v>222.64</v>
      </c>
      <c r="N706" s="5">
        <v>141.38</v>
      </c>
      <c r="O706" s="5">
        <v>81.260000000000005</v>
      </c>
      <c r="P706" s="4">
        <f>--AND(OR(Dashboard!$A$10="All",C706=Dashboard!$A$10),OR(Dashboard!$A$14="All",F706=Dashboard!$A$14),OR(Dashboard!$A$18="All",G706=Dashboard!$A$18),OR(Dashboard!$A$22="All",I706=Dashboard!$A$22))</f>
        <v>1</v>
      </c>
    </row>
    <row r="707" spans="1:16" ht="15.75" customHeight="1">
      <c r="A707" s="4" t="s">
        <v>913</v>
      </c>
      <c r="B707" s="6">
        <v>45359</v>
      </c>
      <c r="C707" s="4">
        <v>2024</v>
      </c>
      <c r="D707" s="4">
        <v>3</v>
      </c>
      <c r="E707" s="4" t="s">
        <v>100</v>
      </c>
      <c r="F707" s="4" t="s">
        <v>5</v>
      </c>
      <c r="G707" s="4" t="s">
        <v>9</v>
      </c>
      <c r="H707" s="4" t="s">
        <v>142</v>
      </c>
      <c r="I707" s="4" t="s">
        <v>7</v>
      </c>
      <c r="J707" s="4" t="s">
        <v>149</v>
      </c>
      <c r="K707" s="4">
        <v>1</v>
      </c>
      <c r="L707" s="5">
        <v>28.72</v>
      </c>
      <c r="M707" s="5">
        <v>28.72</v>
      </c>
      <c r="N707" s="5">
        <v>14.85</v>
      </c>
      <c r="O707" s="5">
        <v>13.87</v>
      </c>
      <c r="P707" s="4">
        <f>--AND(OR(Dashboard!$A$10="All",C707=Dashboard!$A$10),OR(Dashboard!$A$14="All",F707=Dashboard!$A$14),OR(Dashboard!$A$18="All",G707=Dashboard!$A$18),OR(Dashboard!$A$22="All",I707=Dashboard!$A$22))</f>
        <v>1</v>
      </c>
    </row>
    <row r="708" spans="1:16" ht="15.75" customHeight="1">
      <c r="A708" s="4" t="s">
        <v>914</v>
      </c>
      <c r="B708" s="6">
        <v>45962</v>
      </c>
      <c r="C708" s="4">
        <v>2025</v>
      </c>
      <c r="D708" s="4">
        <v>11</v>
      </c>
      <c r="E708" s="4" t="s">
        <v>89</v>
      </c>
      <c r="F708" s="4" t="s">
        <v>5</v>
      </c>
      <c r="G708" s="4" t="s">
        <v>9</v>
      </c>
      <c r="H708" s="4" t="s">
        <v>71</v>
      </c>
      <c r="I708" s="4" t="s">
        <v>7</v>
      </c>
      <c r="J708" s="4" t="s">
        <v>174</v>
      </c>
      <c r="K708" s="4">
        <v>4</v>
      </c>
      <c r="L708" s="5">
        <v>49.71</v>
      </c>
      <c r="M708" s="5">
        <v>198.84</v>
      </c>
      <c r="N708" s="5">
        <v>95.42</v>
      </c>
      <c r="O708" s="5">
        <v>103.42</v>
      </c>
      <c r="P708" s="4">
        <f>--AND(OR(Dashboard!$A$10="All",C708=Dashboard!$A$10),OR(Dashboard!$A$14="All",F708=Dashboard!$A$14),OR(Dashboard!$A$18="All",G708=Dashboard!$A$18),OR(Dashboard!$A$22="All",I708=Dashboard!$A$22))</f>
        <v>1</v>
      </c>
    </row>
    <row r="709" spans="1:16" ht="15.75" customHeight="1">
      <c r="A709" s="4" t="s">
        <v>915</v>
      </c>
      <c r="B709" s="6">
        <v>45413</v>
      </c>
      <c r="C709" s="4">
        <v>2024</v>
      </c>
      <c r="D709" s="4">
        <v>5</v>
      </c>
      <c r="E709" s="4" t="s">
        <v>108</v>
      </c>
      <c r="F709" s="4" t="s">
        <v>11</v>
      </c>
      <c r="G709" s="4" t="s">
        <v>12</v>
      </c>
      <c r="H709" s="4" t="s">
        <v>92</v>
      </c>
      <c r="I709" s="4" t="s">
        <v>7</v>
      </c>
      <c r="J709" s="4" t="s">
        <v>455</v>
      </c>
      <c r="K709" s="4">
        <v>4</v>
      </c>
      <c r="L709" s="5">
        <v>140.96</v>
      </c>
      <c r="M709" s="5">
        <v>563.84</v>
      </c>
      <c r="N709" s="5">
        <v>337.31</v>
      </c>
      <c r="O709" s="5">
        <v>226.53</v>
      </c>
      <c r="P709" s="4">
        <f>--AND(OR(Dashboard!$A$10="All",C709=Dashboard!$A$10),OR(Dashboard!$A$14="All",F709=Dashboard!$A$14),OR(Dashboard!$A$18="All",G709=Dashboard!$A$18),OR(Dashboard!$A$22="All",I709=Dashboard!$A$22))</f>
        <v>1</v>
      </c>
    </row>
    <row r="710" spans="1:16" ht="15.75" customHeight="1">
      <c r="A710" s="4" t="s">
        <v>916</v>
      </c>
      <c r="B710" s="6">
        <v>45875</v>
      </c>
      <c r="C710" s="4">
        <v>2025</v>
      </c>
      <c r="D710" s="4">
        <v>8</v>
      </c>
      <c r="E710" s="4" t="s">
        <v>67</v>
      </c>
      <c r="F710" s="4" t="s">
        <v>5</v>
      </c>
      <c r="G710" s="4" t="s">
        <v>9</v>
      </c>
      <c r="H710" s="4" t="s">
        <v>35</v>
      </c>
      <c r="I710" s="4" t="s">
        <v>7</v>
      </c>
      <c r="J710" s="4" t="s">
        <v>230</v>
      </c>
      <c r="K710" s="4">
        <v>2</v>
      </c>
      <c r="L710" s="5">
        <v>27.7</v>
      </c>
      <c r="M710" s="5">
        <v>55.4</v>
      </c>
      <c r="N710" s="5">
        <v>28.47</v>
      </c>
      <c r="O710" s="5">
        <v>26.93</v>
      </c>
      <c r="P710" s="4">
        <f>--AND(OR(Dashboard!$A$10="All",C710=Dashboard!$A$10),OR(Dashboard!$A$14="All",F710=Dashboard!$A$14),OR(Dashboard!$A$18="All",G710=Dashboard!$A$18),OR(Dashboard!$A$22="All",I710=Dashboard!$A$22))</f>
        <v>1</v>
      </c>
    </row>
    <row r="711" spans="1:16" ht="15.75" customHeight="1">
      <c r="A711" s="4" t="s">
        <v>917</v>
      </c>
      <c r="B711" s="6">
        <v>45343</v>
      </c>
      <c r="C711" s="4">
        <v>2024</v>
      </c>
      <c r="D711" s="4">
        <v>2</v>
      </c>
      <c r="E711" s="4" t="s">
        <v>70</v>
      </c>
      <c r="F711" s="4" t="s">
        <v>5</v>
      </c>
      <c r="G711" s="4" t="s">
        <v>9</v>
      </c>
      <c r="H711" s="4" t="s">
        <v>71</v>
      </c>
      <c r="I711" s="4" t="s">
        <v>7</v>
      </c>
      <c r="J711" s="4" t="s">
        <v>81</v>
      </c>
      <c r="K711" s="4">
        <v>1</v>
      </c>
      <c r="L711" s="5">
        <v>51.95</v>
      </c>
      <c r="M711" s="5">
        <v>51.95</v>
      </c>
      <c r="N711" s="5">
        <v>26.12</v>
      </c>
      <c r="O711" s="5">
        <v>25.83</v>
      </c>
      <c r="P711" s="4">
        <f>--AND(OR(Dashboard!$A$10="All",C711=Dashboard!$A$10),OR(Dashboard!$A$14="All",F711=Dashboard!$A$14),OR(Dashboard!$A$18="All",G711=Dashboard!$A$18),OR(Dashboard!$A$22="All",I711=Dashboard!$A$22))</f>
        <v>1</v>
      </c>
    </row>
    <row r="712" spans="1:16" ht="15.75" customHeight="1">
      <c r="A712" s="4" t="s">
        <v>918</v>
      </c>
      <c r="B712" s="6">
        <v>45731</v>
      </c>
      <c r="C712" s="4">
        <v>2025</v>
      </c>
      <c r="D712" s="4">
        <v>3</v>
      </c>
      <c r="E712" s="4" t="s">
        <v>100</v>
      </c>
      <c r="F712" s="4" t="s">
        <v>8</v>
      </c>
      <c r="G712" s="4" t="s">
        <v>6</v>
      </c>
      <c r="H712" s="4" t="s">
        <v>136</v>
      </c>
      <c r="I712" s="4" t="s">
        <v>7</v>
      </c>
      <c r="J712" s="4" t="s">
        <v>199</v>
      </c>
      <c r="K712" s="4">
        <v>6</v>
      </c>
      <c r="L712" s="5">
        <v>194.79</v>
      </c>
      <c r="M712" s="5">
        <v>1168.74</v>
      </c>
      <c r="N712" s="5">
        <v>769.46</v>
      </c>
      <c r="O712" s="5">
        <v>399.28</v>
      </c>
      <c r="P712" s="4">
        <f>--AND(OR(Dashboard!$A$10="All",C712=Dashboard!$A$10),OR(Dashboard!$A$14="All",F712=Dashboard!$A$14),OR(Dashboard!$A$18="All",G712=Dashboard!$A$18),OR(Dashboard!$A$22="All",I712=Dashboard!$A$22))</f>
        <v>1</v>
      </c>
    </row>
    <row r="713" spans="1:16" ht="15.75" customHeight="1">
      <c r="A713" s="4" t="s">
        <v>919</v>
      </c>
      <c r="B713" s="6">
        <v>45772</v>
      </c>
      <c r="C713" s="4">
        <v>2025</v>
      </c>
      <c r="D713" s="4">
        <v>4</v>
      </c>
      <c r="E713" s="4" t="s">
        <v>106</v>
      </c>
      <c r="F713" s="4" t="s">
        <v>8</v>
      </c>
      <c r="G713" s="4" t="s">
        <v>6</v>
      </c>
      <c r="H713" s="4" t="s">
        <v>114</v>
      </c>
      <c r="I713" s="4" t="s">
        <v>13</v>
      </c>
      <c r="J713" s="4" t="s">
        <v>297</v>
      </c>
      <c r="K713" s="4">
        <v>1</v>
      </c>
      <c r="L713" s="5">
        <v>145.94999999999999</v>
      </c>
      <c r="M713" s="5">
        <v>145.94999999999999</v>
      </c>
      <c r="N713" s="5">
        <v>93.38</v>
      </c>
      <c r="O713" s="5">
        <v>52.57</v>
      </c>
      <c r="P713" s="4">
        <f>--AND(OR(Dashboard!$A$10="All",C713=Dashboard!$A$10),OR(Dashboard!$A$14="All",F713=Dashboard!$A$14),OR(Dashboard!$A$18="All",G713=Dashboard!$A$18),OR(Dashboard!$A$22="All",I713=Dashboard!$A$22))</f>
        <v>1</v>
      </c>
    </row>
    <row r="714" spans="1:16" ht="15.75" customHeight="1">
      <c r="A714" s="4" t="s">
        <v>920</v>
      </c>
      <c r="B714" s="6">
        <v>45390</v>
      </c>
      <c r="C714" s="4">
        <v>2024</v>
      </c>
      <c r="D714" s="4">
        <v>4</v>
      </c>
      <c r="E714" s="4" t="s">
        <v>106</v>
      </c>
      <c r="F714" s="4" t="s">
        <v>5</v>
      </c>
      <c r="G714" s="4" t="s">
        <v>6</v>
      </c>
      <c r="H714" s="4" t="s">
        <v>54</v>
      </c>
      <c r="I714" s="4" t="s">
        <v>13</v>
      </c>
      <c r="J714" s="4" t="s">
        <v>189</v>
      </c>
      <c r="K714" s="4">
        <v>1</v>
      </c>
      <c r="L714" s="5">
        <v>197.06</v>
      </c>
      <c r="M714" s="5">
        <v>197.06</v>
      </c>
      <c r="N714" s="5">
        <v>129.06</v>
      </c>
      <c r="O714" s="5">
        <v>68</v>
      </c>
      <c r="P714" s="4">
        <f>--AND(OR(Dashboard!$A$10="All",C714=Dashboard!$A$10),OR(Dashboard!$A$14="All",F714=Dashboard!$A$14),OR(Dashboard!$A$18="All",G714=Dashboard!$A$18),OR(Dashboard!$A$22="All",I714=Dashboard!$A$22))</f>
        <v>1</v>
      </c>
    </row>
    <row r="715" spans="1:16" ht="15.75" customHeight="1">
      <c r="A715" s="4" t="s">
        <v>921</v>
      </c>
      <c r="B715" s="6">
        <v>45490</v>
      </c>
      <c r="C715" s="4">
        <v>2024</v>
      </c>
      <c r="D715" s="4">
        <v>7</v>
      </c>
      <c r="E715" s="4" t="s">
        <v>63</v>
      </c>
      <c r="F715" s="4" t="s">
        <v>5</v>
      </c>
      <c r="G715" s="4" t="s">
        <v>6</v>
      </c>
      <c r="H715" s="4" t="s">
        <v>80</v>
      </c>
      <c r="I715" s="4" t="s">
        <v>13</v>
      </c>
      <c r="J715" s="4" t="s">
        <v>247</v>
      </c>
      <c r="K715" s="4">
        <v>2</v>
      </c>
      <c r="L715" s="5">
        <v>189.89</v>
      </c>
      <c r="M715" s="5">
        <v>379.78</v>
      </c>
      <c r="N715" s="5">
        <v>239.37</v>
      </c>
      <c r="O715" s="5">
        <v>140.41</v>
      </c>
      <c r="P715" s="4">
        <f>--AND(OR(Dashboard!$A$10="All",C715=Dashboard!$A$10),OR(Dashboard!$A$14="All",F715=Dashboard!$A$14),OR(Dashboard!$A$18="All",G715=Dashboard!$A$18),OR(Dashboard!$A$22="All",I715=Dashboard!$A$22))</f>
        <v>1</v>
      </c>
    </row>
    <row r="716" spans="1:16" ht="15.75" customHeight="1">
      <c r="A716" s="4" t="s">
        <v>922</v>
      </c>
      <c r="B716" s="6">
        <v>45841</v>
      </c>
      <c r="C716" s="4">
        <v>2025</v>
      </c>
      <c r="D716" s="4">
        <v>7</v>
      </c>
      <c r="E716" s="4" t="s">
        <v>63</v>
      </c>
      <c r="F716" s="4" t="s">
        <v>5</v>
      </c>
      <c r="G716" s="4" t="s">
        <v>9</v>
      </c>
      <c r="H716" s="4" t="s">
        <v>110</v>
      </c>
      <c r="I716" s="4" t="s">
        <v>7</v>
      </c>
      <c r="J716" s="4" t="s">
        <v>232</v>
      </c>
      <c r="K716" s="4">
        <v>1</v>
      </c>
      <c r="L716" s="5">
        <v>47.11</v>
      </c>
      <c r="M716" s="5">
        <v>47.11</v>
      </c>
      <c r="N716" s="5">
        <v>23.47</v>
      </c>
      <c r="O716" s="5">
        <v>23.64</v>
      </c>
      <c r="P716" s="4">
        <f>--AND(OR(Dashboard!$A$10="All",C716=Dashboard!$A$10),OR(Dashboard!$A$14="All",F716=Dashboard!$A$14),OR(Dashboard!$A$18="All",G716=Dashboard!$A$18),OR(Dashboard!$A$22="All",I716=Dashboard!$A$22))</f>
        <v>1</v>
      </c>
    </row>
    <row r="717" spans="1:16" ht="15.75" customHeight="1">
      <c r="A717" s="4" t="s">
        <v>923</v>
      </c>
      <c r="B717" s="6">
        <v>46011</v>
      </c>
      <c r="C717" s="4">
        <v>2025</v>
      </c>
      <c r="D717" s="4">
        <v>12</v>
      </c>
      <c r="E717" s="4" t="s">
        <v>57</v>
      </c>
      <c r="F717" s="4" t="s">
        <v>5</v>
      </c>
      <c r="G717" s="4" t="s">
        <v>9</v>
      </c>
      <c r="H717" s="4" t="s">
        <v>110</v>
      </c>
      <c r="I717" s="4" t="s">
        <v>7</v>
      </c>
      <c r="J717" s="4" t="s">
        <v>146</v>
      </c>
      <c r="K717" s="4">
        <v>1</v>
      </c>
      <c r="L717" s="5">
        <v>43.75</v>
      </c>
      <c r="M717" s="5">
        <v>43.75</v>
      </c>
      <c r="N717" s="5">
        <v>22.61</v>
      </c>
      <c r="O717" s="5">
        <v>21.14</v>
      </c>
      <c r="P717" s="4">
        <f>--AND(OR(Dashboard!$A$10="All",C717=Dashboard!$A$10),OR(Dashboard!$A$14="All",F717=Dashboard!$A$14),OR(Dashboard!$A$18="All",G717=Dashboard!$A$18),OR(Dashboard!$A$22="All",I717=Dashboard!$A$22))</f>
        <v>1</v>
      </c>
    </row>
    <row r="718" spans="1:16" ht="15.75" customHeight="1">
      <c r="A718" s="4" t="s">
        <v>924</v>
      </c>
      <c r="B718" s="6">
        <v>45653</v>
      </c>
      <c r="C718" s="4">
        <v>2024</v>
      </c>
      <c r="D718" s="4">
        <v>12</v>
      </c>
      <c r="E718" s="4" t="s">
        <v>57</v>
      </c>
      <c r="F718" s="4" t="s">
        <v>8</v>
      </c>
      <c r="G718" s="4" t="s">
        <v>12</v>
      </c>
      <c r="H718" s="4" t="s">
        <v>86</v>
      </c>
      <c r="I718" s="4" t="s">
        <v>7</v>
      </c>
      <c r="J718" s="4" t="s">
        <v>131</v>
      </c>
      <c r="K718" s="4">
        <v>3</v>
      </c>
      <c r="L718" s="5">
        <v>155.62</v>
      </c>
      <c r="M718" s="5">
        <v>466.86</v>
      </c>
      <c r="N718" s="5">
        <v>279.94</v>
      </c>
      <c r="O718" s="5">
        <v>186.92</v>
      </c>
      <c r="P718" s="4">
        <f>--AND(OR(Dashboard!$A$10="All",C718=Dashboard!$A$10),OR(Dashboard!$A$14="All",F718=Dashboard!$A$14),OR(Dashboard!$A$18="All",G718=Dashboard!$A$18),OR(Dashboard!$A$22="All",I718=Dashboard!$A$22))</f>
        <v>1</v>
      </c>
    </row>
    <row r="719" spans="1:16" ht="15.75" customHeight="1">
      <c r="A719" s="4" t="s">
        <v>925</v>
      </c>
      <c r="B719" s="6">
        <v>45958</v>
      </c>
      <c r="C719" s="4">
        <v>2025</v>
      </c>
      <c r="D719" s="4">
        <v>10</v>
      </c>
      <c r="E719" s="4" t="s">
        <v>120</v>
      </c>
      <c r="F719" s="4" t="s">
        <v>5</v>
      </c>
      <c r="G719" s="4" t="s">
        <v>6</v>
      </c>
      <c r="H719" s="4" t="s">
        <v>98</v>
      </c>
      <c r="I719" s="4" t="s">
        <v>13</v>
      </c>
      <c r="J719" s="4" t="s">
        <v>146</v>
      </c>
      <c r="K719" s="4">
        <v>5</v>
      </c>
      <c r="L719" s="5">
        <v>112.31</v>
      </c>
      <c r="M719" s="5">
        <v>561.54999999999995</v>
      </c>
      <c r="N719" s="5">
        <v>353.72</v>
      </c>
      <c r="O719" s="5">
        <v>207.83</v>
      </c>
      <c r="P719" s="4">
        <f>--AND(OR(Dashboard!$A$10="All",C719=Dashboard!$A$10),OR(Dashboard!$A$14="All",F719=Dashboard!$A$14),OR(Dashboard!$A$18="All",G719=Dashboard!$A$18),OR(Dashboard!$A$22="All",I719=Dashboard!$A$22))</f>
        <v>1</v>
      </c>
    </row>
    <row r="720" spans="1:16" ht="15.75" customHeight="1">
      <c r="A720" s="4" t="s">
        <v>926</v>
      </c>
      <c r="B720" s="6">
        <v>45322</v>
      </c>
      <c r="C720" s="4">
        <v>2024</v>
      </c>
      <c r="D720" s="4">
        <v>1</v>
      </c>
      <c r="E720" s="4" t="s">
        <v>30</v>
      </c>
      <c r="F720" s="4" t="s">
        <v>11</v>
      </c>
      <c r="G720" s="4" t="s">
        <v>12</v>
      </c>
      <c r="H720" s="4" t="s">
        <v>86</v>
      </c>
      <c r="I720" s="4" t="s">
        <v>13</v>
      </c>
      <c r="J720" s="4" t="s">
        <v>189</v>
      </c>
      <c r="K720" s="4">
        <v>1</v>
      </c>
      <c r="L720" s="5">
        <v>134.75</v>
      </c>
      <c r="M720" s="5">
        <v>134.75</v>
      </c>
      <c r="N720" s="5">
        <v>81.69</v>
      </c>
      <c r="O720" s="5">
        <v>53.06</v>
      </c>
      <c r="P720" s="4">
        <f>--AND(OR(Dashboard!$A$10="All",C720=Dashboard!$A$10),OR(Dashboard!$A$14="All",F720=Dashboard!$A$14),OR(Dashboard!$A$18="All",G720=Dashboard!$A$18),OR(Dashboard!$A$22="All",I720=Dashboard!$A$22))</f>
        <v>1</v>
      </c>
    </row>
    <row r="721" spans="1:16" ht="15.75" customHeight="1">
      <c r="A721" s="4" t="s">
        <v>927</v>
      </c>
      <c r="B721" s="6">
        <v>45313</v>
      </c>
      <c r="C721" s="4">
        <v>2024</v>
      </c>
      <c r="D721" s="4">
        <v>1</v>
      </c>
      <c r="E721" s="4" t="s">
        <v>30</v>
      </c>
      <c r="F721" s="4" t="s">
        <v>5</v>
      </c>
      <c r="G721" s="4" t="s">
        <v>6</v>
      </c>
      <c r="H721" s="4" t="s">
        <v>80</v>
      </c>
      <c r="I721" s="4" t="s">
        <v>13</v>
      </c>
      <c r="J721" s="4" t="s">
        <v>301</v>
      </c>
      <c r="K721" s="4">
        <v>3</v>
      </c>
      <c r="L721" s="5">
        <v>189.59</v>
      </c>
      <c r="M721" s="5">
        <v>568.77</v>
      </c>
      <c r="N721" s="5">
        <v>378.53</v>
      </c>
      <c r="O721" s="5">
        <v>190.24</v>
      </c>
      <c r="P721" s="4">
        <f>--AND(OR(Dashboard!$A$10="All",C721=Dashboard!$A$10),OR(Dashboard!$A$14="All",F721=Dashboard!$A$14),OR(Dashboard!$A$18="All",G721=Dashboard!$A$18),OR(Dashboard!$A$22="All",I721=Dashboard!$A$22))</f>
        <v>1</v>
      </c>
    </row>
    <row r="722" spans="1:16" ht="15.75" customHeight="1">
      <c r="A722" s="4" t="s">
        <v>928</v>
      </c>
      <c r="B722" s="6">
        <v>45294</v>
      </c>
      <c r="C722" s="4">
        <v>2024</v>
      </c>
      <c r="D722" s="4">
        <v>1</v>
      </c>
      <c r="E722" s="4" t="s">
        <v>30</v>
      </c>
      <c r="F722" s="4" t="s">
        <v>5</v>
      </c>
      <c r="G722" s="4" t="s">
        <v>12</v>
      </c>
      <c r="H722" s="4" t="s">
        <v>92</v>
      </c>
      <c r="I722" s="4" t="s">
        <v>7</v>
      </c>
      <c r="J722" s="4" t="s">
        <v>336</v>
      </c>
      <c r="K722" s="4">
        <v>9</v>
      </c>
      <c r="L722" s="5">
        <v>289.05</v>
      </c>
      <c r="M722" s="5">
        <v>2601.4499999999998</v>
      </c>
      <c r="N722" s="5">
        <v>1573.48</v>
      </c>
      <c r="O722" s="5">
        <v>1027.97</v>
      </c>
      <c r="P722" s="4">
        <f>--AND(OR(Dashboard!$A$10="All",C722=Dashboard!$A$10),OR(Dashboard!$A$14="All",F722=Dashboard!$A$14),OR(Dashboard!$A$18="All",G722=Dashboard!$A$18),OR(Dashboard!$A$22="All",I722=Dashboard!$A$22))</f>
        <v>1</v>
      </c>
    </row>
    <row r="723" spans="1:16" ht="15.75" customHeight="1">
      <c r="A723" s="4" t="s">
        <v>929</v>
      </c>
      <c r="B723" s="6">
        <v>45991</v>
      </c>
      <c r="C723" s="4">
        <v>2025</v>
      </c>
      <c r="D723" s="4">
        <v>11</v>
      </c>
      <c r="E723" s="4" t="s">
        <v>89</v>
      </c>
      <c r="F723" s="4" t="s">
        <v>11</v>
      </c>
      <c r="G723" s="4" t="s">
        <v>12</v>
      </c>
      <c r="H723" s="4" t="s">
        <v>124</v>
      </c>
      <c r="I723" s="4" t="s">
        <v>7</v>
      </c>
      <c r="J723" s="4" t="s">
        <v>153</v>
      </c>
      <c r="K723" s="4">
        <v>4</v>
      </c>
      <c r="L723" s="5">
        <v>170.92</v>
      </c>
      <c r="M723" s="5">
        <v>683.68</v>
      </c>
      <c r="N723" s="5">
        <v>414.52</v>
      </c>
      <c r="O723" s="5">
        <v>269.16000000000003</v>
      </c>
      <c r="P723" s="4">
        <f>--AND(OR(Dashboard!$A$10="All",C723=Dashboard!$A$10),OR(Dashboard!$A$14="All",F723=Dashboard!$A$14),OR(Dashboard!$A$18="All",G723=Dashboard!$A$18),OR(Dashboard!$A$22="All",I723=Dashboard!$A$22))</f>
        <v>1</v>
      </c>
    </row>
    <row r="724" spans="1:16" ht="15.75" customHeight="1">
      <c r="A724" s="4" t="s">
        <v>930</v>
      </c>
      <c r="B724" s="6">
        <v>45514</v>
      </c>
      <c r="C724" s="4">
        <v>2024</v>
      </c>
      <c r="D724" s="4">
        <v>8</v>
      </c>
      <c r="E724" s="4" t="s">
        <v>67</v>
      </c>
      <c r="F724" s="4" t="s">
        <v>11</v>
      </c>
      <c r="G724" s="4" t="s">
        <v>12</v>
      </c>
      <c r="H724" s="4" t="s">
        <v>127</v>
      </c>
      <c r="I724" s="4" t="s">
        <v>7</v>
      </c>
      <c r="J724" s="4" t="s">
        <v>195</v>
      </c>
      <c r="K724" s="4">
        <v>3</v>
      </c>
      <c r="L724" s="5">
        <v>207.93</v>
      </c>
      <c r="M724" s="5">
        <v>623.79</v>
      </c>
      <c r="N724" s="5">
        <v>358.86</v>
      </c>
      <c r="O724" s="5">
        <v>264.93</v>
      </c>
      <c r="P724" s="4">
        <f>--AND(OR(Dashboard!$A$10="All",C724=Dashboard!$A$10),OR(Dashboard!$A$14="All",F724=Dashboard!$A$14),OR(Dashboard!$A$18="All",G724=Dashboard!$A$18),OR(Dashboard!$A$22="All",I724=Dashboard!$A$22))</f>
        <v>1</v>
      </c>
    </row>
    <row r="725" spans="1:16" ht="15.75" customHeight="1">
      <c r="A725" s="4" t="s">
        <v>931</v>
      </c>
      <c r="B725" s="6">
        <v>45750</v>
      </c>
      <c r="C725" s="4">
        <v>2025</v>
      </c>
      <c r="D725" s="4">
        <v>4</v>
      </c>
      <c r="E725" s="4" t="s">
        <v>106</v>
      </c>
      <c r="F725" s="4" t="s">
        <v>5</v>
      </c>
      <c r="G725" s="4" t="s">
        <v>6</v>
      </c>
      <c r="H725" s="4" t="s">
        <v>114</v>
      </c>
      <c r="I725" s="4" t="s">
        <v>7</v>
      </c>
      <c r="J725" s="4" t="s">
        <v>121</v>
      </c>
      <c r="K725" s="4">
        <v>7</v>
      </c>
      <c r="L725" s="5">
        <v>97.86</v>
      </c>
      <c r="M725" s="5">
        <v>685.02</v>
      </c>
      <c r="N725" s="5">
        <v>430.91</v>
      </c>
      <c r="O725" s="5">
        <v>254.11</v>
      </c>
      <c r="P725" s="4">
        <f>--AND(OR(Dashboard!$A$10="All",C725=Dashboard!$A$10),OR(Dashboard!$A$14="All",F725=Dashboard!$A$14),OR(Dashboard!$A$18="All",G725=Dashboard!$A$18),OR(Dashboard!$A$22="All",I725=Dashboard!$A$22))</f>
        <v>1</v>
      </c>
    </row>
    <row r="726" spans="1:16" ht="15.75" customHeight="1">
      <c r="A726" s="4" t="s">
        <v>932</v>
      </c>
      <c r="B726" s="6">
        <v>45648</v>
      </c>
      <c r="C726" s="4">
        <v>2024</v>
      </c>
      <c r="D726" s="4">
        <v>12</v>
      </c>
      <c r="E726" s="4" t="s">
        <v>57</v>
      </c>
      <c r="F726" s="4" t="s">
        <v>5</v>
      </c>
      <c r="G726" s="4" t="s">
        <v>9</v>
      </c>
      <c r="H726" s="4" t="s">
        <v>110</v>
      </c>
      <c r="I726" s="4" t="s">
        <v>10</v>
      </c>
      <c r="J726" s="4" t="s">
        <v>164</v>
      </c>
      <c r="K726" s="4">
        <v>4</v>
      </c>
      <c r="L726" s="5">
        <v>59.23</v>
      </c>
      <c r="M726" s="5">
        <v>236.92</v>
      </c>
      <c r="N726" s="5">
        <v>123.65</v>
      </c>
      <c r="O726" s="5">
        <v>113.27</v>
      </c>
      <c r="P726" s="4">
        <f>--AND(OR(Dashboard!$A$10="All",C726=Dashboard!$A$10),OR(Dashboard!$A$14="All",F726=Dashboard!$A$14),OR(Dashboard!$A$18="All",G726=Dashboard!$A$18),OR(Dashboard!$A$22="All",I726=Dashboard!$A$22))</f>
        <v>1</v>
      </c>
    </row>
    <row r="727" spans="1:16" ht="15.75" customHeight="1">
      <c r="A727" s="4" t="s">
        <v>933</v>
      </c>
      <c r="B727" s="6">
        <v>45871</v>
      </c>
      <c r="C727" s="4">
        <v>2025</v>
      </c>
      <c r="D727" s="4">
        <v>8</v>
      </c>
      <c r="E727" s="4" t="s">
        <v>67</v>
      </c>
      <c r="F727" s="4" t="s">
        <v>5</v>
      </c>
      <c r="G727" s="4" t="s">
        <v>6</v>
      </c>
      <c r="H727" s="4" t="s">
        <v>98</v>
      </c>
      <c r="I727" s="4" t="s">
        <v>7</v>
      </c>
      <c r="J727" s="4" t="s">
        <v>226</v>
      </c>
      <c r="K727" s="4">
        <v>7</v>
      </c>
      <c r="L727" s="5">
        <v>170.43</v>
      </c>
      <c r="M727" s="5">
        <v>1193.01</v>
      </c>
      <c r="N727" s="5">
        <v>761.4</v>
      </c>
      <c r="O727" s="5">
        <v>431.61</v>
      </c>
      <c r="P727" s="4">
        <f>--AND(OR(Dashboard!$A$10="All",C727=Dashboard!$A$10),OR(Dashboard!$A$14="All",F727=Dashboard!$A$14),OR(Dashboard!$A$18="All",G727=Dashboard!$A$18),OR(Dashboard!$A$22="All",I727=Dashboard!$A$22))</f>
        <v>1</v>
      </c>
    </row>
    <row r="728" spans="1:16" ht="15.75" customHeight="1">
      <c r="A728" s="4" t="s">
        <v>934</v>
      </c>
      <c r="B728" s="6">
        <v>45642</v>
      </c>
      <c r="C728" s="4">
        <v>2024</v>
      </c>
      <c r="D728" s="4">
        <v>12</v>
      </c>
      <c r="E728" s="4" t="s">
        <v>57</v>
      </c>
      <c r="F728" s="4" t="s">
        <v>8</v>
      </c>
      <c r="G728" s="4" t="s">
        <v>9</v>
      </c>
      <c r="H728" s="4" t="s">
        <v>64</v>
      </c>
      <c r="I728" s="4" t="s">
        <v>10</v>
      </c>
      <c r="J728" s="4" t="s">
        <v>146</v>
      </c>
      <c r="K728" s="4">
        <v>3</v>
      </c>
      <c r="L728" s="5">
        <v>51.36</v>
      </c>
      <c r="M728" s="5">
        <v>154.08000000000001</v>
      </c>
      <c r="N728" s="5">
        <v>78.760000000000005</v>
      </c>
      <c r="O728" s="5">
        <v>75.319999999999993</v>
      </c>
      <c r="P728" s="4">
        <f>--AND(OR(Dashboard!$A$10="All",C728=Dashboard!$A$10),OR(Dashboard!$A$14="All",F728=Dashboard!$A$14),OR(Dashboard!$A$18="All",G728=Dashboard!$A$18),OR(Dashboard!$A$22="All",I728=Dashboard!$A$22))</f>
        <v>1</v>
      </c>
    </row>
    <row r="729" spans="1:16" ht="15.75" customHeight="1">
      <c r="A729" s="4" t="s">
        <v>935</v>
      </c>
      <c r="B729" s="6">
        <v>45435</v>
      </c>
      <c r="C729" s="4">
        <v>2024</v>
      </c>
      <c r="D729" s="4">
        <v>5</v>
      </c>
      <c r="E729" s="4" t="s">
        <v>108</v>
      </c>
      <c r="F729" s="4" t="s">
        <v>14</v>
      </c>
      <c r="G729" s="4" t="s">
        <v>9</v>
      </c>
      <c r="H729" s="4" t="s">
        <v>110</v>
      </c>
      <c r="I729" s="4" t="s">
        <v>7</v>
      </c>
      <c r="J729" s="4" t="s">
        <v>128</v>
      </c>
      <c r="K729" s="4">
        <v>4</v>
      </c>
      <c r="L729" s="5">
        <v>51.54</v>
      </c>
      <c r="M729" s="5">
        <v>206.16</v>
      </c>
      <c r="N729" s="5">
        <v>108.15</v>
      </c>
      <c r="O729" s="5">
        <v>98.01</v>
      </c>
      <c r="P729" s="4">
        <f>--AND(OR(Dashboard!$A$10="All",C729=Dashboard!$A$10),OR(Dashboard!$A$14="All",F729=Dashboard!$A$14),OR(Dashboard!$A$18="All",G729=Dashboard!$A$18),OR(Dashboard!$A$22="All",I729=Dashboard!$A$22))</f>
        <v>1</v>
      </c>
    </row>
    <row r="730" spans="1:16" ht="15.75" customHeight="1">
      <c r="A730" s="4" t="s">
        <v>936</v>
      </c>
      <c r="B730" s="6">
        <v>45883</v>
      </c>
      <c r="C730" s="4">
        <v>2025</v>
      </c>
      <c r="D730" s="4">
        <v>8</v>
      </c>
      <c r="E730" s="4" t="s">
        <v>67</v>
      </c>
      <c r="F730" s="4" t="s">
        <v>14</v>
      </c>
      <c r="G730" s="4" t="s">
        <v>12</v>
      </c>
      <c r="H730" s="4" t="s">
        <v>86</v>
      </c>
      <c r="I730" s="4" t="s">
        <v>7</v>
      </c>
      <c r="J730" s="4" t="s">
        <v>232</v>
      </c>
      <c r="K730" s="4">
        <v>4</v>
      </c>
      <c r="L730" s="5">
        <v>264.39</v>
      </c>
      <c r="M730" s="5">
        <v>1057.56</v>
      </c>
      <c r="N730" s="5">
        <v>623.32000000000005</v>
      </c>
      <c r="O730" s="5">
        <v>434.24</v>
      </c>
      <c r="P730" s="4">
        <f>--AND(OR(Dashboard!$A$10="All",C730=Dashboard!$A$10),OR(Dashboard!$A$14="All",F730=Dashboard!$A$14),OR(Dashboard!$A$18="All",G730=Dashboard!$A$18),OR(Dashboard!$A$22="All",I730=Dashboard!$A$22))</f>
        <v>1</v>
      </c>
    </row>
    <row r="731" spans="1:16" ht="15.75" customHeight="1">
      <c r="A731" s="4" t="s">
        <v>937</v>
      </c>
      <c r="B731" s="6">
        <v>45800</v>
      </c>
      <c r="C731" s="4">
        <v>2025</v>
      </c>
      <c r="D731" s="4">
        <v>5</v>
      </c>
      <c r="E731" s="4" t="s">
        <v>108</v>
      </c>
      <c r="F731" s="4" t="s">
        <v>11</v>
      </c>
      <c r="G731" s="4" t="s">
        <v>6</v>
      </c>
      <c r="H731" s="4" t="s">
        <v>136</v>
      </c>
      <c r="I731" s="4" t="s">
        <v>10</v>
      </c>
      <c r="J731" s="4" t="s">
        <v>528</v>
      </c>
      <c r="K731" s="4">
        <v>5</v>
      </c>
      <c r="L731" s="5">
        <v>81.03</v>
      </c>
      <c r="M731" s="5">
        <v>405.15</v>
      </c>
      <c r="N731" s="5">
        <v>254.6</v>
      </c>
      <c r="O731" s="5">
        <v>150.55000000000001</v>
      </c>
      <c r="P731" s="4">
        <f>--AND(OR(Dashboard!$A$10="All",C731=Dashboard!$A$10),OR(Dashboard!$A$14="All",F731=Dashboard!$A$14),OR(Dashboard!$A$18="All",G731=Dashboard!$A$18),OR(Dashboard!$A$22="All",I731=Dashboard!$A$22))</f>
        <v>1</v>
      </c>
    </row>
    <row r="732" spans="1:16" ht="15.75" customHeight="1">
      <c r="A732" s="4" t="s">
        <v>938</v>
      </c>
      <c r="B732" s="6">
        <v>45927</v>
      </c>
      <c r="C732" s="4">
        <v>2025</v>
      </c>
      <c r="D732" s="4">
        <v>9</v>
      </c>
      <c r="E732" s="4" t="s">
        <v>79</v>
      </c>
      <c r="F732" s="4" t="s">
        <v>5</v>
      </c>
      <c r="G732" s="4" t="s">
        <v>6</v>
      </c>
      <c r="H732" s="4" t="s">
        <v>80</v>
      </c>
      <c r="I732" s="4" t="s">
        <v>10</v>
      </c>
      <c r="J732" s="4" t="s">
        <v>455</v>
      </c>
      <c r="K732" s="4">
        <v>2</v>
      </c>
      <c r="L732" s="5">
        <v>183.42</v>
      </c>
      <c r="M732" s="5">
        <v>366.84</v>
      </c>
      <c r="N732" s="5">
        <v>233.67</v>
      </c>
      <c r="O732" s="5">
        <v>133.16999999999999</v>
      </c>
      <c r="P732" s="4">
        <f>--AND(OR(Dashboard!$A$10="All",C732=Dashboard!$A$10),OR(Dashboard!$A$14="All",F732=Dashboard!$A$14),OR(Dashboard!$A$18="All",G732=Dashboard!$A$18),OR(Dashboard!$A$22="All",I732=Dashboard!$A$22))</f>
        <v>1</v>
      </c>
    </row>
    <row r="733" spans="1:16" ht="15.75" customHeight="1">
      <c r="A733" s="4" t="s">
        <v>939</v>
      </c>
      <c r="B733" s="6">
        <v>45655</v>
      </c>
      <c r="C733" s="4">
        <v>2024</v>
      </c>
      <c r="D733" s="4">
        <v>12</v>
      </c>
      <c r="E733" s="4" t="s">
        <v>57</v>
      </c>
      <c r="F733" s="4" t="s">
        <v>5</v>
      </c>
      <c r="G733" s="4" t="s">
        <v>12</v>
      </c>
      <c r="H733" s="4" t="s">
        <v>86</v>
      </c>
      <c r="I733" s="4" t="s">
        <v>7</v>
      </c>
      <c r="J733" s="4" t="s">
        <v>181</v>
      </c>
      <c r="K733" s="4">
        <v>2</v>
      </c>
      <c r="L733" s="5">
        <v>226.04</v>
      </c>
      <c r="M733" s="5">
        <v>452.08</v>
      </c>
      <c r="N733" s="5">
        <v>269.48</v>
      </c>
      <c r="O733" s="5">
        <v>182.6</v>
      </c>
      <c r="P733" s="4">
        <f>--AND(OR(Dashboard!$A$10="All",C733=Dashboard!$A$10),OR(Dashboard!$A$14="All",F733=Dashboard!$A$14),OR(Dashboard!$A$18="All",G733=Dashboard!$A$18),OR(Dashboard!$A$22="All",I733=Dashboard!$A$22))</f>
        <v>1</v>
      </c>
    </row>
    <row r="734" spans="1:16" ht="15.75" customHeight="1">
      <c r="A734" s="4" t="s">
        <v>940</v>
      </c>
      <c r="B734" s="6">
        <v>45602</v>
      </c>
      <c r="C734" s="4">
        <v>2024</v>
      </c>
      <c r="D734" s="4">
        <v>11</v>
      </c>
      <c r="E734" s="4" t="s">
        <v>89</v>
      </c>
      <c r="F734" s="4" t="s">
        <v>5</v>
      </c>
      <c r="G734" s="4" t="s">
        <v>6</v>
      </c>
      <c r="H734" s="4" t="s">
        <v>114</v>
      </c>
      <c r="I734" s="4" t="s">
        <v>7</v>
      </c>
      <c r="J734" s="4" t="s">
        <v>232</v>
      </c>
      <c r="K734" s="4">
        <v>7</v>
      </c>
      <c r="L734" s="5">
        <v>217.21</v>
      </c>
      <c r="M734" s="5">
        <v>1520.47</v>
      </c>
      <c r="N734" s="5">
        <v>996</v>
      </c>
      <c r="O734" s="5">
        <v>524.47</v>
      </c>
      <c r="P734" s="4">
        <f>--AND(OR(Dashboard!$A$10="All",C734=Dashboard!$A$10),OR(Dashboard!$A$14="All",F734=Dashboard!$A$14),OR(Dashboard!$A$18="All",G734=Dashboard!$A$18),OR(Dashboard!$A$22="All",I734=Dashboard!$A$22))</f>
        <v>1</v>
      </c>
    </row>
    <row r="735" spans="1:16" ht="15.75" customHeight="1">
      <c r="A735" s="4" t="s">
        <v>941</v>
      </c>
      <c r="B735" s="6">
        <v>45382</v>
      </c>
      <c r="C735" s="4">
        <v>2024</v>
      </c>
      <c r="D735" s="4">
        <v>3</v>
      </c>
      <c r="E735" s="4" t="s">
        <v>100</v>
      </c>
      <c r="F735" s="4" t="s">
        <v>8</v>
      </c>
      <c r="G735" s="4" t="s">
        <v>6</v>
      </c>
      <c r="H735" s="4" t="s">
        <v>54</v>
      </c>
      <c r="I735" s="4" t="s">
        <v>7</v>
      </c>
      <c r="J735" s="4" t="s">
        <v>373</v>
      </c>
      <c r="K735" s="4">
        <v>1</v>
      </c>
      <c r="L735" s="5">
        <v>113.64</v>
      </c>
      <c r="M735" s="5">
        <v>113.64</v>
      </c>
      <c r="N735" s="5">
        <v>77.319999999999993</v>
      </c>
      <c r="O735" s="5">
        <v>36.32</v>
      </c>
      <c r="P735" s="4">
        <f>--AND(OR(Dashboard!$A$10="All",C735=Dashboard!$A$10),OR(Dashboard!$A$14="All",F735=Dashboard!$A$14),OR(Dashboard!$A$18="All",G735=Dashboard!$A$18),OR(Dashboard!$A$22="All",I735=Dashboard!$A$22))</f>
        <v>1</v>
      </c>
    </row>
    <row r="736" spans="1:16" ht="15.75" customHeight="1">
      <c r="A736" s="4" t="s">
        <v>942</v>
      </c>
      <c r="B736" s="6">
        <v>45516</v>
      </c>
      <c r="C736" s="4">
        <v>2024</v>
      </c>
      <c r="D736" s="4">
        <v>8</v>
      </c>
      <c r="E736" s="4" t="s">
        <v>67</v>
      </c>
      <c r="F736" s="4" t="s">
        <v>5</v>
      </c>
      <c r="G736" s="4" t="s">
        <v>12</v>
      </c>
      <c r="H736" s="4" t="s">
        <v>92</v>
      </c>
      <c r="I736" s="4" t="s">
        <v>10</v>
      </c>
      <c r="J736" s="4" t="s">
        <v>268</v>
      </c>
      <c r="K736" s="4">
        <v>4</v>
      </c>
      <c r="L736" s="5">
        <v>114.98</v>
      </c>
      <c r="M736" s="5">
        <v>459.92</v>
      </c>
      <c r="N736" s="5">
        <v>270.06</v>
      </c>
      <c r="O736" s="5">
        <v>189.86</v>
      </c>
      <c r="P736" s="4">
        <f>--AND(OR(Dashboard!$A$10="All",C736=Dashboard!$A$10),OR(Dashboard!$A$14="All",F736=Dashboard!$A$14),OR(Dashboard!$A$18="All",G736=Dashboard!$A$18),OR(Dashboard!$A$22="All",I736=Dashboard!$A$22))</f>
        <v>1</v>
      </c>
    </row>
    <row r="737" spans="1:16" ht="15.75" customHeight="1">
      <c r="A737" s="4" t="s">
        <v>943</v>
      </c>
      <c r="B737" s="6">
        <v>45423</v>
      </c>
      <c r="C737" s="4">
        <v>2024</v>
      </c>
      <c r="D737" s="4">
        <v>5</v>
      </c>
      <c r="E737" s="4" t="s">
        <v>108</v>
      </c>
      <c r="F737" s="4" t="s">
        <v>5</v>
      </c>
      <c r="G737" s="4" t="s">
        <v>6</v>
      </c>
      <c r="H737" s="4" t="s">
        <v>54</v>
      </c>
      <c r="I737" s="4" t="s">
        <v>7</v>
      </c>
      <c r="J737" s="4" t="s">
        <v>59</v>
      </c>
      <c r="K737" s="4">
        <v>6</v>
      </c>
      <c r="L737" s="5">
        <v>188.88</v>
      </c>
      <c r="M737" s="5">
        <v>1133.28</v>
      </c>
      <c r="N737" s="5">
        <v>732.21</v>
      </c>
      <c r="O737" s="5">
        <v>401.07</v>
      </c>
      <c r="P737" s="4">
        <f>--AND(OR(Dashboard!$A$10="All",C737=Dashboard!$A$10),OR(Dashboard!$A$14="All",F737=Dashboard!$A$14),OR(Dashboard!$A$18="All",G737=Dashboard!$A$18),OR(Dashboard!$A$22="All",I737=Dashboard!$A$22))</f>
        <v>1</v>
      </c>
    </row>
    <row r="738" spans="1:16" ht="15.75" customHeight="1">
      <c r="A738" s="4" t="s">
        <v>944</v>
      </c>
      <c r="B738" s="6">
        <v>45752</v>
      </c>
      <c r="C738" s="4">
        <v>2025</v>
      </c>
      <c r="D738" s="4">
        <v>4</v>
      </c>
      <c r="E738" s="4" t="s">
        <v>106</v>
      </c>
      <c r="F738" s="4" t="s">
        <v>8</v>
      </c>
      <c r="G738" s="4" t="s">
        <v>9</v>
      </c>
      <c r="H738" s="4" t="s">
        <v>110</v>
      </c>
      <c r="I738" s="4" t="s">
        <v>7</v>
      </c>
      <c r="J738" s="4" t="s">
        <v>131</v>
      </c>
      <c r="K738" s="4">
        <v>6</v>
      </c>
      <c r="L738" s="5">
        <v>39.68</v>
      </c>
      <c r="M738" s="5">
        <v>238.08</v>
      </c>
      <c r="N738" s="5">
        <v>116.96</v>
      </c>
      <c r="O738" s="5">
        <v>121.12</v>
      </c>
      <c r="P738" s="4">
        <f>--AND(OR(Dashboard!$A$10="All",C738=Dashboard!$A$10),OR(Dashboard!$A$14="All",F738=Dashboard!$A$14),OR(Dashboard!$A$18="All",G738=Dashboard!$A$18),OR(Dashboard!$A$22="All",I738=Dashboard!$A$22))</f>
        <v>1</v>
      </c>
    </row>
    <row r="739" spans="1:16" ht="15.75" customHeight="1">
      <c r="A739" s="4" t="s">
        <v>945</v>
      </c>
      <c r="B739" s="6">
        <v>45513</v>
      </c>
      <c r="C739" s="4">
        <v>2024</v>
      </c>
      <c r="D739" s="4">
        <v>8</v>
      </c>
      <c r="E739" s="4" t="s">
        <v>67</v>
      </c>
      <c r="F739" s="4" t="s">
        <v>5</v>
      </c>
      <c r="G739" s="4" t="s">
        <v>9</v>
      </c>
      <c r="H739" s="4" t="s">
        <v>110</v>
      </c>
      <c r="I739" s="4" t="s">
        <v>7</v>
      </c>
      <c r="J739" s="4" t="s">
        <v>87</v>
      </c>
      <c r="K739" s="4">
        <v>7</v>
      </c>
      <c r="L739" s="5">
        <v>46.27</v>
      </c>
      <c r="M739" s="5">
        <v>323.89</v>
      </c>
      <c r="N739" s="5">
        <v>166.82</v>
      </c>
      <c r="O739" s="5">
        <v>157.07</v>
      </c>
      <c r="P739" s="4">
        <f>--AND(OR(Dashboard!$A$10="All",C739=Dashboard!$A$10),OR(Dashboard!$A$14="All",F739=Dashboard!$A$14),OR(Dashboard!$A$18="All",G739=Dashboard!$A$18),OR(Dashboard!$A$22="All",I739=Dashboard!$A$22))</f>
        <v>1</v>
      </c>
    </row>
    <row r="740" spans="1:16" ht="15.75" customHeight="1">
      <c r="A740" s="4" t="s">
        <v>946</v>
      </c>
      <c r="B740" s="6">
        <v>45776</v>
      </c>
      <c r="C740" s="4">
        <v>2025</v>
      </c>
      <c r="D740" s="4">
        <v>4</v>
      </c>
      <c r="E740" s="4" t="s">
        <v>106</v>
      </c>
      <c r="F740" s="4" t="s">
        <v>8</v>
      </c>
      <c r="G740" s="4" t="s">
        <v>9</v>
      </c>
      <c r="H740" s="4" t="s">
        <v>35</v>
      </c>
      <c r="I740" s="4" t="s">
        <v>10</v>
      </c>
      <c r="J740" s="4" t="s">
        <v>153</v>
      </c>
      <c r="K740" s="4">
        <v>1</v>
      </c>
      <c r="L740" s="5">
        <v>64.37</v>
      </c>
      <c r="M740" s="5">
        <v>64.37</v>
      </c>
      <c r="N740" s="5">
        <v>32.43</v>
      </c>
      <c r="O740" s="5">
        <v>31.94</v>
      </c>
      <c r="P740" s="4">
        <f>--AND(OR(Dashboard!$A$10="All",C740=Dashboard!$A$10),OR(Dashboard!$A$14="All",F740=Dashboard!$A$14),OR(Dashboard!$A$18="All",G740=Dashboard!$A$18),OR(Dashboard!$A$22="All",I740=Dashboard!$A$22))</f>
        <v>1</v>
      </c>
    </row>
    <row r="741" spans="1:16" ht="15.75" customHeight="1">
      <c r="A741" s="4" t="s">
        <v>947</v>
      </c>
      <c r="B741" s="6">
        <v>45302</v>
      </c>
      <c r="C741" s="4">
        <v>2024</v>
      </c>
      <c r="D741" s="4">
        <v>1</v>
      </c>
      <c r="E741" s="4" t="s">
        <v>30</v>
      </c>
      <c r="F741" s="4" t="s">
        <v>8</v>
      </c>
      <c r="G741" s="4" t="s">
        <v>6</v>
      </c>
      <c r="H741" s="4" t="s">
        <v>136</v>
      </c>
      <c r="I741" s="4" t="s">
        <v>7</v>
      </c>
      <c r="J741" s="4" t="s">
        <v>153</v>
      </c>
      <c r="K741" s="4">
        <v>3</v>
      </c>
      <c r="L741" s="5">
        <v>149.15</v>
      </c>
      <c r="M741" s="5">
        <v>447.45</v>
      </c>
      <c r="N741" s="5">
        <v>298.67</v>
      </c>
      <c r="O741" s="5">
        <v>148.78</v>
      </c>
      <c r="P741" s="4">
        <f>--AND(OR(Dashboard!$A$10="All",C741=Dashboard!$A$10),OR(Dashboard!$A$14="All",F741=Dashboard!$A$14),OR(Dashboard!$A$18="All",G741=Dashboard!$A$18),OR(Dashboard!$A$22="All",I741=Dashboard!$A$22))</f>
        <v>1</v>
      </c>
    </row>
    <row r="742" spans="1:16" ht="15.75" customHeight="1">
      <c r="A742" s="4" t="s">
        <v>948</v>
      </c>
      <c r="B742" s="6">
        <v>45471</v>
      </c>
      <c r="C742" s="4">
        <v>2024</v>
      </c>
      <c r="D742" s="4">
        <v>6</v>
      </c>
      <c r="E742" s="4" t="s">
        <v>34</v>
      </c>
      <c r="F742" s="4" t="s">
        <v>5</v>
      </c>
      <c r="G742" s="4" t="s">
        <v>6</v>
      </c>
      <c r="H742" s="4" t="s">
        <v>54</v>
      </c>
      <c r="I742" s="4" t="s">
        <v>7</v>
      </c>
      <c r="J742" s="4" t="s">
        <v>115</v>
      </c>
      <c r="K742" s="4">
        <v>4</v>
      </c>
      <c r="L742" s="5">
        <v>151.66</v>
      </c>
      <c r="M742" s="5">
        <v>606.64</v>
      </c>
      <c r="N742" s="5">
        <v>404.83</v>
      </c>
      <c r="O742" s="5">
        <v>201.81</v>
      </c>
      <c r="P742" s="4">
        <f>--AND(OR(Dashboard!$A$10="All",C742=Dashboard!$A$10),OR(Dashboard!$A$14="All",F742=Dashboard!$A$14),OR(Dashboard!$A$18="All",G742=Dashboard!$A$18),OR(Dashboard!$A$22="All",I742=Dashboard!$A$22))</f>
        <v>1</v>
      </c>
    </row>
    <row r="743" spans="1:16" ht="15.75" customHeight="1">
      <c r="A743" s="4" t="s">
        <v>949</v>
      </c>
      <c r="B743" s="6">
        <v>45976</v>
      </c>
      <c r="C743" s="4">
        <v>2025</v>
      </c>
      <c r="D743" s="4">
        <v>11</v>
      </c>
      <c r="E743" s="4" t="s">
        <v>89</v>
      </c>
      <c r="F743" s="4" t="s">
        <v>5</v>
      </c>
      <c r="G743" s="4" t="s">
        <v>12</v>
      </c>
      <c r="H743" s="4" t="s">
        <v>124</v>
      </c>
      <c r="I743" s="4" t="s">
        <v>10</v>
      </c>
      <c r="J743" s="4" t="s">
        <v>202</v>
      </c>
      <c r="K743" s="4">
        <v>5</v>
      </c>
      <c r="L743" s="5">
        <v>257.01</v>
      </c>
      <c r="M743" s="5">
        <v>1285.05</v>
      </c>
      <c r="N743" s="5">
        <v>782.52</v>
      </c>
      <c r="O743" s="5">
        <v>502.53</v>
      </c>
      <c r="P743" s="4">
        <f>--AND(OR(Dashboard!$A$10="All",C743=Dashboard!$A$10),OR(Dashboard!$A$14="All",F743=Dashboard!$A$14),OR(Dashboard!$A$18="All",G743=Dashboard!$A$18),OR(Dashboard!$A$22="All",I743=Dashboard!$A$22))</f>
        <v>1</v>
      </c>
    </row>
    <row r="744" spans="1:16" ht="15.75" customHeight="1">
      <c r="A744" s="4" t="s">
        <v>950</v>
      </c>
      <c r="B744" s="6">
        <v>45451</v>
      </c>
      <c r="C744" s="4">
        <v>2024</v>
      </c>
      <c r="D744" s="4">
        <v>6</v>
      </c>
      <c r="E744" s="4" t="s">
        <v>34</v>
      </c>
      <c r="F744" s="4" t="s">
        <v>8</v>
      </c>
      <c r="G744" s="4" t="s">
        <v>9</v>
      </c>
      <c r="H744" s="4" t="s">
        <v>35</v>
      </c>
      <c r="I744" s="4" t="s">
        <v>10</v>
      </c>
      <c r="J744" s="4" t="s">
        <v>261</v>
      </c>
      <c r="K744" s="4">
        <v>1</v>
      </c>
      <c r="L744" s="5">
        <v>44.6</v>
      </c>
      <c r="M744" s="5">
        <v>44.6</v>
      </c>
      <c r="N744" s="5">
        <v>22.61</v>
      </c>
      <c r="O744" s="5">
        <v>21.99</v>
      </c>
      <c r="P744" s="4">
        <f>--AND(OR(Dashboard!$A$10="All",C744=Dashboard!$A$10),OR(Dashboard!$A$14="All",F744=Dashboard!$A$14),OR(Dashboard!$A$18="All",G744=Dashboard!$A$18),OR(Dashboard!$A$22="All",I744=Dashboard!$A$22))</f>
        <v>1</v>
      </c>
    </row>
    <row r="745" spans="1:16" ht="15.75" customHeight="1">
      <c r="A745" s="4" t="s">
        <v>951</v>
      </c>
      <c r="B745" s="6">
        <v>45824</v>
      </c>
      <c r="C745" s="4">
        <v>2025</v>
      </c>
      <c r="D745" s="4">
        <v>6</v>
      </c>
      <c r="E745" s="4" t="s">
        <v>34</v>
      </c>
      <c r="F745" s="4" t="s">
        <v>5</v>
      </c>
      <c r="G745" s="4" t="s">
        <v>12</v>
      </c>
      <c r="H745" s="4" t="s">
        <v>92</v>
      </c>
      <c r="I745" s="4" t="s">
        <v>7</v>
      </c>
      <c r="J745" s="4" t="s">
        <v>297</v>
      </c>
      <c r="K745" s="4">
        <v>5</v>
      </c>
      <c r="L745" s="5">
        <v>141.07</v>
      </c>
      <c r="M745" s="5">
        <v>705.35</v>
      </c>
      <c r="N745" s="5">
        <v>420.57</v>
      </c>
      <c r="O745" s="5">
        <v>284.77999999999997</v>
      </c>
      <c r="P745" s="4">
        <f>--AND(OR(Dashboard!$A$10="All",C745=Dashboard!$A$10),OR(Dashboard!$A$14="All",F745=Dashboard!$A$14),OR(Dashboard!$A$18="All",G745=Dashboard!$A$18),OR(Dashboard!$A$22="All",I745=Dashboard!$A$22))</f>
        <v>1</v>
      </c>
    </row>
    <row r="746" spans="1:16" ht="15.75" customHeight="1">
      <c r="A746" s="4" t="s">
        <v>952</v>
      </c>
      <c r="B746" s="6">
        <v>46008</v>
      </c>
      <c r="C746" s="4">
        <v>2025</v>
      </c>
      <c r="D746" s="4">
        <v>12</v>
      </c>
      <c r="E746" s="4" t="s">
        <v>57</v>
      </c>
      <c r="F746" s="4" t="s">
        <v>5</v>
      </c>
      <c r="G746" s="4" t="s">
        <v>12</v>
      </c>
      <c r="H746" s="4" t="s">
        <v>58</v>
      </c>
      <c r="I746" s="4" t="s">
        <v>7</v>
      </c>
      <c r="J746" s="4" t="s">
        <v>199</v>
      </c>
      <c r="K746" s="4">
        <v>3</v>
      </c>
      <c r="L746" s="5">
        <v>127.38</v>
      </c>
      <c r="M746" s="5">
        <v>382.14</v>
      </c>
      <c r="N746" s="5">
        <v>224.24</v>
      </c>
      <c r="O746" s="5">
        <v>157.9</v>
      </c>
      <c r="P746" s="4">
        <f>--AND(OR(Dashboard!$A$10="All",C746=Dashboard!$A$10),OR(Dashboard!$A$14="All",F746=Dashboard!$A$14),OR(Dashboard!$A$18="All",G746=Dashboard!$A$18),OR(Dashboard!$A$22="All",I746=Dashboard!$A$22))</f>
        <v>1</v>
      </c>
    </row>
    <row r="747" spans="1:16" ht="15.75" customHeight="1">
      <c r="A747" s="4" t="s">
        <v>953</v>
      </c>
      <c r="B747" s="6">
        <v>45381</v>
      </c>
      <c r="C747" s="4">
        <v>2024</v>
      </c>
      <c r="D747" s="4">
        <v>3</v>
      </c>
      <c r="E747" s="4" t="s">
        <v>100</v>
      </c>
      <c r="F747" s="4" t="s">
        <v>5</v>
      </c>
      <c r="G747" s="4" t="s">
        <v>12</v>
      </c>
      <c r="H747" s="4" t="s">
        <v>58</v>
      </c>
      <c r="I747" s="4" t="s">
        <v>7</v>
      </c>
      <c r="J747" s="4" t="s">
        <v>299</v>
      </c>
      <c r="K747" s="4">
        <v>4</v>
      </c>
      <c r="L747" s="5">
        <v>177.89</v>
      </c>
      <c r="M747" s="5">
        <v>711.56</v>
      </c>
      <c r="N747" s="5">
        <v>430.4</v>
      </c>
      <c r="O747" s="5">
        <v>281.16000000000003</v>
      </c>
      <c r="P747" s="4">
        <f>--AND(OR(Dashboard!$A$10="All",C747=Dashboard!$A$10),OR(Dashboard!$A$14="All",F747=Dashboard!$A$14),OR(Dashboard!$A$18="All",G747=Dashboard!$A$18),OR(Dashboard!$A$22="All",I747=Dashboard!$A$22))</f>
        <v>1</v>
      </c>
    </row>
    <row r="748" spans="1:16" ht="15.75" customHeight="1">
      <c r="A748" s="4" t="s">
        <v>954</v>
      </c>
      <c r="B748" s="6">
        <v>45294</v>
      </c>
      <c r="C748" s="4">
        <v>2024</v>
      </c>
      <c r="D748" s="4">
        <v>1</v>
      </c>
      <c r="E748" s="4" t="s">
        <v>30</v>
      </c>
      <c r="F748" s="4" t="s">
        <v>5</v>
      </c>
      <c r="G748" s="4" t="s">
        <v>9</v>
      </c>
      <c r="H748" s="4" t="s">
        <v>35</v>
      </c>
      <c r="I748" s="4" t="s">
        <v>7</v>
      </c>
      <c r="J748" s="4" t="s">
        <v>170</v>
      </c>
      <c r="K748" s="4">
        <v>1</v>
      </c>
      <c r="L748" s="5">
        <v>61.92</v>
      </c>
      <c r="M748" s="5">
        <v>61.92</v>
      </c>
      <c r="N748" s="5">
        <v>31.16</v>
      </c>
      <c r="O748" s="5">
        <v>30.76</v>
      </c>
      <c r="P748" s="4">
        <f>--AND(OR(Dashboard!$A$10="All",C748=Dashboard!$A$10),OR(Dashboard!$A$14="All",F748=Dashboard!$A$14),OR(Dashboard!$A$18="All",G748=Dashboard!$A$18),OR(Dashboard!$A$22="All",I748=Dashboard!$A$22))</f>
        <v>1</v>
      </c>
    </row>
    <row r="749" spans="1:16" ht="15.75" customHeight="1">
      <c r="A749" s="4" t="s">
        <v>955</v>
      </c>
      <c r="B749" s="6">
        <v>45308</v>
      </c>
      <c r="C749" s="4">
        <v>2024</v>
      </c>
      <c r="D749" s="4">
        <v>1</v>
      </c>
      <c r="E749" s="4" t="s">
        <v>30</v>
      </c>
      <c r="F749" s="4" t="s">
        <v>14</v>
      </c>
      <c r="G749" s="4" t="s">
        <v>9</v>
      </c>
      <c r="H749" s="4" t="s">
        <v>142</v>
      </c>
      <c r="I749" s="4" t="s">
        <v>7</v>
      </c>
      <c r="J749" s="4" t="s">
        <v>115</v>
      </c>
      <c r="K749" s="4">
        <v>1</v>
      </c>
      <c r="L749" s="5">
        <v>34.479999999999997</v>
      </c>
      <c r="M749" s="5">
        <v>34.479999999999997</v>
      </c>
      <c r="N749" s="5">
        <v>17.690000000000001</v>
      </c>
      <c r="O749" s="5">
        <v>16.79</v>
      </c>
      <c r="P749" s="4">
        <f>--AND(OR(Dashboard!$A$10="All",C749=Dashboard!$A$10),OR(Dashboard!$A$14="All",F749=Dashboard!$A$14),OR(Dashboard!$A$18="All",G749=Dashboard!$A$18),OR(Dashboard!$A$22="All",I749=Dashboard!$A$22))</f>
        <v>1</v>
      </c>
    </row>
    <row r="750" spans="1:16" ht="15.75" customHeight="1">
      <c r="A750" s="4" t="s">
        <v>956</v>
      </c>
      <c r="B750" s="6">
        <v>45316</v>
      </c>
      <c r="C750" s="4">
        <v>2024</v>
      </c>
      <c r="D750" s="4">
        <v>1</v>
      </c>
      <c r="E750" s="4" t="s">
        <v>30</v>
      </c>
      <c r="F750" s="4" t="s">
        <v>5</v>
      </c>
      <c r="G750" s="4" t="s">
        <v>12</v>
      </c>
      <c r="H750" s="4" t="s">
        <v>92</v>
      </c>
      <c r="I750" s="4" t="s">
        <v>7</v>
      </c>
      <c r="J750" s="4" t="s">
        <v>249</v>
      </c>
      <c r="K750" s="4">
        <v>8</v>
      </c>
      <c r="L750" s="5">
        <v>307.01</v>
      </c>
      <c r="M750" s="5">
        <v>2456.08</v>
      </c>
      <c r="N750" s="5">
        <v>1418.85</v>
      </c>
      <c r="O750" s="5">
        <v>1037.23</v>
      </c>
      <c r="P750" s="4">
        <f>--AND(OR(Dashboard!$A$10="All",C750=Dashboard!$A$10),OR(Dashboard!$A$14="All",F750=Dashboard!$A$14),OR(Dashboard!$A$18="All",G750=Dashboard!$A$18),OR(Dashboard!$A$22="All",I750=Dashboard!$A$22))</f>
        <v>1</v>
      </c>
    </row>
    <row r="751" spans="1:16" ht="15.75" customHeight="1">
      <c r="A751" s="4" t="s">
        <v>957</v>
      </c>
      <c r="B751" s="6">
        <v>45433</v>
      </c>
      <c r="C751" s="4">
        <v>2024</v>
      </c>
      <c r="D751" s="4">
        <v>5</v>
      </c>
      <c r="E751" s="4" t="s">
        <v>108</v>
      </c>
      <c r="F751" s="4" t="s">
        <v>8</v>
      </c>
      <c r="G751" s="4" t="s">
        <v>9</v>
      </c>
      <c r="H751" s="4" t="s">
        <v>35</v>
      </c>
      <c r="I751" s="4" t="s">
        <v>10</v>
      </c>
      <c r="J751" s="4" t="s">
        <v>321</v>
      </c>
      <c r="K751" s="4">
        <v>1</v>
      </c>
      <c r="L751" s="5">
        <v>38.619999999999997</v>
      </c>
      <c r="M751" s="5">
        <v>38.619999999999997</v>
      </c>
      <c r="N751" s="5">
        <v>18.510000000000002</v>
      </c>
      <c r="O751" s="5">
        <v>20.11</v>
      </c>
      <c r="P751" s="4">
        <f>--AND(OR(Dashboard!$A$10="All",C751=Dashboard!$A$10),OR(Dashboard!$A$14="All",F751=Dashboard!$A$14),OR(Dashboard!$A$18="All",G751=Dashboard!$A$18),OR(Dashboard!$A$22="All",I751=Dashboard!$A$22))</f>
        <v>1</v>
      </c>
    </row>
    <row r="752" spans="1:16" ht="15.75" customHeight="1">
      <c r="A752" s="4" t="s">
        <v>958</v>
      </c>
      <c r="B752" s="6">
        <v>45682</v>
      </c>
      <c r="C752" s="4">
        <v>2025</v>
      </c>
      <c r="D752" s="4">
        <v>1</v>
      </c>
      <c r="E752" s="4" t="s">
        <v>30</v>
      </c>
      <c r="F752" s="4" t="s">
        <v>14</v>
      </c>
      <c r="G752" s="4" t="s">
        <v>12</v>
      </c>
      <c r="H752" s="4" t="s">
        <v>124</v>
      </c>
      <c r="I752" s="4" t="s">
        <v>10</v>
      </c>
      <c r="J752" s="4" t="s">
        <v>162</v>
      </c>
      <c r="K752" s="4">
        <v>3</v>
      </c>
      <c r="L752" s="5">
        <v>188.17</v>
      </c>
      <c r="M752" s="5">
        <v>564.51</v>
      </c>
      <c r="N752" s="5">
        <v>348.93</v>
      </c>
      <c r="O752" s="5">
        <v>215.58</v>
      </c>
      <c r="P752" s="4">
        <f>--AND(OR(Dashboard!$A$10="All",C752=Dashboard!$A$10),OR(Dashboard!$A$14="All",F752=Dashboard!$A$14),OR(Dashboard!$A$18="All",G752=Dashboard!$A$18),OR(Dashboard!$A$22="All",I752=Dashboard!$A$22))</f>
        <v>1</v>
      </c>
    </row>
    <row r="753" spans="1:16" ht="15.75" customHeight="1">
      <c r="A753" s="4" t="s">
        <v>959</v>
      </c>
      <c r="B753" s="6">
        <v>45610</v>
      </c>
      <c r="C753" s="4">
        <v>2024</v>
      </c>
      <c r="D753" s="4">
        <v>11</v>
      </c>
      <c r="E753" s="4" t="s">
        <v>89</v>
      </c>
      <c r="F753" s="4" t="s">
        <v>8</v>
      </c>
      <c r="G753" s="4" t="s">
        <v>6</v>
      </c>
      <c r="H753" s="4" t="s">
        <v>80</v>
      </c>
      <c r="I753" s="4" t="s">
        <v>7</v>
      </c>
      <c r="J753" s="4" t="s">
        <v>235</v>
      </c>
      <c r="K753" s="4">
        <v>12</v>
      </c>
      <c r="L753" s="5">
        <v>164.45</v>
      </c>
      <c r="M753" s="5">
        <v>1973.4</v>
      </c>
      <c r="N753" s="5">
        <v>1318.34</v>
      </c>
      <c r="O753" s="5">
        <v>655.05999999999995</v>
      </c>
      <c r="P753" s="4">
        <f>--AND(OR(Dashboard!$A$10="All",C753=Dashboard!$A$10),OR(Dashboard!$A$14="All",F753=Dashboard!$A$14),OR(Dashboard!$A$18="All",G753=Dashboard!$A$18),OR(Dashboard!$A$22="All",I753=Dashboard!$A$22))</f>
        <v>1</v>
      </c>
    </row>
    <row r="754" spans="1:16" ht="15.75" customHeight="1">
      <c r="A754" s="4" t="s">
        <v>960</v>
      </c>
      <c r="B754" s="6">
        <v>45303</v>
      </c>
      <c r="C754" s="4">
        <v>2024</v>
      </c>
      <c r="D754" s="4">
        <v>1</v>
      </c>
      <c r="E754" s="4" t="s">
        <v>30</v>
      </c>
      <c r="F754" s="4" t="s">
        <v>11</v>
      </c>
      <c r="G754" s="4" t="s">
        <v>9</v>
      </c>
      <c r="H754" s="4" t="s">
        <v>142</v>
      </c>
      <c r="I754" s="4" t="s">
        <v>7</v>
      </c>
      <c r="J754" s="4" t="s">
        <v>87</v>
      </c>
      <c r="K754" s="4">
        <v>1</v>
      </c>
      <c r="L754" s="5">
        <v>66.36</v>
      </c>
      <c r="M754" s="5">
        <v>66.36</v>
      </c>
      <c r="N754" s="5">
        <v>33.31</v>
      </c>
      <c r="O754" s="5">
        <v>33.049999999999997</v>
      </c>
      <c r="P754" s="4">
        <f>--AND(OR(Dashboard!$A$10="All",C754=Dashboard!$A$10),OR(Dashboard!$A$14="All",F754=Dashboard!$A$14),OR(Dashboard!$A$18="All",G754=Dashboard!$A$18),OR(Dashboard!$A$22="All",I754=Dashboard!$A$22))</f>
        <v>1</v>
      </c>
    </row>
    <row r="755" spans="1:16" ht="15.75" customHeight="1">
      <c r="A755" s="4" t="s">
        <v>961</v>
      </c>
      <c r="B755" s="6">
        <v>45693</v>
      </c>
      <c r="C755" s="4">
        <v>2025</v>
      </c>
      <c r="D755" s="4">
        <v>2</v>
      </c>
      <c r="E755" s="4" t="s">
        <v>70</v>
      </c>
      <c r="F755" s="4" t="s">
        <v>5</v>
      </c>
      <c r="G755" s="4" t="s">
        <v>9</v>
      </c>
      <c r="H755" s="4" t="s">
        <v>35</v>
      </c>
      <c r="I755" s="4" t="s">
        <v>10</v>
      </c>
      <c r="J755" s="4" t="s">
        <v>362</v>
      </c>
      <c r="K755" s="4">
        <v>8</v>
      </c>
      <c r="L755" s="5">
        <v>24.28</v>
      </c>
      <c r="M755" s="5">
        <v>194.24</v>
      </c>
      <c r="N755" s="5">
        <v>97.67</v>
      </c>
      <c r="O755" s="5">
        <v>96.57</v>
      </c>
      <c r="P755" s="4">
        <f>--AND(OR(Dashboard!$A$10="All",C755=Dashboard!$A$10),OR(Dashboard!$A$14="All",F755=Dashboard!$A$14),OR(Dashboard!$A$18="All",G755=Dashboard!$A$18),OR(Dashboard!$A$22="All",I755=Dashboard!$A$22))</f>
        <v>1</v>
      </c>
    </row>
    <row r="756" spans="1:16" ht="15.75" customHeight="1">
      <c r="A756" s="4" t="s">
        <v>962</v>
      </c>
      <c r="B756" s="6">
        <v>45859</v>
      </c>
      <c r="C756" s="4">
        <v>2025</v>
      </c>
      <c r="D756" s="4">
        <v>7</v>
      </c>
      <c r="E756" s="4" t="s">
        <v>63</v>
      </c>
      <c r="F756" s="4" t="s">
        <v>8</v>
      </c>
      <c r="G756" s="4" t="s">
        <v>12</v>
      </c>
      <c r="H756" s="4" t="s">
        <v>58</v>
      </c>
      <c r="I756" s="4" t="s">
        <v>7</v>
      </c>
      <c r="J756" s="4" t="s">
        <v>232</v>
      </c>
      <c r="K756" s="4">
        <v>1</v>
      </c>
      <c r="L756" s="5">
        <v>170.01</v>
      </c>
      <c r="M756" s="5">
        <v>170.01</v>
      </c>
      <c r="N756" s="5">
        <v>100.94</v>
      </c>
      <c r="O756" s="5">
        <v>69.069999999999993</v>
      </c>
      <c r="P756" s="4">
        <f>--AND(OR(Dashboard!$A$10="All",C756=Dashboard!$A$10),OR(Dashboard!$A$14="All",F756=Dashboard!$A$14),OR(Dashboard!$A$18="All",G756=Dashboard!$A$18),OR(Dashboard!$A$22="All",I756=Dashboard!$A$22))</f>
        <v>1</v>
      </c>
    </row>
    <row r="757" spans="1:16" ht="15.75" customHeight="1">
      <c r="A757" s="4" t="s">
        <v>963</v>
      </c>
      <c r="B757" s="6">
        <v>45907</v>
      </c>
      <c r="C757" s="4">
        <v>2025</v>
      </c>
      <c r="D757" s="4">
        <v>9</v>
      </c>
      <c r="E757" s="4" t="s">
        <v>79</v>
      </c>
      <c r="F757" s="4" t="s">
        <v>14</v>
      </c>
      <c r="G757" s="4" t="s">
        <v>9</v>
      </c>
      <c r="H757" s="4" t="s">
        <v>64</v>
      </c>
      <c r="I757" s="4" t="s">
        <v>10</v>
      </c>
      <c r="J757" s="4" t="s">
        <v>191</v>
      </c>
      <c r="K757" s="4">
        <v>1</v>
      </c>
      <c r="L757" s="5">
        <v>63.77</v>
      </c>
      <c r="M757" s="5">
        <v>63.77</v>
      </c>
      <c r="N757" s="5">
        <v>31.24</v>
      </c>
      <c r="O757" s="5">
        <v>32.53</v>
      </c>
      <c r="P757" s="4">
        <f>--AND(OR(Dashboard!$A$10="All",C757=Dashboard!$A$10),OR(Dashboard!$A$14="All",F757=Dashboard!$A$14),OR(Dashboard!$A$18="All",G757=Dashboard!$A$18),OR(Dashboard!$A$22="All",I757=Dashboard!$A$22))</f>
        <v>1</v>
      </c>
    </row>
    <row r="758" spans="1:16" ht="15.75" customHeight="1">
      <c r="A758" s="4" t="s">
        <v>964</v>
      </c>
      <c r="B758" s="6">
        <v>45781</v>
      </c>
      <c r="C758" s="4">
        <v>2025</v>
      </c>
      <c r="D758" s="4">
        <v>5</v>
      </c>
      <c r="E758" s="4" t="s">
        <v>108</v>
      </c>
      <c r="F758" s="4" t="s">
        <v>5</v>
      </c>
      <c r="G758" s="4" t="s">
        <v>9</v>
      </c>
      <c r="H758" s="4" t="s">
        <v>64</v>
      </c>
      <c r="I758" s="4" t="s">
        <v>7</v>
      </c>
      <c r="J758" s="4" t="s">
        <v>111</v>
      </c>
      <c r="K758" s="4">
        <v>8</v>
      </c>
      <c r="L758" s="5">
        <v>40.840000000000003</v>
      </c>
      <c r="M758" s="5">
        <v>326.72000000000003</v>
      </c>
      <c r="N758" s="5">
        <v>166.16</v>
      </c>
      <c r="O758" s="5">
        <v>160.56</v>
      </c>
      <c r="P758" s="4">
        <f>--AND(OR(Dashboard!$A$10="All",C758=Dashboard!$A$10),OR(Dashboard!$A$14="All",F758=Dashboard!$A$14),OR(Dashboard!$A$18="All",G758=Dashboard!$A$18),OR(Dashboard!$A$22="All",I758=Dashboard!$A$22))</f>
        <v>1</v>
      </c>
    </row>
    <row r="759" spans="1:16" ht="15.75" customHeight="1">
      <c r="A759" s="4" t="s">
        <v>965</v>
      </c>
      <c r="B759" s="6">
        <v>45419</v>
      </c>
      <c r="C759" s="4">
        <v>2024</v>
      </c>
      <c r="D759" s="4">
        <v>5</v>
      </c>
      <c r="E759" s="4" t="s">
        <v>108</v>
      </c>
      <c r="F759" s="4" t="s">
        <v>14</v>
      </c>
      <c r="G759" s="4" t="s">
        <v>12</v>
      </c>
      <c r="H759" s="4" t="s">
        <v>92</v>
      </c>
      <c r="I759" s="4" t="s">
        <v>13</v>
      </c>
      <c r="J759" s="4" t="s">
        <v>81</v>
      </c>
      <c r="K759" s="4">
        <v>2</v>
      </c>
      <c r="L759" s="5">
        <v>174.47</v>
      </c>
      <c r="M759" s="5">
        <v>348.94</v>
      </c>
      <c r="N759" s="5">
        <v>206.63</v>
      </c>
      <c r="O759" s="5">
        <v>142.31</v>
      </c>
      <c r="P759" s="4">
        <f>--AND(OR(Dashboard!$A$10="All",C759=Dashboard!$A$10),OR(Dashboard!$A$14="All",F759=Dashboard!$A$14),OR(Dashboard!$A$18="All",G759=Dashboard!$A$18),OR(Dashboard!$A$22="All",I759=Dashboard!$A$22))</f>
        <v>1</v>
      </c>
    </row>
    <row r="760" spans="1:16" ht="15.75" customHeight="1">
      <c r="A760" s="4" t="s">
        <v>966</v>
      </c>
      <c r="B760" s="6">
        <v>45905</v>
      </c>
      <c r="C760" s="4">
        <v>2025</v>
      </c>
      <c r="D760" s="4">
        <v>9</v>
      </c>
      <c r="E760" s="4" t="s">
        <v>79</v>
      </c>
      <c r="F760" s="4" t="s">
        <v>5</v>
      </c>
      <c r="G760" s="4" t="s">
        <v>9</v>
      </c>
      <c r="H760" s="4" t="s">
        <v>110</v>
      </c>
      <c r="I760" s="4" t="s">
        <v>7</v>
      </c>
      <c r="J760" s="4" t="s">
        <v>205</v>
      </c>
      <c r="K760" s="4">
        <v>1</v>
      </c>
      <c r="L760" s="5">
        <v>63.13</v>
      </c>
      <c r="M760" s="5">
        <v>63.13</v>
      </c>
      <c r="N760" s="5">
        <v>31.42</v>
      </c>
      <c r="O760" s="5">
        <v>31.71</v>
      </c>
      <c r="P760" s="4">
        <f>--AND(OR(Dashboard!$A$10="All",C760=Dashboard!$A$10),OR(Dashboard!$A$14="All",F760=Dashboard!$A$14),OR(Dashboard!$A$18="All",G760=Dashboard!$A$18),OR(Dashboard!$A$22="All",I760=Dashboard!$A$22))</f>
        <v>1</v>
      </c>
    </row>
    <row r="761" spans="1:16" ht="15.75" customHeight="1">
      <c r="A761" s="4" t="s">
        <v>967</v>
      </c>
      <c r="B761" s="6">
        <v>45494</v>
      </c>
      <c r="C761" s="4">
        <v>2024</v>
      </c>
      <c r="D761" s="4">
        <v>7</v>
      </c>
      <c r="E761" s="4" t="s">
        <v>63</v>
      </c>
      <c r="F761" s="4" t="s">
        <v>5</v>
      </c>
      <c r="G761" s="4" t="s">
        <v>9</v>
      </c>
      <c r="H761" s="4" t="s">
        <v>35</v>
      </c>
      <c r="I761" s="4" t="s">
        <v>13</v>
      </c>
      <c r="J761" s="4" t="s">
        <v>280</v>
      </c>
      <c r="K761" s="4">
        <v>2</v>
      </c>
      <c r="L761" s="5">
        <v>28.68</v>
      </c>
      <c r="M761" s="5">
        <v>57.36</v>
      </c>
      <c r="N761" s="5">
        <v>27.89</v>
      </c>
      <c r="O761" s="5">
        <v>29.47</v>
      </c>
      <c r="P761" s="4">
        <f>--AND(OR(Dashboard!$A$10="All",C761=Dashboard!$A$10),OR(Dashboard!$A$14="All",F761=Dashboard!$A$14),OR(Dashboard!$A$18="All",G761=Dashboard!$A$18),OR(Dashboard!$A$22="All",I761=Dashboard!$A$22))</f>
        <v>1</v>
      </c>
    </row>
    <row r="762" spans="1:16" ht="15.75" customHeight="1">
      <c r="A762" s="4" t="s">
        <v>968</v>
      </c>
      <c r="B762" s="6">
        <v>45641</v>
      </c>
      <c r="C762" s="4">
        <v>2024</v>
      </c>
      <c r="D762" s="4">
        <v>12</v>
      </c>
      <c r="E762" s="4" t="s">
        <v>57</v>
      </c>
      <c r="F762" s="4" t="s">
        <v>5</v>
      </c>
      <c r="G762" s="4" t="s">
        <v>12</v>
      </c>
      <c r="H762" s="4" t="s">
        <v>127</v>
      </c>
      <c r="I762" s="4" t="s">
        <v>13</v>
      </c>
      <c r="J762" s="4" t="s">
        <v>65</v>
      </c>
      <c r="K762" s="4">
        <v>1</v>
      </c>
      <c r="L762" s="5">
        <v>259.77999999999997</v>
      </c>
      <c r="M762" s="5">
        <v>259.77999999999997</v>
      </c>
      <c r="N762" s="5">
        <v>152.69999999999999</v>
      </c>
      <c r="O762" s="5">
        <v>107.08</v>
      </c>
      <c r="P762" s="4">
        <f>--AND(OR(Dashboard!$A$10="All",C762=Dashboard!$A$10),OR(Dashboard!$A$14="All",F762=Dashboard!$A$14),OR(Dashboard!$A$18="All",G762=Dashboard!$A$18),OR(Dashboard!$A$22="All",I762=Dashboard!$A$22))</f>
        <v>1</v>
      </c>
    </row>
    <row r="763" spans="1:16" ht="15.75" customHeight="1">
      <c r="A763" s="4" t="s">
        <v>969</v>
      </c>
      <c r="B763" s="6">
        <v>45873</v>
      </c>
      <c r="C763" s="4">
        <v>2025</v>
      </c>
      <c r="D763" s="4">
        <v>8</v>
      </c>
      <c r="E763" s="4" t="s">
        <v>67</v>
      </c>
      <c r="F763" s="4" t="s">
        <v>5</v>
      </c>
      <c r="G763" s="4" t="s">
        <v>12</v>
      </c>
      <c r="H763" s="4" t="s">
        <v>124</v>
      </c>
      <c r="I763" s="4" t="s">
        <v>7</v>
      </c>
      <c r="J763" s="4" t="s">
        <v>255</v>
      </c>
      <c r="K763" s="4">
        <v>6</v>
      </c>
      <c r="L763" s="5">
        <v>302.88</v>
      </c>
      <c r="M763" s="5">
        <v>1817.28</v>
      </c>
      <c r="N763" s="5">
        <v>1056.77</v>
      </c>
      <c r="O763" s="5">
        <v>760.51</v>
      </c>
      <c r="P763" s="4">
        <f>--AND(OR(Dashboard!$A$10="All",C763=Dashboard!$A$10),OR(Dashboard!$A$14="All",F763=Dashboard!$A$14),OR(Dashboard!$A$18="All",G763=Dashboard!$A$18),OR(Dashboard!$A$22="All",I763=Dashboard!$A$22))</f>
        <v>1</v>
      </c>
    </row>
    <row r="764" spans="1:16" ht="15.75" customHeight="1">
      <c r="A764" s="4" t="s">
        <v>970</v>
      </c>
      <c r="B764" s="6">
        <v>45515</v>
      </c>
      <c r="C764" s="4">
        <v>2024</v>
      </c>
      <c r="D764" s="4">
        <v>8</v>
      </c>
      <c r="E764" s="4" t="s">
        <v>67</v>
      </c>
      <c r="F764" s="4" t="s">
        <v>8</v>
      </c>
      <c r="G764" s="4" t="s">
        <v>9</v>
      </c>
      <c r="H764" s="4" t="s">
        <v>35</v>
      </c>
      <c r="I764" s="4" t="s">
        <v>13</v>
      </c>
      <c r="J764" s="4" t="s">
        <v>168</v>
      </c>
      <c r="K764" s="4">
        <v>1</v>
      </c>
      <c r="L764" s="5">
        <v>35.32</v>
      </c>
      <c r="M764" s="5">
        <v>35.32</v>
      </c>
      <c r="N764" s="5">
        <v>17.059999999999999</v>
      </c>
      <c r="O764" s="5">
        <v>18.260000000000002</v>
      </c>
      <c r="P764" s="4">
        <f>--AND(OR(Dashboard!$A$10="All",C764=Dashboard!$A$10),OR(Dashboard!$A$14="All",F764=Dashboard!$A$14),OR(Dashboard!$A$18="All",G764=Dashboard!$A$18),OR(Dashboard!$A$22="All",I764=Dashboard!$A$22))</f>
        <v>1</v>
      </c>
    </row>
    <row r="765" spans="1:16" ht="15.75" customHeight="1">
      <c r="A765" s="4" t="s">
        <v>971</v>
      </c>
      <c r="B765" s="6">
        <v>45552</v>
      </c>
      <c r="C765" s="4">
        <v>2024</v>
      </c>
      <c r="D765" s="4">
        <v>9</v>
      </c>
      <c r="E765" s="4" t="s">
        <v>79</v>
      </c>
      <c r="F765" s="4" t="s">
        <v>5</v>
      </c>
      <c r="G765" s="4" t="s">
        <v>12</v>
      </c>
      <c r="H765" s="4" t="s">
        <v>124</v>
      </c>
      <c r="I765" s="4" t="s">
        <v>7</v>
      </c>
      <c r="J765" s="4" t="s">
        <v>268</v>
      </c>
      <c r="K765" s="4">
        <v>8</v>
      </c>
      <c r="L765" s="5">
        <v>233.67</v>
      </c>
      <c r="M765" s="5">
        <v>1869.36</v>
      </c>
      <c r="N765" s="5">
        <v>1079.3900000000001</v>
      </c>
      <c r="O765" s="5">
        <v>789.97</v>
      </c>
      <c r="P765" s="4">
        <f>--AND(OR(Dashboard!$A$10="All",C765=Dashboard!$A$10),OR(Dashboard!$A$14="All",F765=Dashboard!$A$14),OR(Dashboard!$A$18="All",G765=Dashboard!$A$18),OR(Dashboard!$A$22="All",I765=Dashboard!$A$22))</f>
        <v>1</v>
      </c>
    </row>
    <row r="766" spans="1:16" ht="15.75" customHeight="1">
      <c r="A766" s="4" t="s">
        <v>972</v>
      </c>
      <c r="B766" s="6">
        <v>45334</v>
      </c>
      <c r="C766" s="4">
        <v>2024</v>
      </c>
      <c r="D766" s="4">
        <v>2</v>
      </c>
      <c r="E766" s="4" t="s">
        <v>70</v>
      </c>
      <c r="F766" s="4" t="s">
        <v>11</v>
      </c>
      <c r="G766" s="4" t="s">
        <v>12</v>
      </c>
      <c r="H766" s="4" t="s">
        <v>127</v>
      </c>
      <c r="I766" s="4" t="s">
        <v>10</v>
      </c>
      <c r="J766" s="4" t="s">
        <v>199</v>
      </c>
      <c r="K766" s="4">
        <v>10</v>
      </c>
      <c r="L766" s="5">
        <v>121.68</v>
      </c>
      <c r="M766" s="5">
        <v>1216.8</v>
      </c>
      <c r="N766" s="5">
        <v>758.38</v>
      </c>
      <c r="O766" s="5">
        <v>458.42</v>
      </c>
      <c r="P766" s="4">
        <f>--AND(OR(Dashboard!$A$10="All",C766=Dashboard!$A$10),OR(Dashboard!$A$14="All",F766=Dashboard!$A$14),OR(Dashboard!$A$18="All",G766=Dashboard!$A$18),OR(Dashboard!$A$22="All",I766=Dashboard!$A$22))</f>
        <v>1</v>
      </c>
    </row>
    <row r="767" spans="1:16" ht="15.75" customHeight="1">
      <c r="A767" s="4" t="s">
        <v>973</v>
      </c>
      <c r="B767" s="6">
        <v>45376</v>
      </c>
      <c r="C767" s="4">
        <v>2024</v>
      </c>
      <c r="D767" s="4">
        <v>3</v>
      </c>
      <c r="E767" s="4" t="s">
        <v>100</v>
      </c>
      <c r="F767" s="4" t="s">
        <v>5</v>
      </c>
      <c r="G767" s="4" t="s">
        <v>6</v>
      </c>
      <c r="H767" s="4" t="s">
        <v>136</v>
      </c>
      <c r="I767" s="4" t="s">
        <v>7</v>
      </c>
      <c r="J767" s="4" t="s">
        <v>128</v>
      </c>
      <c r="K767" s="4">
        <v>2</v>
      </c>
      <c r="L767" s="5">
        <v>188.57</v>
      </c>
      <c r="M767" s="5">
        <v>377.14</v>
      </c>
      <c r="N767" s="5">
        <v>259.35000000000002</v>
      </c>
      <c r="O767" s="5">
        <v>117.79</v>
      </c>
      <c r="P767" s="4">
        <f>--AND(OR(Dashboard!$A$10="All",C767=Dashboard!$A$10),OR(Dashboard!$A$14="All",F767=Dashboard!$A$14),OR(Dashboard!$A$18="All",G767=Dashboard!$A$18),OR(Dashboard!$A$22="All",I767=Dashboard!$A$22))</f>
        <v>1</v>
      </c>
    </row>
    <row r="768" spans="1:16" ht="15.75" customHeight="1">
      <c r="A768" s="4" t="s">
        <v>974</v>
      </c>
      <c r="B768" s="6">
        <v>45690</v>
      </c>
      <c r="C768" s="4">
        <v>2025</v>
      </c>
      <c r="D768" s="4">
        <v>2</v>
      </c>
      <c r="E768" s="4" t="s">
        <v>70</v>
      </c>
      <c r="F768" s="4" t="s">
        <v>5</v>
      </c>
      <c r="G768" s="4" t="s">
        <v>9</v>
      </c>
      <c r="H768" s="4" t="s">
        <v>71</v>
      </c>
      <c r="I768" s="4" t="s">
        <v>7</v>
      </c>
      <c r="J768" s="4" t="s">
        <v>181</v>
      </c>
      <c r="K768" s="4">
        <v>7</v>
      </c>
      <c r="L768" s="5">
        <v>62.13</v>
      </c>
      <c r="M768" s="5">
        <v>434.91</v>
      </c>
      <c r="N768" s="5">
        <v>222.22</v>
      </c>
      <c r="O768" s="5">
        <v>212.69</v>
      </c>
      <c r="P768" s="4">
        <f>--AND(OR(Dashboard!$A$10="All",C768=Dashboard!$A$10),OR(Dashboard!$A$14="All",F768=Dashboard!$A$14),OR(Dashboard!$A$18="All",G768=Dashboard!$A$18),OR(Dashboard!$A$22="All",I768=Dashboard!$A$22))</f>
        <v>1</v>
      </c>
    </row>
    <row r="769" spans="1:16" ht="15.75" customHeight="1">
      <c r="A769" s="4" t="s">
        <v>975</v>
      </c>
      <c r="B769" s="6">
        <v>45871</v>
      </c>
      <c r="C769" s="4">
        <v>2025</v>
      </c>
      <c r="D769" s="4">
        <v>8</v>
      </c>
      <c r="E769" s="4" t="s">
        <v>67</v>
      </c>
      <c r="F769" s="4" t="s">
        <v>8</v>
      </c>
      <c r="G769" s="4" t="s">
        <v>6</v>
      </c>
      <c r="H769" s="4" t="s">
        <v>136</v>
      </c>
      <c r="I769" s="4" t="s">
        <v>10</v>
      </c>
      <c r="J769" s="4" t="s">
        <v>230</v>
      </c>
      <c r="K769" s="4">
        <v>4</v>
      </c>
      <c r="L769" s="5">
        <v>130.6</v>
      </c>
      <c r="M769" s="5">
        <v>522.4</v>
      </c>
      <c r="N769" s="5">
        <v>357.78</v>
      </c>
      <c r="O769" s="5">
        <v>164.62</v>
      </c>
      <c r="P769" s="4">
        <f>--AND(OR(Dashboard!$A$10="All",C769=Dashboard!$A$10),OR(Dashboard!$A$14="All",F769=Dashboard!$A$14),OR(Dashboard!$A$18="All",G769=Dashboard!$A$18),OR(Dashboard!$A$22="All",I769=Dashboard!$A$22))</f>
        <v>1</v>
      </c>
    </row>
    <row r="770" spans="1:16" ht="15.75" customHeight="1">
      <c r="A770" s="4" t="s">
        <v>976</v>
      </c>
      <c r="B770" s="6">
        <v>45509</v>
      </c>
      <c r="C770" s="4">
        <v>2024</v>
      </c>
      <c r="D770" s="4">
        <v>8</v>
      </c>
      <c r="E770" s="4" t="s">
        <v>67</v>
      </c>
      <c r="F770" s="4" t="s">
        <v>5</v>
      </c>
      <c r="G770" s="4" t="s">
        <v>12</v>
      </c>
      <c r="H770" s="4" t="s">
        <v>58</v>
      </c>
      <c r="I770" s="4" t="s">
        <v>7</v>
      </c>
      <c r="J770" s="4" t="s">
        <v>131</v>
      </c>
      <c r="K770" s="4">
        <v>1</v>
      </c>
      <c r="L770" s="5">
        <v>237.91</v>
      </c>
      <c r="M770" s="5">
        <v>237.91</v>
      </c>
      <c r="N770" s="5">
        <v>149.87</v>
      </c>
      <c r="O770" s="5">
        <v>88.04</v>
      </c>
      <c r="P770" s="4">
        <f>--AND(OR(Dashboard!$A$10="All",C770=Dashboard!$A$10),OR(Dashboard!$A$14="All",F770=Dashboard!$A$14),OR(Dashboard!$A$18="All",G770=Dashboard!$A$18),OR(Dashboard!$A$22="All",I770=Dashboard!$A$22))</f>
        <v>1</v>
      </c>
    </row>
    <row r="771" spans="1:16" ht="15.75" customHeight="1">
      <c r="A771" s="4" t="s">
        <v>977</v>
      </c>
      <c r="B771" s="6">
        <v>45831</v>
      </c>
      <c r="C771" s="4">
        <v>2025</v>
      </c>
      <c r="D771" s="4">
        <v>6</v>
      </c>
      <c r="E771" s="4" t="s">
        <v>34</v>
      </c>
      <c r="F771" s="4" t="s">
        <v>5</v>
      </c>
      <c r="G771" s="4" t="s">
        <v>12</v>
      </c>
      <c r="H771" s="4" t="s">
        <v>92</v>
      </c>
      <c r="I771" s="4" t="s">
        <v>10</v>
      </c>
      <c r="J771" s="4" t="s">
        <v>326</v>
      </c>
      <c r="K771" s="4">
        <v>1</v>
      </c>
      <c r="L771" s="5">
        <v>191.88</v>
      </c>
      <c r="M771" s="5">
        <v>191.88</v>
      </c>
      <c r="N771" s="5">
        <v>111.11</v>
      </c>
      <c r="O771" s="5">
        <v>80.77</v>
      </c>
      <c r="P771" s="4">
        <f>--AND(OR(Dashboard!$A$10="All",C771=Dashboard!$A$10),OR(Dashboard!$A$14="All",F771=Dashboard!$A$14),OR(Dashboard!$A$18="All",G771=Dashboard!$A$18),OR(Dashboard!$A$22="All",I771=Dashboard!$A$22))</f>
        <v>1</v>
      </c>
    </row>
    <row r="772" spans="1:16" ht="15.75" customHeight="1">
      <c r="A772" s="4" t="s">
        <v>978</v>
      </c>
      <c r="B772" s="6">
        <v>45807</v>
      </c>
      <c r="C772" s="4">
        <v>2025</v>
      </c>
      <c r="D772" s="4">
        <v>5</v>
      </c>
      <c r="E772" s="4" t="s">
        <v>108</v>
      </c>
      <c r="F772" s="4" t="s">
        <v>8</v>
      </c>
      <c r="G772" s="4" t="s">
        <v>9</v>
      </c>
      <c r="H772" s="4" t="s">
        <v>142</v>
      </c>
      <c r="I772" s="4" t="s">
        <v>10</v>
      </c>
      <c r="J772" s="4" t="s">
        <v>259</v>
      </c>
      <c r="K772" s="4">
        <v>1</v>
      </c>
      <c r="L772" s="5">
        <v>31.95</v>
      </c>
      <c r="M772" s="5">
        <v>31.95</v>
      </c>
      <c r="N772" s="5">
        <v>16.690000000000001</v>
      </c>
      <c r="O772" s="5">
        <v>15.26</v>
      </c>
      <c r="P772" s="4">
        <f>--AND(OR(Dashboard!$A$10="All",C772=Dashboard!$A$10),OR(Dashboard!$A$14="All",F772=Dashboard!$A$14),OR(Dashboard!$A$18="All",G772=Dashboard!$A$18),OR(Dashboard!$A$22="All",I772=Dashboard!$A$22))</f>
        <v>1</v>
      </c>
    </row>
    <row r="773" spans="1:16" ht="15.75" customHeight="1">
      <c r="A773" s="4" t="s">
        <v>979</v>
      </c>
      <c r="B773" s="6">
        <v>45455</v>
      </c>
      <c r="C773" s="4">
        <v>2024</v>
      </c>
      <c r="D773" s="4">
        <v>6</v>
      </c>
      <c r="E773" s="4" t="s">
        <v>34</v>
      </c>
      <c r="F773" s="4" t="s">
        <v>5</v>
      </c>
      <c r="G773" s="4" t="s">
        <v>6</v>
      </c>
      <c r="H773" s="4" t="s">
        <v>136</v>
      </c>
      <c r="I773" s="4" t="s">
        <v>7</v>
      </c>
      <c r="J773" s="4" t="s">
        <v>166</v>
      </c>
      <c r="K773" s="4">
        <v>3</v>
      </c>
      <c r="L773" s="5">
        <v>101.85</v>
      </c>
      <c r="M773" s="5">
        <v>305.55</v>
      </c>
      <c r="N773" s="5">
        <v>201.22</v>
      </c>
      <c r="O773" s="5">
        <v>104.33</v>
      </c>
      <c r="P773" s="4">
        <f>--AND(OR(Dashboard!$A$10="All",C773=Dashboard!$A$10),OR(Dashboard!$A$14="All",F773=Dashboard!$A$14),OR(Dashboard!$A$18="All",G773=Dashboard!$A$18),OR(Dashboard!$A$22="All",I773=Dashboard!$A$22))</f>
        <v>1</v>
      </c>
    </row>
    <row r="774" spans="1:16" ht="15.75" customHeight="1">
      <c r="A774" s="4" t="s">
        <v>980</v>
      </c>
      <c r="B774" s="6">
        <v>45589</v>
      </c>
      <c r="C774" s="4">
        <v>2024</v>
      </c>
      <c r="D774" s="4">
        <v>10</v>
      </c>
      <c r="E774" s="4" t="s">
        <v>120</v>
      </c>
      <c r="F774" s="4" t="s">
        <v>5</v>
      </c>
      <c r="G774" s="4" t="s">
        <v>12</v>
      </c>
      <c r="H774" s="4" t="s">
        <v>86</v>
      </c>
      <c r="I774" s="4" t="s">
        <v>10</v>
      </c>
      <c r="J774" s="4" t="s">
        <v>285</v>
      </c>
      <c r="K774" s="4">
        <v>2</v>
      </c>
      <c r="L774" s="5">
        <v>278.52</v>
      </c>
      <c r="M774" s="5">
        <v>557.04</v>
      </c>
      <c r="N774" s="5">
        <v>322.36</v>
      </c>
      <c r="O774" s="5">
        <v>234.68</v>
      </c>
      <c r="P774" s="4">
        <f>--AND(OR(Dashboard!$A$10="All",C774=Dashboard!$A$10),OR(Dashboard!$A$14="All",F774=Dashboard!$A$14),OR(Dashboard!$A$18="All",G774=Dashboard!$A$18),OR(Dashboard!$A$22="All",I774=Dashboard!$A$22))</f>
        <v>1</v>
      </c>
    </row>
    <row r="775" spans="1:16" ht="15.75" customHeight="1">
      <c r="A775" s="4" t="s">
        <v>981</v>
      </c>
      <c r="B775" s="6">
        <v>45911</v>
      </c>
      <c r="C775" s="4">
        <v>2025</v>
      </c>
      <c r="D775" s="4">
        <v>9</v>
      </c>
      <c r="E775" s="4" t="s">
        <v>79</v>
      </c>
      <c r="F775" s="4" t="s">
        <v>5</v>
      </c>
      <c r="G775" s="4" t="s">
        <v>9</v>
      </c>
      <c r="H775" s="4" t="s">
        <v>71</v>
      </c>
      <c r="I775" s="4" t="s">
        <v>7</v>
      </c>
      <c r="J775" s="4" t="s">
        <v>319</v>
      </c>
      <c r="K775" s="4">
        <v>3</v>
      </c>
      <c r="L775" s="5">
        <v>28.8</v>
      </c>
      <c r="M775" s="5">
        <v>86.4</v>
      </c>
      <c r="N775" s="5">
        <v>41.85</v>
      </c>
      <c r="O775" s="5">
        <v>44.55</v>
      </c>
      <c r="P775" s="4">
        <f>--AND(OR(Dashboard!$A$10="All",C775=Dashboard!$A$10),OR(Dashboard!$A$14="All",F775=Dashboard!$A$14),OR(Dashboard!$A$18="All",G775=Dashboard!$A$18),OR(Dashboard!$A$22="All",I775=Dashboard!$A$22))</f>
        <v>1</v>
      </c>
    </row>
    <row r="776" spans="1:16" ht="15.75" customHeight="1">
      <c r="A776" s="4" t="s">
        <v>982</v>
      </c>
      <c r="B776" s="6">
        <v>45892</v>
      </c>
      <c r="C776" s="4">
        <v>2025</v>
      </c>
      <c r="D776" s="4">
        <v>8</v>
      </c>
      <c r="E776" s="4" t="s">
        <v>67</v>
      </c>
      <c r="F776" s="4" t="s">
        <v>8</v>
      </c>
      <c r="G776" s="4" t="s">
        <v>12</v>
      </c>
      <c r="H776" s="4" t="s">
        <v>58</v>
      </c>
      <c r="I776" s="4" t="s">
        <v>7</v>
      </c>
      <c r="J776" s="4" t="s">
        <v>528</v>
      </c>
      <c r="K776" s="4">
        <v>5</v>
      </c>
      <c r="L776" s="5">
        <v>197.49</v>
      </c>
      <c r="M776" s="5">
        <v>987.45</v>
      </c>
      <c r="N776" s="5">
        <v>565.48</v>
      </c>
      <c r="O776" s="5">
        <v>421.97</v>
      </c>
      <c r="P776" s="4">
        <f>--AND(OR(Dashboard!$A$10="All",C776=Dashboard!$A$10),OR(Dashboard!$A$14="All",F776=Dashboard!$A$14),OR(Dashboard!$A$18="All",G776=Dashboard!$A$18),OR(Dashboard!$A$22="All",I776=Dashboard!$A$22))</f>
        <v>1</v>
      </c>
    </row>
    <row r="777" spans="1:16" ht="15.75" customHeight="1">
      <c r="A777" s="4" t="s">
        <v>983</v>
      </c>
      <c r="B777" s="6">
        <v>45609</v>
      </c>
      <c r="C777" s="4">
        <v>2024</v>
      </c>
      <c r="D777" s="4">
        <v>11</v>
      </c>
      <c r="E777" s="4" t="s">
        <v>89</v>
      </c>
      <c r="F777" s="4" t="s">
        <v>5</v>
      </c>
      <c r="G777" s="4" t="s">
        <v>12</v>
      </c>
      <c r="H777" s="4" t="s">
        <v>86</v>
      </c>
      <c r="I777" s="4" t="s">
        <v>7</v>
      </c>
      <c r="J777" s="4" t="s">
        <v>166</v>
      </c>
      <c r="K777" s="4">
        <v>4</v>
      </c>
      <c r="L777" s="5">
        <v>317.67</v>
      </c>
      <c r="M777" s="5">
        <v>1270.68</v>
      </c>
      <c r="N777" s="5">
        <v>755.12</v>
      </c>
      <c r="O777" s="5">
        <v>515.55999999999995</v>
      </c>
      <c r="P777" s="4">
        <f>--AND(OR(Dashboard!$A$10="All",C777=Dashboard!$A$10),OR(Dashboard!$A$14="All",F777=Dashboard!$A$14),OR(Dashboard!$A$18="All",G777=Dashboard!$A$18),OR(Dashboard!$A$22="All",I777=Dashboard!$A$22))</f>
        <v>1</v>
      </c>
    </row>
    <row r="778" spans="1:16" ht="15.75" customHeight="1">
      <c r="A778" s="4" t="s">
        <v>984</v>
      </c>
      <c r="B778" s="6">
        <v>45340</v>
      </c>
      <c r="C778" s="4">
        <v>2024</v>
      </c>
      <c r="D778" s="4">
        <v>2</v>
      </c>
      <c r="E778" s="4" t="s">
        <v>70</v>
      </c>
      <c r="F778" s="4" t="s">
        <v>11</v>
      </c>
      <c r="G778" s="4" t="s">
        <v>9</v>
      </c>
      <c r="H778" s="4" t="s">
        <v>35</v>
      </c>
      <c r="I778" s="4" t="s">
        <v>7</v>
      </c>
      <c r="J778" s="4" t="s">
        <v>289</v>
      </c>
      <c r="K778" s="4">
        <v>7</v>
      </c>
      <c r="L778" s="5">
        <v>47.94</v>
      </c>
      <c r="M778" s="5">
        <v>335.58</v>
      </c>
      <c r="N778" s="5">
        <v>162.41999999999999</v>
      </c>
      <c r="O778" s="5">
        <v>173.16</v>
      </c>
      <c r="P778" s="4">
        <f>--AND(OR(Dashboard!$A$10="All",C778=Dashboard!$A$10),OR(Dashboard!$A$14="All",F778=Dashboard!$A$14),OR(Dashboard!$A$18="All",G778=Dashboard!$A$18),OR(Dashboard!$A$22="All",I778=Dashboard!$A$22))</f>
        <v>1</v>
      </c>
    </row>
    <row r="779" spans="1:16" ht="15.75" customHeight="1">
      <c r="A779" s="4" t="s">
        <v>985</v>
      </c>
      <c r="B779" s="6">
        <v>45707</v>
      </c>
      <c r="C779" s="4">
        <v>2025</v>
      </c>
      <c r="D779" s="4">
        <v>2</v>
      </c>
      <c r="E779" s="4" t="s">
        <v>70</v>
      </c>
      <c r="F779" s="4" t="s">
        <v>14</v>
      </c>
      <c r="G779" s="4" t="s">
        <v>12</v>
      </c>
      <c r="H779" s="4" t="s">
        <v>58</v>
      </c>
      <c r="I779" s="4" t="s">
        <v>7</v>
      </c>
      <c r="J779" s="4" t="s">
        <v>153</v>
      </c>
      <c r="K779" s="4">
        <v>7</v>
      </c>
      <c r="L779" s="5">
        <v>188.16</v>
      </c>
      <c r="M779" s="5">
        <v>1317.12</v>
      </c>
      <c r="N779" s="5">
        <v>776.74</v>
      </c>
      <c r="O779" s="5">
        <v>540.38</v>
      </c>
      <c r="P779" s="4">
        <f>--AND(OR(Dashboard!$A$10="All",C779=Dashboard!$A$10),OR(Dashboard!$A$14="All",F779=Dashboard!$A$14),OR(Dashboard!$A$18="All",G779=Dashboard!$A$18),OR(Dashboard!$A$22="All",I779=Dashboard!$A$22))</f>
        <v>1</v>
      </c>
    </row>
    <row r="780" spans="1:16" ht="15.75" customHeight="1">
      <c r="A780" s="4" t="s">
        <v>986</v>
      </c>
      <c r="B780" s="6">
        <v>45716</v>
      </c>
      <c r="C780" s="4">
        <v>2025</v>
      </c>
      <c r="D780" s="4">
        <v>2</v>
      </c>
      <c r="E780" s="4" t="s">
        <v>70</v>
      </c>
      <c r="F780" s="4" t="s">
        <v>5</v>
      </c>
      <c r="G780" s="4" t="s">
        <v>12</v>
      </c>
      <c r="H780" s="4" t="s">
        <v>86</v>
      </c>
      <c r="I780" s="4" t="s">
        <v>13</v>
      </c>
      <c r="J780" s="4" t="s">
        <v>211</v>
      </c>
      <c r="K780" s="4">
        <v>2</v>
      </c>
      <c r="L780" s="5">
        <v>207.63</v>
      </c>
      <c r="M780" s="5">
        <v>415.26</v>
      </c>
      <c r="N780" s="5">
        <v>244.16</v>
      </c>
      <c r="O780" s="5">
        <v>171.1</v>
      </c>
      <c r="P780" s="4">
        <f>--AND(OR(Dashboard!$A$10="All",C780=Dashboard!$A$10),OR(Dashboard!$A$14="All",F780=Dashboard!$A$14),OR(Dashboard!$A$18="All",G780=Dashboard!$A$18),OR(Dashboard!$A$22="All",I780=Dashboard!$A$22))</f>
        <v>1</v>
      </c>
    </row>
    <row r="781" spans="1:16" ht="15.75" customHeight="1">
      <c r="A781" s="4" t="s">
        <v>987</v>
      </c>
      <c r="B781" s="6">
        <v>45522</v>
      </c>
      <c r="C781" s="4">
        <v>2024</v>
      </c>
      <c r="D781" s="4">
        <v>8</v>
      </c>
      <c r="E781" s="4" t="s">
        <v>67</v>
      </c>
      <c r="F781" s="4" t="s">
        <v>8</v>
      </c>
      <c r="G781" s="4" t="s">
        <v>9</v>
      </c>
      <c r="H781" s="4" t="s">
        <v>110</v>
      </c>
      <c r="I781" s="4" t="s">
        <v>7</v>
      </c>
      <c r="J781" s="4" t="s">
        <v>230</v>
      </c>
      <c r="K781" s="4">
        <v>12</v>
      </c>
      <c r="L781" s="5">
        <v>24.52</v>
      </c>
      <c r="M781" s="5">
        <v>294.24</v>
      </c>
      <c r="N781" s="5">
        <v>143.63999999999999</v>
      </c>
      <c r="O781" s="5">
        <v>150.6</v>
      </c>
      <c r="P781" s="4">
        <f>--AND(OR(Dashboard!$A$10="All",C781=Dashboard!$A$10),OR(Dashboard!$A$14="All",F781=Dashboard!$A$14),OR(Dashboard!$A$18="All",G781=Dashboard!$A$18),OR(Dashboard!$A$22="All",I781=Dashboard!$A$22))</f>
        <v>1</v>
      </c>
    </row>
    <row r="782" spans="1:16" ht="15.75" customHeight="1">
      <c r="A782" s="4" t="s">
        <v>988</v>
      </c>
      <c r="B782" s="6">
        <v>45786</v>
      </c>
      <c r="C782" s="4">
        <v>2025</v>
      </c>
      <c r="D782" s="4">
        <v>5</v>
      </c>
      <c r="E782" s="4" t="s">
        <v>108</v>
      </c>
      <c r="F782" s="4" t="s">
        <v>14</v>
      </c>
      <c r="G782" s="4" t="s">
        <v>12</v>
      </c>
      <c r="H782" s="4" t="s">
        <v>124</v>
      </c>
      <c r="I782" s="4" t="s">
        <v>10</v>
      </c>
      <c r="J782" s="4" t="s">
        <v>314</v>
      </c>
      <c r="K782" s="4">
        <v>4</v>
      </c>
      <c r="L782" s="5">
        <v>222.5</v>
      </c>
      <c r="M782" s="5">
        <v>890</v>
      </c>
      <c r="N782" s="5">
        <v>539.4</v>
      </c>
      <c r="O782" s="5">
        <v>350.6</v>
      </c>
      <c r="P782" s="4">
        <f>--AND(OR(Dashboard!$A$10="All",C782=Dashboard!$A$10),OR(Dashboard!$A$14="All",F782=Dashboard!$A$14),OR(Dashboard!$A$18="All",G782=Dashboard!$A$18),OR(Dashboard!$A$22="All",I782=Dashboard!$A$22))</f>
        <v>1</v>
      </c>
    </row>
    <row r="783" spans="1:16" ht="15.75" customHeight="1">
      <c r="A783" s="4" t="s">
        <v>989</v>
      </c>
      <c r="B783" s="6">
        <v>45665</v>
      </c>
      <c r="C783" s="4">
        <v>2025</v>
      </c>
      <c r="D783" s="4">
        <v>1</v>
      </c>
      <c r="E783" s="4" t="s">
        <v>30</v>
      </c>
      <c r="F783" s="4" t="s">
        <v>8</v>
      </c>
      <c r="G783" s="4" t="s">
        <v>12</v>
      </c>
      <c r="H783" s="4" t="s">
        <v>124</v>
      </c>
      <c r="I783" s="4" t="s">
        <v>7</v>
      </c>
      <c r="J783" s="4" t="s">
        <v>417</v>
      </c>
      <c r="K783" s="4">
        <v>4</v>
      </c>
      <c r="L783" s="5">
        <v>202.32</v>
      </c>
      <c r="M783" s="5">
        <v>809.28</v>
      </c>
      <c r="N783" s="5">
        <v>495.87</v>
      </c>
      <c r="O783" s="5">
        <v>313.41000000000003</v>
      </c>
      <c r="P783" s="4">
        <f>--AND(OR(Dashboard!$A$10="All",C783=Dashboard!$A$10),OR(Dashboard!$A$14="All",F783=Dashboard!$A$14),OR(Dashboard!$A$18="All",G783=Dashboard!$A$18),OR(Dashboard!$A$22="All",I783=Dashboard!$A$22))</f>
        <v>1</v>
      </c>
    </row>
    <row r="784" spans="1:16" ht="15.75" customHeight="1">
      <c r="A784" s="4" t="s">
        <v>990</v>
      </c>
      <c r="B784" s="6">
        <v>45787</v>
      </c>
      <c r="C784" s="4">
        <v>2025</v>
      </c>
      <c r="D784" s="4">
        <v>5</v>
      </c>
      <c r="E784" s="4" t="s">
        <v>108</v>
      </c>
      <c r="F784" s="4" t="s">
        <v>8</v>
      </c>
      <c r="G784" s="4" t="s">
        <v>9</v>
      </c>
      <c r="H784" s="4" t="s">
        <v>64</v>
      </c>
      <c r="I784" s="4" t="s">
        <v>7</v>
      </c>
      <c r="J784" s="4" t="s">
        <v>532</v>
      </c>
      <c r="K784" s="4">
        <v>6</v>
      </c>
      <c r="L784" s="5">
        <v>34.9</v>
      </c>
      <c r="M784" s="5">
        <v>209.4</v>
      </c>
      <c r="N784" s="5">
        <v>108.67</v>
      </c>
      <c r="O784" s="5">
        <v>100.73</v>
      </c>
      <c r="P784" s="4">
        <f>--AND(OR(Dashboard!$A$10="All",C784=Dashboard!$A$10),OR(Dashboard!$A$14="All",F784=Dashboard!$A$14),OR(Dashboard!$A$18="All",G784=Dashboard!$A$18),OR(Dashboard!$A$22="All",I784=Dashboard!$A$22))</f>
        <v>1</v>
      </c>
    </row>
    <row r="785" spans="1:16" ht="15.75" customHeight="1">
      <c r="A785" s="4" t="s">
        <v>991</v>
      </c>
      <c r="B785" s="6">
        <v>45788</v>
      </c>
      <c r="C785" s="4">
        <v>2025</v>
      </c>
      <c r="D785" s="4">
        <v>5</v>
      </c>
      <c r="E785" s="4" t="s">
        <v>108</v>
      </c>
      <c r="F785" s="4" t="s">
        <v>5</v>
      </c>
      <c r="G785" s="4" t="s">
        <v>6</v>
      </c>
      <c r="H785" s="4" t="s">
        <v>80</v>
      </c>
      <c r="I785" s="4" t="s">
        <v>7</v>
      </c>
      <c r="J785" s="4" t="s">
        <v>257</v>
      </c>
      <c r="K785" s="4">
        <v>4</v>
      </c>
      <c r="L785" s="5">
        <v>84.36</v>
      </c>
      <c r="M785" s="5">
        <v>337.44</v>
      </c>
      <c r="N785" s="5">
        <v>214.15</v>
      </c>
      <c r="O785" s="5">
        <v>123.29</v>
      </c>
      <c r="P785" s="4">
        <f>--AND(OR(Dashboard!$A$10="All",C785=Dashboard!$A$10),OR(Dashboard!$A$14="All",F785=Dashboard!$A$14),OR(Dashboard!$A$18="All",G785=Dashboard!$A$18),OR(Dashboard!$A$22="All",I785=Dashboard!$A$22))</f>
        <v>1</v>
      </c>
    </row>
    <row r="786" spans="1:16" ht="15.75" customHeight="1">
      <c r="A786" s="4" t="s">
        <v>992</v>
      </c>
      <c r="B786" s="6">
        <v>45858</v>
      </c>
      <c r="C786" s="4">
        <v>2025</v>
      </c>
      <c r="D786" s="4">
        <v>7</v>
      </c>
      <c r="E786" s="4" t="s">
        <v>63</v>
      </c>
      <c r="F786" s="4" t="s">
        <v>5</v>
      </c>
      <c r="G786" s="4" t="s">
        <v>12</v>
      </c>
      <c r="H786" s="4" t="s">
        <v>127</v>
      </c>
      <c r="I786" s="4" t="s">
        <v>13</v>
      </c>
      <c r="J786" s="4" t="s">
        <v>263</v>
      </c>
      <c r="K786" s="4">
        <v>6</v>
      </c>
      <c r="L786" s="5">
        <v>322.89999999999998</v>
      </c>
      <c r="M786" s="5">
        <v>1937.4</v>
      </c>
      <c r="N786" s="5">
        <v>1116.18</v>
      </c>
      <c r="O786" s="5">
        <v>821.22</v>
      </c>
      <c r="P786" s="4">
        <f>--AND(OR(Dashboard!$A$10="All",C786=Dashboard!$A$10),OR(Dashboard!$A$14="All",F786=Dashboard!$A$14),OR(Dashboard!$A$18="All",G786=Dashboard!$A$18),OR(Dashboard!$A$22="All",I786=Dashboard!$A$22))</f>
        <v>1</v>
      </c>
    </row>
    <row r="787" spans="1:16" ht="15.75" customHeight="1">
      <c r="A787" s="4" t="s">
        <v>993</v>
      </c>
      <c r="B787" s="6">
        <v>45614</v>
      </c>
      <c r="C787" s="4">
        <v>2024</v>
      </c>
      <c r="D787" s="4">
        <v>11</v>
      </c>
      <c r="E787" s="4" t="s">
        <v>89</v>
      </c>
      <c r="F787" s="4" t="s">
        <v>5</v>
      </c>
      <c r="G787" s="4" t="s">
        <v>12</v>
      </c>
      <c r="H787" s="4" t="s">
        <v>127</v>
      </c>
      <c r="I787" s="4" t="s">
        <v>10</v>
      </c>
      <c r="J787" s="4" t="s">
        <v>118</v>
      </c>
      <c r="K787" s="4">
        <v>3</v>
      </c>
      <c r="L787" s="5">
        <v>211.25</v>
      </c>
      <c r="M787" s="5">
        <v>633.75</v>
      </c>
      <c r="N787" s="5">
        <v>392.39</v>
      </c>
      <c r="O787" s="5">
        <v>241.36</v>
      </c>
      <c r="P787" s="4">
        <f>--AND(OR(Dashboard!$A$10="All",C787=Dashboard!$A$10),OR(Dashboard!$A$14="All",F787=Dashboard!$A$14),OR(Dashboard!$A$18="All",G787=Dashboard!$A$18),OR(Dashboard!$A$22="All",I787=Dashboard!$A$22))</f>
        <v>1</v>
      </c>
    </row>
    <row r="788" spans="1:16" ht="15.75" customHeight="1">
      <c r="A788" s="4" t="s">
        <v>994</v>
      </c>
      <c r="B788" s="6">
        <v>45501</v>
      </c>
      <c r="C788" s="4">
        <v>2024</v>
      </c>
      <c r="D788" s="4">
        <v>7</v>
      </c>
      <c r="E788" s="4" t="s">
        <v>63</v>
      </c>
      <c r="F788" s="4" t="s">
        <v>5</v>
      </c>
      <c r="G788" s="4" t="s">
        <v>12</v>
      </c>
      <c r="H788" s="4" t="s">
        <v>127</v>
      </c>
      <c r="I788" s="4" t="s">
        <v>7</v>
      </c>
      <c r="J788" s="4" t="s">
        <v>72</v>
      </c>
      <c r="K788" s="4">
        <v>1</v>
      </c>
      <c r="L788" s="5">
        <v>266.76</v>
      </c>
      <c r="M788" s="5">
        <v>266.76</v>
      </c>
      <c r="N788" s="5">
        <v>163.63999999999999</v>
      </c>
      <c r="O788" s="5">
        <v>103.12</v>
      </c>
      <c r="P788" s="4">
        <f>--AND(OR(Dashboard!$A$10="All",C788=Dashboard!$A$10),OR(Dashboard!$A$14="All",F788=Dashboard!$A$14),OR(Dashboard!$A$18="All",G788=Dashboard!$A$18),OR(Dashboard!$A$22="All",I788=Dashboard!$A$22))</f>
        <v>1</v>
      </c>
    </row>
    <row r="789" spans="1:16" ht="15.75" customHeight="1">
      <c r="A789" s="4" t="s">
        <v>995</v>
      </c>
      <c r="B789" s="6">
        <v>45384</v>
      </c>
      <c r="C789" s="4">
        <v>2024</v>
      </c>
      <c r="D789" s="4">
        <v>4</v>
      </c>
      <c r="E789" s="4" t="s">
        <v>106</v>
      </c>
      <c r="F789" s="4" t="s">
        <v>8</v>
      </c>
      <c r="G789" s="4" t="s">
        <v>12</v>
      </c>
      <c r="H789" s="4" t="s">
        <v>124</v>
      </c>
      <c r="I789" s="4" t="s">
        <v>10</v>
      </c>
      <c r="J789" s="4" t="s">
        <v>81</v>
      </c>
      <c r="K789" s="4">
        <v>2</v>
      </c>
      <c r="L789" s="5">
        <v>327.79</v>
      </c>
      <c r="M789" s="5">
        <v>655.58</v>
      </c>
      <c r="N789" s="5">
        <v>385.62</v>
      </c>
      <c r="O789" s="5">
        <v>269.95999999999998</v>
      </c>
      <c r="P789" s="4">
        <f>--AND(OR(Dashboard!$A$10="All",C789=Dashboard!$A$10),OR(Dashboard!$A$14="All",F789=Dashboard!$A$14),OR(Dashboard!$A$18="All",G789=Dashboard!$A$18),OR(Dashboard!$A$22="All",I789=Dashboard!$A$22))</f>
        <v>1</v>
      </c>
    </row>
    <row r="790" spans="1:16" ht="15.75" customHeight="1">
      <c r="A790" s="4" t="s">
        <v>996</v>
      </c>
      <c r="B790" s="6">
        <v>45328</v>
      </c>
      <c r="C790" s="4">
        <v>2024</v>
      </c>
      <c r="D790" s="4">
        <v>2</v>
      </c>
      <c r="E790" s="4" t="s">
        <v>70</v>
      </c>
      <c r="F790" s="4" t="s">
        <v>5</v>
      </c>
      <c r="G790" s="4" t="s">
        <v>12</v>
      </c>
      <c r="H790" s="4" t="s">
        <v>92</v>
      </c>
      <c r="I790" s="4" t="s">
        <v>7</v>
      </c>
      <c r="J790" s="4" t="s">
        <v>214</v>
      </c>
      <c r="K790" s="4">
        <v>1</v>
      </c>
      <c r="L790" s="5">
        <v>118.76</v>
      </c>
      <c r="M790" s="5">
        <v>118.76</v>
      </c>
      <c r="N790" s="5">
        <v>72.569999999999993</v>
      </c>
      <c r="O790" s="5">
        <v>46.19</v>
      </c>
      <c r="P790" s="4">
        <f>--AND(OR(Dashboard!$A$10="All",C790=Dashboard!$A$10),OR(Dashboard!$A$14="All",F790=Dashboard!$A$14),OR(Dashboard!$A$18="All",G790=Dashboard!$A$18),OR(Dashboard!$A$22="All",I790=Dashboard!$A$22))</f>
        <v>1</v>
      </c>
    </row>
    <row r="791" spans="1:16" ht="15.75" customHeight="1">
      <c r="A791" s="4" t="s">
        <v>997</v>
      </c>
      <c r="B791" s="6">
        <v>45921</v>
      </c>
      <c r="C791" s="4">
        <v>2025</v>
      </c>
      <c r="D791" s="4">
        <v>9</v>
      </c>
      <c r="E791" s="4" t="s">
        <v>79</v>
      </c>
      <c r="F791" s="4" t="s">
        <v>8</v>
      </c>
      <c r="G791" s="4" t="s">
        <v>12</v>
      </c>
      <c r="H791" s="4" t="s">
        <v>86</v>
      </c>
      <c r="I791" s="4" t="s">
        <v>7</v>
      </c>
      <c r="J791" s="4" t="s">
        <v>199</v>
      </c>
      <c r="K791" s="4">
        <v>4</v>
      </c>
      <c r="L791" s="5">
        <v>296.38</v>
      </c>
      <c r="M791" s="5">
        <v>1185.52</v>
      </c>
      <c r="N791" s="5">
        <v>697.64</v>
      </c>
      <c r="O791" s="5">
        <v>487.88</v>
      </c>
      <c r="P791" s="4">
        <f>--AND(OR(Dashboard!$A$10="All",C791=Dashboard!$A$10),OR(Dashboard!$A$14="All",F791=Dashboard!$A$14),OR(Dashboard!$A$18="All",G791=Dashboard!$A$18),OR(Dashboard!$A$22="All",I791=Dashboard!$A$22))</f>
        <v>1</v>
      </c>
    </row>
    <row r="792" spans="1:16" ht="15.75" customHeight="1">
      <c r="A792" s="4" t="s">
        <v>998</v>
      </c>
      <c r="B792" s="6">
        <v>45965</v>
      </c>
      <c r="C792" s="4">
        <v>2025</v>
      </c>
      <c r="D792" s="4">
        <v>11</v>
      </c>
      <c r="E792" s="4" t="s">
        <v>89</v>
      </c>
      <c r="F792" s="4" t="s">
        <v>11</v>
      </c>
      <c r="G792" s="4" t="s">
        <v>12</v>
      </c>
      <c r="H792" s="4" t="s">
        <v>127</v>
      </c>
      <c r="I792" s="4" t="s">
        <v>7</v>
      </c>
      <c r="J792" s="4" t="s">
        <v>104</v>
      </c>
      <c r="K792" s="4">
        <v>2</v>
      </c>
      <c r="L792" s="5">
        <v>270.82</v>
      </c>
      <c r="M792" s="5">
        <v>541.64</v>
      </c>
      <c r="N792" s="5">
        <v>327.98</v>
      </c>
      <c r="O792" s="5">
        <v>213.66</v>
      </c>
      <c r="P792" s="4">
        <f>--AND(OR(Dashboard!$A$10="All",C792=Dashboard!$A$10),OR(Dashboard!$A$14="All",F792=Dashboard!$A$14),OR(Dashboard!$A$18="All",G792=Dashboard!$A$18),OR(Dashboard!$A$22="All",I792=Dashboard!$A$22))</f>
        <v>1</v>
      </c>
    </row>
    <row r="793" spans="1:16" ht="15.75" customHeight="1">
      <c r="A793" s="4" t="s">
        <v>999</v>
      </c>
      <c r="B793" s="6">
        <v>45853</v>
      </c>
      <c r="C793" s="4">
        <v>2025</v>
      </c>
      <c r="D793" s="4">
        <v>7</v>
      </c>
      <c r="E793" s="4" t="s">
        <v>63</v>
      </c>
      <c r="F793" s="4" t="s">
        <v>8</v>
      </c>
      <c r="G793" s="4" t="s">
        <v>9</v>
      </c>
      <c r="H793" s="4" t="s">
        <v>64</v>
      </c>
      <c r="I793" s="4" t="s">
        <v>10</v>
      </c>
      <c r="J793" s="4" t="s">
        <v>61</v>
      </c>
      <c r="K793" s="4">
        <v>11</v>
      </c>
      <c r="L793" s="5">
        <v>52.92</v>
      </c>
      <c r="M793" s="5">
        <v>582.12</v>
      </c>
      <c r="N793" s="5">
        <v>286.36</v>
      </c>
      <c r="O793" s="5">
        <v>295.76</v>
      </c>
      <c r="P793" s="4">
        <f>--AND(OR(Dashboard!$A$10="All",C793=Dashboard!$A$10),OR(Dashboard!$A$14="All",F793=Dashboard!$A$14),OR(Dashboard!$A$18="All",G793=Dashboard!$A$18),OR(Dashboard!$A$22="All",I793=Dashboard!$A$22))</f>
        <v>1</v>
      </c>
    </row>
    <row r="794" spans="1:16" ht="15.75" customHeight="1">
      <c r="A794" s="4" t="s">
        <v>1000</v>
      </c>
      <c r="B794" s="6">
        <v>45836</v>
      </c>
      <c r="C794" s="4">
        <v>2025</v>
      </c>
      <c r="D794" s="4">
        <v>6</v>
      </c>
      <c r="E794" s="4" t="s">
        <v>34</v>
      </c>
      <c r="F794" s="4" t="s">
        <v>8</v>
      </c>
      <c r="G794" s="4" t="s">
        <v>6</v>
      </c>
      <c r="H794" s="4" t="s">
        <v>136</v>
      </c>
      <c r="I794" s="4" t="s">
        <v>10</v>
      </c>
      <c r="J794" s="4" t="s">
        <v>111</v>
      </c>
      <c r="K794" s="4">
        <v>1</v>
      </c>
      <c r="L794" s="5">
        <v>185.44</v>
      </c>
      <c r="M794" s="5">
        <v>185.44</v>
      </c>
      <c r="N794" s="5">
        <v>124.91</v>
      </c>
      <c r="O794" s="5">
        <v>60.53</v>
      </c>
      <c r="P794" s="4">
        <f>--AND(OR(Dashboard!$A$10="All",C794=Dashboard!$A$10),OR(Dashboard!$A$14="All",F794=Dashboard!$A$14),OR(Dashboard!$A$18="All",G794=Dashboard!$A$18),OR(Dashboard!$A$22="All",I794=Dashboard!$A$22))</f>
        <v>1</v>
      </c>
    </row>
    <row r="795" spans="1:16" ht="15.75" customHeight="1">
      <c r="A795" s="4" t="s">
        <v>1001</v>
      </c>
      <c r="B795" s="6">
        <v>45536</v>
      </c>
      <c r="C795" s="4">
        <v>2024</v>
      </c>
      <c r="D795" s="4">
        <v>9</v>
      </c>
      <c r="E795" s="4" t="s">
        <v>79</v>
      </c>
      <c r="F795" s="4" t="s">
        <v>5</v>
      </c>
      <c r="G795" s="4" t="s">
        <v>6</v>
      </c>
      <c r="H795" s="4" t="s">
        <v>80</v>
      </c>
      <c r="I795" s="4" t="s">
        <v>13</v>
      </c>
      <c r="J795" s="4" t="s">
        <v>346</v>
      </c>
      <c r="K795" s="4">
        <v>1</v>
      </c>
      <c r="L795" s="5">
        <v>120.93</v>
      </c>
      <c r="M795" s="5">
        <v>120.93</v>
      </c>
      <c r="N795" s="5">
        <v>80.88</v>
      </c>
      <c r="O795" s="5">
        <v>40.049999999999997</v>
      </c>
      <c r="P795" s="4">
        <f>--AND(OR(Dashboard!$A$10="All",C795=Dashboard!$A$10),OR(Dashboard!$A$14="All",F795=Dashboard!$A$14),OR(Dashboard!$A$18="All",G795=Dashboard!$A$18),OR(Dashboard!$A$22="All",I795=Dashboard!$A$22))</f>
        <v>1</v>
      </c>
    </row>
    <row r="796" spans="1:16" ht="15.75" customHeight="1">
      <c r="A796" s="4" t="s">
        <v>1002</v>
      </c>
      <c r="B796" s="6">
        <v>45568</v>
      </c>
      <c r="C796" s="4">
        <v>2024</v>
      </c>
      <c r="D796" s="4">
        <v>10</v>
      </c>
      <c r="E796" s="4" t="s">
        <v>120</v>
      </c>
      <c r="F796" s="4" t="s">
        <v>11</v>
      </c>
      <c r="G796" s="4" t="s">
        <v>12</v>
      </c>
      <c r="H796" s="4" t="s">
        <v>124</v>
      </c>
      <c r="I796" s="4" t="s">
        <v>10</v>
      </c>
      <c r="J796" s="4" t="s">
        <v>336</v>
      </c>
      <c r="K796" s="4">
        <v>1</v>
      </c>
      <c r="L796" s="5">
        <v>223.55</v>
      </c>
      <c r="M796" s="5">
        <v>223.55</v>
      </c>
      <c r="N796" s="5">
        <v>140.58000000000001</v>
      </c>
      <c r="O796" s="5">
        <v>82.97</v>
      </c>
      <c r="P796" s="4">
        <f>--AND(OR(Dashboard!$A$10="All",C796=Dashboard!$A$10),OR(Dashboard!$A$14="All",F796=Dashboard!$A$14),OR(Dashboard!$A$18="All",G796=Dashboard!$A$18),OR(Dashboard!$A$22="All",I796=Dashboard!$A$22))</f>
        <v>1</v>
      </c>
    </row>
    <row r="797" spans="1:16" ht="15.75" customHeight="1">
      <c r="A797" s="4" t="s">
        <v>1003</v>
      </c>
      <c r="B797" s="6">
        <v>45711</v>
      </c>
      <c r="C797" s="4">
        <v>2025</v>
      </c>
      <c r="D797" s="4">
        <v>2</v>
      </c>
      <c r="E797" s="4" t="s">
        <v>70</v>
      </c>
      <c r="F797" s="4" t="s">
        <v>11</v>
      </c>
      <c r="G797" s="4" t="s">
        <v>6</v>
      </c>
      <c r="H797" s="4" t="s">
        <v>136</v>
      </c>
      <c r="I797" s="4" t="s">
        <v>13</v>
      </c>
      <c r="J797" s="4" t="s">
        <v>184</v>
      </c>
      <c r="K797" s="4">
        <v>3</v>
      </c>
      <c r="L797" s="5">
        <v>160.79</v>
      </c>
      <c r="M797" s="5">
        <v>482.37</v>
      </c>
      <c r="N797" s="5">
        <v>303.11</v>
      </c>
      <c r="O797" s="5">
        <v>179.26</v>
      </c>
      <c r="P797" s="4">
        <f>--AND(OR(Dashboard!$A$10="All",C797=Dashboard!$A$10),OR(Dashboard!$A$14="All",F797=Dashboard!$A$14),OR(Dashboard!$A$18="All",G797=Dashboard!$A$18),OR(Dashboard!$A$22="All",I797=Dashboard!$A$22))</f>
        <v>1</v>
      </c>
    </row>
    <row r="798" spans="1:16" ht="15.75" customHeight="1">
      <c r="A798" s="4" t="s">
        <v>1004</v>
      </c>
      <c r="B798" s="6">
        <v>45391</v>
      </c>
      <c r="C798" s="4">
        <v>2024</v>
      </c>
      <c r="D798" s="4">
        <v>4</v>
      </c>
      <c r="E798" s="4" t="s">
        <v>106</v>
      </c>
      <c r="F798" s="4" t="s">
        <v>14</v>
      </c>
      <c r="G798" s="4" t="s">
        <v>12</v>
      </c>
      <c r="H798" s="4" t="s">
        <v>124</v>
      </c>
      <c r="I798" s="4" t="s">
        <v>7</v>
      </c>
      <c r="J798" s="4" t="s">
        <v>55</v>
      </c>
      <c r="K798" s="4">
        <v>4</v>
      </c>
      <c r="L798" s="5">
        <v>206.79</v>
      </c>
      <c r="M798" s="5">
        <v>827.16</v>
      </c>
      <c r="N798" s="5">
        <v>489.89</v>
      </c>
      <c r="O798" s="5">
        <v>337.27</v>
      </c>
      <c r="P798" s="4">
        <f>--AND(OR(Dashboard!$A$10="All",C798=Dashboard!$A$10),OR(Dashboard!$A$14="All",F798=Dashboard!$A$14),OR(Dashboard!$A$18="All",G798=Dashboard!$A$18),OR(Dashboard!$A$22="All",I798=Dashboard!$A$22))</f>
        <v>1</v>
      </c>
    </row>
    <row r="799" spans="1:16" ht="15.75" customHeight="1">
      <c r="A799" s="4" t="s">
        <v>1005</v>
      </c>
      <c r="B799" s="6">
        <v>45752</v>
      </c>
      <c r="C799" s="4">
        <v>2025</v>
      </c>
      <c r="D799" s="4">
        <v>4</v>
      </c>
      <c r="E799" s="4" t="s">
        <v>106</v>
      </c>
      <c r="F799" s="4" t="s">
        <v>14</v>
      </c>
      <c r="G799" s="4" t="s">
        <v>9</v>
      </c>
      <c r="H799" s="4" t="s">
        <v>64</v>
      </c>
      <c r="I799" s="4" t="s">
        <v>10</v>
      </c>
      <c r="J799" s="4" t="s">
        <v>494</v>
      </c>
      <c r="K799" s="4">
        <v>2</v>
      </c>
      <c r="L799" s="5">
        <v>46.94</v>
      </c>
      <c r="M799" s="5">
        <v>93.88</v>
      </c>
      <c r="N799" s="5">
        <v>46.41</v>
      </c>
      <c r="O799" s="5">
        <v>47.47</v>
      </c>
      <c r="P799" s="4">
        <f>--AND(OR(Dashboard!$A$10="All",C799=Dashboard!$A$10),OR(Dashboard!$A$14="All",F799=Dashboard!$A$14),OR(Dashboard!$A$18="All",G799=Dashboard!$A$18),OR(Dashboard!$A$22="All",I799=Dashboard!$A$22))</f>
        <v>1</v>
      </c>
    </row>
    <row r="800" spans="1:16" ht="15.75" customHeight="1">
      <c r="A800" s="4" t="s">
        <v>1006</v>
      </c>
      <c r="B800" s="6">
        <v>45469</v>
      </c>
      <c r="C800" s="4">
        <v>2024</v>
      </c>
      <c r="D800" s="4">
        <v>6</v>
      </c>
      <c r="E800" s="4" t="s">
        <v>34</v>
      </c>
      <c r="F800" s="4" t="s">
        <v>8</v>
      </c>
      <c r="G800" s="4" t="s">
        <v>6</v>
      </c>
      <c r="H800" s="4" t="s">
        <v>80</v>
      </c>
      <c r="I800" s="4" t="s">
        <v>7</v>
      </c>
      <c r="J800" s="4" t="s">
        <v>131</v>
      </c>
      <c r="K800" s="4">
        <v>3</v>
      </c>
      <c r="L800" s="5">
        <v>138.19999999999999</v>
      </c>
      <c r="M800" s="5">
        <v>414.6</v>
      </c>
      <c r="N800" s="5">
        <v>278.85000000000002</v>
      </c>
      <c r="O800" s="5">
        <v>135.75</v>
      </c>
      <c r="P800" s="4">
        <f>--AND(OR(Dashboard!$A$10="All",C800=Dashboard!$A$10),OR(Dashboard!$A$14="All",F800=Dashboard!$A$14),OR(Dashboard!$A$18="All",G800=Dashboard!$A$18),OR(Dashboard!$A$22="All",I800=Dashboard!$A$22))</f>
        <v>1</v>
      </c>
    </row>
    <row r="801" spans="1:16" ht="15.75" customHeight="1">
      <c r="A801" s="4" t="s">
        <v>1007</v>
      </c>
      <c r="B801" s="6">
        <v>45799</v>
      </c>
      <c r="C801" s="4">
        <v>2025</v>
      </c>
      <c r="D801" s="4">
        <v>5</v>
      </c>
      <c r="E801" s="4" t="s">
        <v>108</v>
      </c>
      <c r="F801" s="4" t="s">
        <v>8</v>
      </c>
      <c r="G801" s="4" t="s">
        <v>9</v>
      </c>
      <c r="H801" s="4" t="s">
        <v>110</v>
      </c>
      <c r="I801" s="4" t="s">
        <v>10</v>
      </c>
      <c r="J801" s="4" t="s">
        <v>373</v>
      </c>
      <c r="K801" s="4">
        <v>2</v>
      </c>
      <c r="L801" s="5">
        <v>33.119999999999997</v>
      </c>
      <c r="M801" s="5">
        <v>66.239999999999995</v>
      </c>
      <c r="N801" s="5">
        <v>32.33</v>
      </c>
      <c r="O801" s="5">
        <v>33.909999999999997</v>
      </c>
      <c r="P801" s="4">
        <f>--AND(OR(Dashboard!$A$10="All",C801=Dashboard!$A$10),OR(Dashboard!$A$14="All",F801=Dashboard!$A$14),OR(Dashboard!$A$18="All",G801=Dashboard!$A$18),OR(Dashboard!$A$22="All",I801=Dashboard!$A$22))</f>
        <v>1</v>
      </c>
    </row>
    <row r="802" spans="1:16" ht="15.75" customHeight="1">
      <c r="A802" s="4" t="s">
        <v>1008</v>
      </c>
      <c r="B802" s="6">
        <v>45850</v>
      </c>
      <c r="C802" s="4">
        <v>2025</v>
      </c>
      <c r="D802" s="4">
        <v>7</v>
      </c>
      <c r="E802" s="4" t="s">
        <v>63</v>
      </c>
      <c r="F802" s="4" t="s">
        <v>5</v>
      </c>
      <c r="G802" s="4" t="s">
        <v>9</v>
      </c>
      <c r="H802" s="4" t="s">
        <v>71</v>
      </c>
      <c r="I802" s="4" t="s">
        <v>7</v>
      </c>
      <c r="J802" s="4" t="s">
        <v>111</v>
      </c>
      <c r="K802" s="4">
        <v>2</v>
      </c>
      <c r="L802" s="5">
        <v>58.49</v>
      </c>
      <c r="M802" s="5">
        <v>116.98</v>
      </c>
      <c r="N802" s="5">
        <v>61.22</v>
      </c>
      <c r="O802" s="5">
        <v>55.76</v>
      </c>
      <c r="P802" s="4">
        <f>--AND(OR(Dashboard!$A$10="All",C802=Dashboard!$A$10),OR(Dashboard!$A$14="All",F802=Dashboard!$A$14),OR(Dashboard!$A$18="All",G802=Dashboard!$A$18),OR(Dashboard!$A$22="All",I802=Dashboard!$A$22))</f>
        <v>1</v>
      </c>
    </row>
    <row r="803" spans="1:16" ht="15.75" customHeight="1">
      <c r="A803" s="4" t="s">
        <v>1009</v>
      </c>
      <c r="B803" s="6">
        <v>45439</v>
      </c>
      <c r="C803" s="4">
        <v>2024</v>
      </c>
      <c r="D803" s="4">
        <v>5</v>
      </c>
      <c r="E803" s="4" t="s">
        <v>108</v>
      </c>
      <c r="F803" s="4" t="s">
        <v>5</v>
      </c>
      <c r="G803" s="4" t="s">
        <v>12</v>
      </c>
      <c r="H803" s="4" t="s">
        <v>92</v>
      </c>
      <c r="I803" s="4" t="s">
        <v>13</v>
      </c>
      <c r="J803" s="4" t="s">
        <v>393</v>
      </c>
      <c r="K803" s="4">
        <v>2</v>
      </c>
      <c r="L803" s="5">
        <v>257.81</v>
      </c>
      <c r="M803" s="5">
        <v>515.62</v>
      </c>
      <c r="N803" s="5">
        <v>323.83</v>
      </c>
      <c r="O803" s="5">
        <v>191.79</v>
      </c>
      <c r="P803" s="4">
        <f>--AND(OR(Dashboard!$A$10="All",C803=Dashboard!$A$10),OR(Dashboard!$A$14="All",F803=Dashboard!$A$14),OR(Dashboard!$A$18="All",G803=Dashboard!$A$18),OR(Dashboard!$A$22="All",I803=Dashboard!$A$22))</f>
        <v>1</v>
      </c>
    </row>
    <row r="804" spans="1:16" ht="15.75" customHeight="1">
      <c r="A804" s="4" t="s">
        <v>1010</v>
      </c>
      <c r="B804" s="6">
        <v>45455</v>
      </c>
      <c r="C804" s="4">
        <v>2024</v>
      </c>
      <c r="D804" s="4">
        <v>6</v>
      </c>
      <c r="E804" s="4" t="s">
        <v>34</v>
      </c>
      <c r="F804" s="4" t="s">
        <v>8</v>
      </c>
      <c r="G804" s="4" t="s">
        <v>9</v>
      </c>
      <c r="H804" s="4" t="s">
        <v>142</v>
      </c>
      <c r="I804" s="4" t="s">
        <v>7</v>
      </c>
      <c r="J804" s="4" t="s">
        <v>193</v>
      </c>
      <c r="K804" s="4">
        <v>4</v>
      </c>
      <c r="L804" s="5">
        <v>43.5</v>
      </c>
      <c r="M804" s="5">
        <v>174</v>
      </c>
      <c r="N804" s="5">
        <v>83.77</v>
      </c>
      <c r="O804" s="5">
        <v>90.23</v>
      </c>
      <c r="P804" s="4">
        <f>--AND(OR(Dashboard!$A$10="All",C804=Dashboard!$A$10),OR(Dashboard!$A$14="All",F804=Dashboard!$A$14),OR(Dashboard!$A$18="All",G804=Dashboard!$A$18),OR(Dashboard!$A$22="All",I804=Dashboard!$A$22))</f>
        <v>1</v>
      </c>
    </row>
    <row r="805" spans="1:16" ht="15.75" customHeight="1">
      <c r="A805" s="4" t="s">
        <v>1011</v>
      </c>
      <c r="B805" s="6">
        <v>45598</v>
      </c>
      <c r="C805" s="4">
        <v>2024</v>
      </c>
      <c r="D805" s="4">
        <v>11</v>
      </c>
      <c r="E805" s="4" t="s">
        <v>89</v>
      </c>
      <c r="F805" s="4" t="s">
        <v>11</v>
      </c>
      <c r="G805" s="4" t="s">
        <v>9</v>
      </c>
      <c r="H805" s="4" t="s">
        <v>110</v>
      </c>
      <c r="I805" s="4" t="s">
        <v>10</v>
      </c>
      <c r="J805" s="4" t="s">
        <v>174</v>
      </c>
      <c r="K805" s="4">
        <v>2</v>
      </c>
      <c r="L805" s="5">
        <v>55.99</v>
      </c>
      <c r="M805" s="5">
        <v>111.98</v>
      </c>
      <c r="N805" s="5">
        <v>57.91</v>
      </c>
      <c r="O805" s="5">
        <v>54.07</v>
      </c>
      <c r="P805" s="4">
        <f>--AND(OR(Dashboard!$A$10="All",C805=Dashboard!$A$10),OR(Dashboard!$A$14="All",F805=Dashboard!$A$14),OR(Dashboard!$A$18="All",G805=Dashboard!$A$18),OR(Dashboard!$A$22="All",I805=Dashboard!$A$22))</f>
        <v>1</v>
      </c>
    </row>
    <row r="806" spans="1:16" ht="15.75" customHeight="1">
      <c r="A806" s="4" t="s">
        <v>1012</v>
      </c>
      <c r="B806" s="6">
        <v>45424</v>
      </c>
      <c r="C806" s="4">
        <v>2024</v>
      </c>
      <c r="D806" s="4">
        <v>5</v>
      </c>
      <c r="E806" s="4" t="s">
        <v>108</v>
      </c>
      <c r="F806" s="4" t="s">
        <v>5</v>
      </c>
      <c r="G806" s="4" t="s">
        <v>6</v>
      </c>
      <c r="H806" s="4" t="s">
        <v>98</v>
      </c>
      <c r="I806" s="4" t="s">
        <v>7</v>
      </c>
      <c r="J806" s="4" t="s">
        <v>59</v>
      </c>
      <c r="K806" s="4">
        <v>10</v>
      </c>
      <c r="L806" s="5">
        <v>117.56</v>
      </c>
      <c r="M806" s="5">
        <v>1175.5999999999999</v>
      </c>
      <c r="N806" s="5">
        <v>746.14</v>
      </c>
      <c r="O806" s="5">
        <v>429.46</v>
      </c>
      <c r="P806" s="4">
        <f>--AND(OR(Dashboard!$A$10="All",C806=Dashboard!$A$10),OR(Dashboard!$A$14="All",F806=Dashboard!$A$14),OR(Dashboard!$A$18="All",G806=Dashboard!$A$18),OR(Dashboard!$A$22="All",I806=Dashboard!$A$22))</f>
        <v>1</v>
      </c>
    </row>
    <row r="807" spans="1:16" ht="15.75" customHeight="1">
      <c r="A807" s="4" t="s">
        <v>1013</v>
      </c>
      <c r="B807" s="6">
        <v>45601</v>
      </c>
      <c r="C807" s="4">
        <v>2024</v>
      </c>
      <c r="D807" s="4">
        <v>11</v>
      </c>
      <c r="E807" s="4" t="s">
        <v>89</v>
      </c>
      <c r="F807" s="4" t="s">
        <v>8</v>
      </c>
      <c r="G807" s="4" t="s">
        <v>12</v>
      </c>
      <c r="H807" s="4" t="s">
        <v>127</v>
      </c>
      <c r="I807" s="4" t="s">
        <v>7</v>
      </c>
      <c r="J807" s="4" t="s">
        <v>205</v>
      </c>
      <c r="K807" s="4">
        <v>6</v>
      </c>
      <c r="L807" s="5">
        <v>208.52</v>
      </c>
      <c r="M807" s="5">
        <v>1251.1199999999999</v>
      </c>
      <c r="N807" s="5">
        <v>775.7</v>
      </c>
      <c r="O807" s="5">
        <v>475.42</v>
      </c>
      <c r="P807" s="4">
        <f>--AND(OR(Dashboard!$A$10="All",C807=Dashboard!$A$10),OR(Dashboard!$A$14="All",F807=Dashboard!$A$14),OR(Dashboard!$A$18="All",G807=Dashboard!$A$18),OR(Dashboard!$A$22="All",I807=Dashboard!$A$22))</f>
        <v>1</v>
      </c>
    </row>
    <row r="808" spans="1:16" ht="15.75" customHeight="1">
      <c r="A808" s="4" t="s">
        <v>1014</v>
      </c>
      <c r="B808" s="6">
        <v>45840</v>
      </c>
      <c r="C808" s="4">
        <v>2025</v>
      </c>
      <c r="D808" s="4">
        <v>7</v>
      </c>
      <c r="E808" s="4" t="s">
        <v>63</v>
      </c>
      <c r="F808" s="4" t="s">
        <v>5</v>
      </c>
      <c r="G808" s="4" t="s">
        <v>12</v>
      </c>
      <c r="H808" s="4" t="s">
        <v>127</v>
      </c>
      <c r="I808" s="4" t="s">
        <v>7</v>
      </c>
      <c r="J808" s="4" t="s">
        <v>344</v>
      </c>
      <c r="K808" s="4">
        <v>3</v>
      </c>
      <c r="L808" s="5">
        <v>270.54000000000002</v>
      </c>
      <c r="M808" s="5">
        <v>811.62</v>
      </c>
      <c r="N808" s="5">
        <v>464.32</v>
      </c>
      <c r="O808" s="5">
        <v>347.3</v>
      </c>
      <c r="P808" s="4">
        <f>--AND(OR(Dashboard!$A$10="All",C808=Dashboard!$A$10),OR(Dashboard!$A$14="All",F808=Dashboard!$A$14),OR(Dashboard!$A$18="All",G808=Dashboard!$A$18),OR(Dashboard!$A$22="All",I808=Dashboard!$A$22))</f>
        <v>1</v>
      </c>
    </row>
    <row r="809" spans="1:16" ht="15.75" customHeight="1">
      <c r="A809" s="4" t="s">
        <v>1015</v>
      </c>
      <c r="B809" s="6">
        <v>45594</v>
      </c>
      <c r="C809" s="4">
        <v>2024</v>
      </c>
      <c r="D809" s="4">
        <v>10</v>
      </c>
      <c r="E809" s="4" t="s">
        <v>120</v>
      </c>
      <c r="F809" s="4" t="s">
        <v>14</v>
      </c>
      <c r="G809" s="4" t="s">
        <v>6</v>
      </c>
      <c r="H809" s="4" t="s">
        <v>54</v>
      </c>
      <c r="I809" s="4" t="s">
        <v>7</v>
      </c>
      <c r="J809" s="4" t="s">
        <v>381</v>
      </c>
      <c r="K809" s="4">
        <v>6</v>
      </c>
      <c r="L809" s="5">
        <v>186.62</v>
      </c>
      <c r="M809" s="5">
        <v>1119.72</v>
      </c>
      <c r="N809" s="5">
        <v>736.8</v>
      </c>
      <c r="O809" s="5">
        <v>382.92</v>
      </c>
      <c r="P809" s="4">
        <f>--AND(OR(Dashboard!$A$10="All",C809=Dashboard!$A$10),OR(Dashboard!$A$14="All",F809=Dashboard!$A$14),OR(Dashboard!$A$18="All",G809=Dashboard!$A$18),OR(Dashboard!$A$22="All",I809=Dashboard!$A$22))</f>
        <v>1</v>
      </c>
    </row>
    <row r="810" spans="1:16" ht="15.75" customHeight="1">
      <c r="A810" s="4" t="s">
        <v>1016</v>
      </c>
      <c r="B810" s="6">
        <v>46006</v>
      </c>
      <c r="C810" s="4">
        <v>2025</v>
      </c>
      <c r="D810" s="4">
        <v>12</v>
      </c>
      <c r="E810" s="4" t="s">
        <v>57</v>
      </c>
      <c r="F810" s="4" t="s">
        <v>5</v>
      </c>
      <c r="G810" s="4" t="s">
        <v>12</v>
      </c>
      <c r="H810" s="4" t="s">
        <v>58</v>
      </c>
      <c r="I810" s="4" t="s">
        <v>7</v>
      </c>
      <c r="J810" s="4" t="s">
        <v>261</v>
      </c>
      <c r="K810" s="4">
        <v>3</v>
      </c>
      <c r="L810" s="5">
        <v>182.07</v>
      </c>
      <c r="M810" s="5">
        <v>546.21</v>
      </c>
      <c r="N810" s="5">
        <v>329.03</v>
      </c>
      <c r="O810" s="5">
        <v>217.18</v>
      </c>
      <c r="P810" s="4">
        <f>--AND(OR(Dashboard!$A$10="All",C810=Dashboard!$A$10),OR(Dashboard!$A$14="All",F810=Dashboard!$A$14),OR(Dashboard!$A$18="All",G810=Dashboard!$A$18),OR(Dashboard!$A$22="All",I810=Dashboard!$A$22))</f>
        <v>1</v>
      </c>
    </row>
    <row r="811" spans="1:16" ht="15.75" customHeight="1">
      <c r="A811" s="4" t="s">
        <v>1017</v>
      </c>
      <c r="B811" s="6">
        <v>45772</v>
      </c>
      <c r="C811" s="4">
        <v>2025</v>
      </c>
      <c r="D811" s="4">
        <v>4</v>
      </c>
      <c r="E811" s="4" t="s">
        <v>106</v>
      </c>
      <c r="F811" s="4" t="s">
        <v>8</v>
      </c>
      <c r="G811" s="4" t="s">
        <v>12</v>
      </c>
      <c r="H811" s="4" t="s">
        <v>124</v>
      </c>
      <c r="I811" s="4" t="s">
        <v>13</v>
      </c>
      <c r="J811" s="4" t="s">
        <v>153</v>
      </c>
      <c r="K811" s="4">
        <v>2</v>
      </c>
      <c r="L811" s="5">
        <v>263.36</v>
      </c>
      <c r="M811" s="5">
        <v>526.72</v>
      </c>
      <c r="N811" s="5">
        <v>320.97000000000003</v>
      </c>
      <c r="O811" s="5">
        <v>205.75</v>
      </c>
      <c r="P811" s="4">
        <f>--AND(OR(Dashboard!$A$10="All",C811=Dashboard!$A$10),OR(Dashboard!$A$14="All",F811=Dashboard!$A$14),OR(Dashboard!$A$18="All",G811=Dashboard!$A$18),OR(Dashboard!$A$22="All",I811=Dashboard!$A$22))</f>
        <v>1</v>
      </c>
    </row>
    <row r="812" spans="1:16" ht="15.75" customHeight="1">
      <c r="A812" s="4" t="s">
        <v>1018</v>
      </c>
      <c r="B812" s="6">
        <v>45402</v>
      </c>
      <c r="C812" s="4">
        <v>2024</v>
      </c>
      <c r="D812" s="4">
        <v>4</v>
      </c>
      <c r="E812" s="4" t="s">
        <v>106</v>
      </c>
      <c r="F812" s="4" t="s">
        <v>11</v>
      </c>
      <c r="G812" s="4" t="s">
        <v>12</v>
      </c>
      <c r="H812" s="4" t="s">
        <v>86</v>
      </c>
      <c r="I812" s="4" t="s">
        <v>10</v>
      </c>
      <c r="J812" s="4" t="s">
        <v>121</v>
      </c>
      <c r="K812" s="4">
        <v>5</v>
      </c>
      <c r="L812" s="5">
        <v>184.6</v>
      </c>
      <c r="M812" s="5">
        <v>923</v>
      </c>
      <c r="N812" s="5">
        <v>553.73</v>
      </c>
      <c r="O812" s="5">
        <v>369.27</v>
      </c>
      <c r="P812" s="4">
        <f>--AND(OR(Dashboard!$A$10="All",C812=Dashboard!$A$10),OR(Dashboard!$A$14="All",F812=Dashboard!$A$14),OR(Dashboard!$A$18="All",G812=Dashboard!$A$18),OR(Dashboard!$A$22="All",I812=Dashboard!$A$22))</f>
        <v>1</v>
      </c>
    </row>
    <row r="813" spans="1:16" ht="15.75" customHeight="1">
      <c r="A813" s="4" t="s">
        <v>1019</v>
      </c>
      <c r="B813" s="6">
        <v>45408</v>
      </c>
      <c r="C813" s="4">
        <v>2024</v>
      </c>
      <c r="D813" s="4">
        <v>4</v>
      </c>
      <c r="E813" s="4" t="s">
        <v>106</v>
      </c>
      <c r="F813" s="4" t="s">
        <v>5</v>
      </c>
      <c r="G813" s="4" t="s">
        <v>9</v>
      </c>
      <c r="H813" s="4" t="s">
        <v>142</v>
      </c>
      <c r="I813" s="4" t="s">
        <v>7</v>
      </c>
      <c r="J813" s="4" t="s">
        <v>402</v>
      </c>
      <c r="K813" s="4">
        <v>5</v>
      </c>
      <c r="L813" s="5">
        <v>38.880000000000003</v>
      </c>
      <c r="M813" s="5">
        <v>194.4</v>
      </c>
      <c r="N813" s="5">
        <v>102.01</v>
      </c>
      <c r="O813" s="5">
        <v>92.39</v>
      </c>
      <c r="P813" s="4">
        <f>--AND(OR(Dashboard!$A$10="All",C813=Dashboard!$A$10),OR(Dashboard!$A$14="All",F813=Dashboard!$A$14),OR(Dashboard!$A$18="All",G813=Dashboard!$A$18),OR(Dashboard!$A$22="All",I813=Dashboard!$A$22))</f>
        <v>1</v>
      </c>
    </row>
    <row r="814" spans="1:16" ht="15.75" customHeight="1">
      <c r="A814" s="4" t="s">
        <v>1020</v>
      </c>
      <c r="B814" s="6">
        <v>45657</v>
      </c>
      <c r="C814" s="4">
        <v>2024</v>
      </c>
      <c r="D814" s="4">
        <v>12</v>
      </c>
      <c r="E814" s="4" t="s">
        <v>57</v>
      </c>
      <c r="F814" s="4" t="s">
        <v>5</v>
      </c>
      <c r="G814" s="4" t="s">
        <v>12</v>
      </c>
      <c r="H814" s="4" t="s">
        <v>127</v>
      </c>
      <c r="I814" s="4" t="s">
        <v>7</v>
      </c>
      <c r="J814" s="4" t="s">
        <v>407</v>
      </c>
      <c r="K814" s="4">
        <v>1</v>
      </c>
      <c r="L814" s="5">
        <v>127.02</v>
      </c>
      <c r="M814" s="5">
        <v>127.02</v>
      </c>
      <c r="N814" s="5">
        <v>73.95</v>
      </c>
      <c r="O814" s="5">
        <v>53.07</v>
      </c>
      <c r="P814" s="4">
        <f>--AND(OR(Dashboard!$A$10="All",C814=Dashboard!$A$10),OR(Dashboard!$A$14="All",F814=Dashboard!$A$14),OR(Dashboard!$A$18="All",G814=Dashboard!$A$18),OR(Dashboard!$A$22="All",I814=Dashboard!$A$22))</f>
        <v>1</v>
      </c>
    </row>
    <row r="815" spans="1:16" ht="15.75" customHeight="1">
      <c r="A815" s="4" t="s">
        <v>1021</v>
      </c>
      <c r="B815" s="6">
        <v>45368</v>
      </c>
      <c r="C815" s="4">
        <v>2024</v>
      </c>
      <c r="D815" s="4">
        <v>3</v>
      </c>
      <c r="E815" s="4" t="s">
        <v>100</v>
      </c>
      <c r="F815" s="4" t="s">
        <v>5</v>
      </c>
      <c r="G815" s="4" t="s">
        <v>6</v>
      </c>
      <c r="H815" s="4" t="s">
        <v>114</v>
      </c>
      <c r="I815" s="4" t="s">
        <v>10</v>
      </c>
      <c r="J815" s="4" t="s">
        <v>72</v>
      </c>
      <c r="K815" s="4">
        <v>3</v>
      </c>
      <c r="L815" s="5">
        <v>184.73</v>
      </c>
      <c r="M815" s="5">
        <v>554.19000000000005</v>
      </c>
      <c r="N815" s="5">
        <v>352.44</v>
      </c>
      <c r="O815" s="5">
        <v>201.75</v>
      </c>
      <c r="P815" s="4">
        <f>--AND(OR(Dashboard!$A$10="All",C815=Dashboard!$A$10),OR(Dashboard!$A$14="All",F815=Dashboard!$A$14),OR(Dashboard!$A$18="All",G815=Dashboard!$A$18),OR(Dashboard!$A$22="All",I815=Dashboard!$A$22))</f>
        <v>1</v>
      </c>
    </row>
    <row r="816" spans="1:16" ht="15.75" customHeight="1">
      <c r="A816" s="4" t="s">
        <v>1022</v>
      </c>
      <c r="B816" s="6">
        <v>45552</v>
      </c>
      <c r="C816" s="4">
        <v>2024</v>
      </c>
      <c r="D816" s="4">
        <v>9</v>
      </c>
      <c r="E816" s="4" t="s">
        <v>79</v>
      </c>
      <c r="F816" s="4" t="s">
        <v>11</v>
      </c>
      <c r="G816" s="4" t="s">
        <v>12</v>
      </c>
      <c r="H816" s="4" t="s">
        <v>124</v>
      </c>
      <c r="I816" s="4" t="s">
        <v>7</v>
      </c>
      <c r="J816" s="4" t="s">
        <v>104</v>
      </c>
      <c r="K816" s="4">
        <v>8</v>
      </c>
      <c r="L816" s="5">
        <v>320.64</v>
      </c>
      <c r="M816" s="5">
        <v>2565.12</v>
      </c>
      <c r="N816" s="5">
        <v>1539.85</v>
      </c>
      <c r="O816" s="5">
        <v>1025.27</v>
      </c>
      <c r="P816" s="4">
        <f>--AND(OR(Dashboard!$A$10="All",C816=Dashboard!$A$10),OR(Dashboard!$A$14="All",F816=Dashboard!$A$14),OR(Dashboard!$A$18="All",G816=Dashboard!$A$18),OR(Dashboard!$A$22="All",I816=Dashboard!$A$22))</f>
        <v>1</v>
      </c>
    </row>
    <row r="817" spans="1:16" ht="15.75" customHeight="1">
      <c r="A817" s="4" t="s">
        <v>1023</v>
      </c>
      <c r="B817" s="6">
        <v>45631</v>
      </c>
      <c r="C817" s="4">
        <v>2024</v>
      </c>
      <c r="D817" s="4">
        <v>12</v>
      </c>
      <c r="E817" s="4" t="s">
        <v>57</v>
      </c>
      <c r="F817" s="4" t="s">
        <v>5</v>
      </c>
      <c r="G817" s="4" t="s">
        <v>9</v>
      </c>
      <c r="H817" s="4" t="s">
        <v>71</v>
      </c>
      <c r="I817" s="4" t="s">
        <v>7</v>
      </c>
      <c r="J817" s="4" t="s">
        <v>55</v>
      </c>
      <c r="K817" s="4">
        <v>5</v>
      </c>
      <c r="L817" s="5">
        <v>29.89</v>
      </c>
      <c r="M817" s="5">
        <v>149.44999999999999</v>
      </c>
      <c r="N817" s="5">
        <v>75.34</v>
      </c>
      <c r="O817" s="5">
        <v>74.11</v>
      </c>
      <c r="P817" s="4">
        <f>--AND(OR(Dashboard!$A$10="All",C817=Dashboard!$A$10),OR(Dashboard!$A$14="All",F817=Dashboard!$A$14),OR(Dashboard!$A$18="All",G817=Dashboard!$A$18),OR(Dashboard!$A$22="All",I817=Dashboard!$A$22))</f>
        <v>1</v>
      </c>
    </row>
    <row r="818" spans="1:16" ht="15.75" customHeight="1">
      <c r="A818" s="4" t="s">
        <v>1024</v>
      </c>
      <c r="B818" s="6">
        <v>45678</v>
      </c>
      <c r="C818" s="4">
        <v>2025</v>
      </c>
      <c r="D818" s="4">
        <v>1</v>
      </c>
      <c r="E818" s="4" t="s">
        <v>30</v>
      </c>
      <c r="F818" s="4" t="s">
        <v>5</v>
      </c>
      <c r="G818" s="4" t="s">
        <v>9</v>
      </c>
      <c r="H818" s="4" t="s">
        <v>71</v>
      </c>
      <c r="I818" s="4" t="s">
        <v>10</v>
      </c>
      <c r="J818" s="4" t="s">
        <v>301</v>
      </c>
      <c r="K818" s="4">
        <v>5</v>
      </c>
      <c r="L818" s="5">
        <v>42.53</v>
      </c>
      <c r="M818" s="5">
        <v>212.65</v>
      </c>
      <c r="N818" s="5">
        <v>103.37</v>
      </c>
      <c r="O818" s="5">
        <v>109.28</v>
      </c>
      <c r="P818" s="4">
        <f>--AND(OR(Dashboard!$A$10="All",C818=Dashboard!$A$10),OR(Dashboard!$A$14="All",F818=Dashboard!$A$14),OR(Dashboard!$A$18="All",G818=Dashboard!$A$18),OR(Dashboard!$A$22="All",I818=Dashboard!$A$22))</f>
        <v>1</v>
      </c>
    </row>
    <row r="819" spans="1:16" ht="15.75" customHeight="1">
      <c r="A819" s="4" t="s">
        <v>1025</v>
      </c>
      <c r="B819" s="6">
        <v>46002</v>
      </c>
      <c r="C819" s="4">
        <v>2025</v>
      </c>
      <c r="D819" s="4">
        <v>12</v>
      </c>
      <c r="E819" s="4" t="s">
        <v>57</v>
      </c>
      <c r="F819" s="4" t="s">
        <v>8</v>
      </c>
      <c r="G819" s="4" t="s">
        <v>12</v>
      </c>
      <c r="H819" s="4" t="s">
        <v>86</v>
      </c>
      <c r="I819" s="4" t="s">
        <v>7</v>
      </c>
      <c r="J819" s="4" t="s">
        <v>276</v>
      </c>
      <c r="K819" s="4">
        <v>5</v>
      </c>
      <c r="L819" s="5">
        <v>139.63</v>
      </c>
      <c r="M819" s="5">
        <v>698.15</v>
      </c>
      <c r="N819" s="5">
        <v>400.11</v>
      </c>
      <c r="O819" s="5">
        <v>298.04000000000002</v>
      </c>
      <c r="P819" s="4">
        <f>--AND(OR(Dashboard!$A$10="All",C819=Dashboard!$A$10),OR(Dashboard!$A$14="All",F819=Dashboard!$A$14),OR(Dashboard!$A$18="All",G819=Dashboard!$A$18),OR(Dashboard!$A$22="All",I819=Dashboard!$A$22))</f>
        <v>1</v>
      </c>
    </row>
    <row r="820" spans="1:16" ht="15.75" customHeight="1">
      <c r="A820" s="4" t="s">
        <v>1026</v>
      </c>
      <c r="B820" s="6">
        <v>45357</v>
      </c>
      <c r="C820" s="4">
        <v>2024</v>
      </c>
      <c r="D820" s="4">
        <v>3</v>
      </c>
      <c r="E820" s="4" t="s">
        <v>100</v>
      </c>
      <c r="F820" s="4" t="s">
        <v>5</v>
      </c>
      <c r="G820" s="4" t="s">
        <v>12</v>
      </c>
      <c r="H820" s="4" t="s">
        <v>92</v>
      </c>
      <c r="I820" s="4" t="s">
        <v>10</v>
      </c>
      <c r="J820" s="4" t="s">
        <v>346</v>
      </c>
      <c r="K820" s="4">
        <v>7</v>
      </c>
      <c r="L820" s="5">
        <v>281.32</v>
      </c>
      <c r="M820" s="5">
        <v>1969.24</v>
      </c>
      <c r="N820" s="5">
        <v>1187.3800000000001</v>
      </c>
      <c r="O820" s="5">
        <v>781.86</v>
      </c>
      <c r="P820" s="4">
        <f>--AND(OR(Dashboard!$A$10="All",C820=Dashboard!$A$10),OR(Dashboard!$A$14="All",F820=Dashboard!$A$14),OR(Dashboard!$A$18="All",G820=Dashboard!$A$18),OR(Dashboard!$A$22="All",I820=Dashboard!$A$22))</f>
        <v>1</v>
      </c>
    </row>
    <row r="821" spans="1:16" ht="15.75" customHeight="1">
      <c r="A821" s="4" t="s">
        <v>1027</v>
      </c>
      <c r="B821" s="6">
        <v>45639</v>
      </c>
      <c r="C821" s="4">
        <v>2024</v>
      </c>
      <c r="D821" s="4">
        <v>12</v>
      </c>
      <c r="E821" s="4" t="s">
        <v>57</v>
      </c>
      <c r="F821" s="4" t="s">
        <v>14</v>
      </c>
      <c r="G821" s="4" t="s">
        <v>9</v>
      </c>
      <c r="H821" s="4" t="s">
        <v>35</v>
      </c>
      <c r="I821" s="4" t="s">
        <v>7</v>
      </c>
      <c r="J821" s="4" t="s">
        <v>285</v>
      </c>
      <c r="K821" s="4">
        <v>1</v>
      </c>
      <c r="L821" s="5">
        <v>24.21</v>
      </c>
      <c r="M821" s="5">
        <v>24.21</v>
      </c>
      <c r="N821" s="5">
        <v>12.69</v>
      </c>
      <c r="O821" s="5">
        <v>11.52</v>
      </c>
      <c r="P821" s="4">
        <f>--AND(OR(Dashboard!$A$10="All",C821=Dashboard!$A$10),OR(Dashboard!$A$14="All",F821=Dashboard!$A$14),OR(Dashboard!$A$18="All",G821=Dashboard!$A$18),OR(Dashboard!$A$22="All",I821=Dashboard!$A$22))</f>
        <v>1</v>
      </c>
    </row>
    <row r="822" spans="1:16" ht="15.75" customHeight="1">
      <c r="A822" s="4" t="s">
        <v>1028</v>
      </c>
      <c r="B822" s="6">
        <v>45573</v>
      </c>
      <c r="C822" s="4">
        <v>2024</v>
      </c>
      <c r="D822" s="4">
        <v>10</v>
      </c>
      <c r="E822" s="4" t="s">
        <v>120</v>
      </c>
      <c r="F822" s="4" t="s">
        <v>14</v>
      </c>
      <c r="G822" s="4" t="s">
        <v>12</v>
      </c>
      <c r="H822" s="4" t="s">
        <v>127</v>
      </c>
      <c r="I822" s="4" t="s">
        <v>7</v>
      </c>
      <c r="J822" s="4" t="s">
        <v>344</v>
      </c>
      <c r="K822" s="4">
        <v>5</v>
      </c>
      <c r="L822" s="5">
        <v>246.34</v>
      </c>
      <c r="M822" s="5">
        <v>1231.7</v>
      </c>
      <c r="N822" s="5">
        <v>768.21</v>
      </c>
      <c r="O822" s="5">
        <v>463.49</v>
      </c>
      <c r="P822" s="4">
        <f>--AND(OR(Dashboard!$A$10="All",C822=Dashboard!$A$10),OR(Dashboard!$A$14="All",F822=Dashboard!$A$14),OR(Dashboard!$A$18="All",G822=Dashboard!$A$18),OR(Dashboard!$A$22="All",I822=Dashboard!$A$22))</f>
        <v>1</v>
      </c>
    </row>
    <row r="823" spans="1:16" ht="15.75" customHeight="1">
      <c r="A823" s="4" t="s">
        <v>1029</v>
      </c>
      <c r="B823" s="6">
        <v>45623</v>
      </c>
      <c r="C823" s="4">
        <v>2024</v>
      </c>
      <c r="D823" s="4">
        <v>11</v>
      </c>
      <c r="E823" s="4" t="s">
        <v>89</v>
      </c>
      <c r="F823" s="4" t="s">
        <v>5</v>
      </c>
      <c r="G823" s="4" t="s">
        <v>6</v>
      </c>
      <c r="H823" s="4" t="s">
        <v>80</v>
      </c>
      <c r="I823" s="4" t="s">
        <v>13</v>
      </c>
      <c r="J823" s="4" t="s">
        <v>261</v>
      </c>
      <c r="K823" s="4">
        <v>2</v>
      </c>
      <c r="L823" s="5">
        <v>221.45</v>
      </c>
      <c r="M823" s="5">
        <v>442.9</v>
      </c>
      <c r="N823" s="5">
        <v>297.70999999999998</v>
      </c>
      <c r="O823" s="5">
        <v>145.19</v>
      </c>
      <c r="P823" s="4">
        <f>--AND(OR(Dashboard!$A$10="All",C823=Dashboard!$A$10),OR(Dashboard!$A$14="All",F823=Dashboard!$A$14),OR(Dashboard!$A$18="All",G823=Dashboard!$A$18),OR(Dashboard!$A$22="All",I823=Dashboard!$A$22))</f>
        <v>1</v>
      </c>
    </row>
    <row r="824" spans="1:16" ht="15.75" customHeight="1">
      <c r="A824" s="4" t="s">
        <v>1030</v>
      </c>
      <c r="B824" s="6">
        <v>45492</v>
      </c>
      <c r="C824" s="4">
        <v>2024</v>
      </c>
      <c r="D824" s="4">
        <v>7</v>
      </c>
      <c r="E824" s="4" t="s">
        <v>63</v>
      </c>
      <c r="F824" s="4" t="s">
        <v>5</v>
      </c>
      <c r="G824" s="4" t="s">
        <v>6</v>
      </c>
      <c r="H824" s="4" t="s">
        <v>54</v>
      </c>
      <c r="I824" s="4" t="s">
        <v>7</v>
      </c>
      <c r="J824" s="4" t="s">
        <v>226</v>
      </c>
      <c r="K824" s="4">
        <v>1</v>
      </c>
      <c r="L824" s="5">
        <v>131.47999999999999</v>
      </c>
      <c r="M824" s="5">
        <v>131.47999999999999</v>
      </c>
      <c r="N824" s="5">
        <v>89.88</v>
      </c>
      <c r="O824" s="5">
        <v>41.6</v>
      </c>
      <c r="P824" s="4">
        <f>--AND(OR(Dashboard!$A$10="All",C824=Dashboard!$A$10),OR(Dashboard!$A$14="All",F824=Dashboard!$A$14),OR(Dashboard!$A$18="All",G824=Dashboard!$A$18),OR(Dashboard!$A$22="All",I824=Dashboard!$A$22))</f>
        <v>1</v>
      </c>
    </row>
    <row r="825" spans="1:16" ht="15.75" customHeight="1">
      <c r="A825" s="4" t="s">
        <v>1031</v>
      </c>
      <c r="B825" s="6">
        <v>45963</v>
      </c>
      <c r="C825" s="4">
        <v>2025</v>
      </c>
      <c r="D825" s="4">
        <v>11</v>
      </c>
      <c r="E825" s="4" t="s">
        <v>89</v>
      </c>
      <c r="F825" s="4" t="s">
        <v>5</v>
      </c>
      <c r="G825" s="4" t="s">
        <v>9</v>
      </c>
      <c r="H825" s="4" t="s">
        <v>142</v>
      </c>
      <c r="I825" s="4" t="s">
        <v>7</v>
      </c>
      <c r="J825" s="4" t="s">
        <v>59</v>
      </c>
      <c r="K825" s="4">
        <v>1</v>
      </c>
      <c r="L825" s="5">
        <v>34.950000000000003</v>
      </c>
      <c r="M825" s="5">
        <v>34.950000000000003</v>
      </c>
      <c r="N825" s="5">
        <v>16.68</v>
      </c>
      <c r="O825" s="5">
        <v>18.27</v>
      </c>
      <c r="P825" s="4">
        <f>--AND(OR(Dashboard!$A$10="All",C825=Dashboard!$A$10),OR(Dashboard!$A$14="All",F825=Dashboard!$A$14),OR(Dashboard!$A$18="All",G825=Dashboard!$A$18),OR(Dashboard!$A$22="All",I825=Dashboard!$A$22))</f>
        <v>1</v>
      </c>
    </row>
    <row r="826" spans="1:16" ht="15.75" customHeight="1">
      <c r="A826" s="4" t="s">
        <v>1032</v>
      </c>
      <c r="B826" s="6">
        <v>45862</v>
      </c>
      <c r="C826" s="4">
        <v>2025</v>
      </c>
      <c r="D826" s="4">
        <v>7</v>
      </c>
      <c r="E826" s="4" t="s">
        <v>63</v>
      </c>
      <c r="F826" s="4" t="s">
        <v>11</v>
      </c>
      <c r="G826" s="4" t="s">
        <v>6</v>
      </c>
      <c r="H826" s="4" t="s">
        <v>136</v>
      </c>
      <c r="I826" s="4" t="s">
        <v>7</v>
      </c>
      <c r="J826" s="4" t="s">
        <v>255</v>
      </c>
      <c r="K826" s="4">
        <v>1</v>
      </c>
      <c r="L826" s="5">
        <v>197.89</v>
      </c>
      <c r="M826" s="5">
        <v>197.89</v>
      </c>
      <c r="N826" s="5">
        <v>135.47999999999999</v>
      </c>
      <c r="O826" s="5">
        <v>62.41</v>
      </c>
      <c r="P826" s="4">
        <f>--AND(OR(Dashboard!$A$10="All",C826=Dashboard!$A$10),OR(Dashboard!$A$14="All",F826=Dashboard!$A$14),OR(Dashboard!$A$18="All",G826=Dashboard!$A$18),OR(Dashboard!$A$22="All",I826=Dashboard!$A$22))</f>
        <v>1</v>
      </c>
    </row>
    <row r="827" spans="1:16" ht="15.75" customHeight="1">
      <c r="A827" s="4" t="s">
        <v>1033</v>
      </c>
      <c r="B827" s="6">
        <v>45464</v>
      </c>
      <c r="C827" s="4">
        <v>2024</v>
      </c>
      <c r="D827" s="4">
        <v>6</v>
      </c>
      <c r="E827" s="4" t="s">
        <v>34</v>
      </c>
      <c r="F827" s="4" t="s">
        <v>5</v>
      </c>
      <c r="G827" s="4" t="s">
        <v>9</v>
      </c>
      <c r="H827" s="4" t="s">
        <v>64</v>
      </c>
      <c r="I827" s="4" t="s">
        <v>7</v>
      </c>
      <c r="J827" s="4" t="s">
        <v>263</v>
      </c>
      <c r="K827" s="4">
        <v>4</v>
      </c>
      <c r="L827" s="5">
        <v>64.760000000000005</v>
      </c>
      <c r="M827" s="5">
        <v>259.04000000000002</v>
      </c>
      <c r="N827" s="5">
        <v>134.4</v>
      </c>
      <c r="O827" s="5">
        <v>124.64</v>
      </c>
      <c r="P827" s="4">
        <f>--AND(OR(Dashboard!$A$10="All",C827=Dashboard!$A$10),OR(Dashboard!$A$14="All",F827=Dashboard!$A$14),OR(Dashboard!$A$18="All",G827=Dashboard!$A$18),OR(Dashboard!$A$22="All",I827=Dashboard!$A$22))</f>
        <v>1</v>
      </c>
    </row>
    <row r="828" spans="1:16" ht="15.75" customHeight="1">
      <c r="A828" s="4" t="s">
        <v>1034</v>
      </c>
      <c r="B828" s="6">
        <v>45574</v>
      </c>
      <c r="C828" s="4">
        <v>2024</v>
      </c>
      <c r="D828" s="4">
        <v>10</v>
      </c>
      <c r="E828" s="4" t="s">
        <v>120</v>
      </c>
      <c r="F828" s="4" t="s">
        <v>5</v>
      </c>
      <c r="G828" s="4" t="s">
        <v>9</v>
      </c>
      <c r="H828" s="4" t="s">
        <v>35</v>
      </c>
      <c r="I828" s="4" t="s">
        <v>7</v>
      </c>
      <c r="J828" s="4" t="s">
        <v>280</v>
      </c>
      <c r="K828" s="4">
        <v>3</v>
      </c>
      <c r="L828" s="5">
        <v>46.24</v>
      </c>
      <c r="M828" s="5">
        <v>138.72</v>
      </c>
      <c r="N828" s="5">
        <v>71.290000000000006</v>
      </c>
      <c r="O828" s="5">
        <v>67.430000000000007</v>
      </c>
      <c r="P828" s="4">
        <f>--AND(OR(Dashboard!$A$10="All",C828=Dashboard!$A$10),OR(Dashboard!$A$14="All",F828=Dashboard!$A$14),OR(Dashboard!$A$18="All",G828=Dashboard!$A$18),OR(Dashboard!$A$22="All",I828=Dashboard!$A$22))</f>
        <v>1</v>
      </c>
    </row>
    <row r="829" spans="1:16" ht="15.75" customHeight="1">
      <c r="A829" s="4" t="s">
        <v>1035</v>
      </c>
      <c r="B829" s="6">
        <v>45883</v>
      </c>
      <c r="C829" s="4">
        <v>2025</v>
      </c>
      <c r="D829" s="4">
        <v>8</v>
      </c>
      <c r="E829" s="4" t="s">
        <v>67</v>
      </c>
      <c r="F829" s="4" t="s">
        <v>5</v>
      </c>
      <c r="G829" s="4" t="s">
        <v>9</v>
      </c>
      <c r="H829" s="4" t="s">
        <v>35</v>
      </c>
      <c r="I829" s="4" t="s">
        <v>10</v>
      </c>
      <c r="J829" s="4" t="s">
        <v>494</v>
      </c>
      <c r="K829" s="4">
        <v>1</v>
      </c>
      <c r="L829" s="5">
        <v>38.18</v>
      </c>
      <c r="M829" s="5">
        <v>38.18</v>
      </c>
      <c r="N829" s="5">
        <v>19.75</v>
      </c>
      <c r="O829" s="5">
        <v>18.43</v>
      </c>
      <c r="P829" s="4">
        <f>--AND(OR(Dashboard!$A$10="All",C829=Dashboard!$A$10),OR(Dashboard!$A$14="All",F829=Dashboard!$A$14),OR(Dashboard!$A$18="All",G829=Dashboard!$A$18),OR(Dashboard!$A$22="All",I829=Dashboard!$A$22))</f>
        <v>1</v>
      </c>
    </row>
    <row r="830" spans="1:16" ht="15.75" customHeight="1">
      <c r="A830" s="4" t="s">
        <v>1036</v>
      </c>
      <c r="B830" s="6">
        <v>45765</v>
      </c>
      <c r="C830" s="4">
        <v>2025</v>
      </c>
      <c r="D830" s="4">
        <v>4</v>
      </c>
      <c r="E830" s="4" t="s">
        <v>106</v>
      </c>
      <c r="F830" s="4" t="s">
        <v>5</v>
      </c>
      <c r="G830" s="4" t="s">
        <v>6</v>
      </c>
      <c r="H830" s="4" t="s">
        <v>54</v>
      </c>
      <c r="I830" s="4" t="s">
        <v>10</v>
      </c>
      <c r="J830" s="4" t="s">
        <v>417</v>
      </c>
      <c r="K830" s="4">
        <v>1</v>
      </c>
      <c r="L830" s="5">
        <v>103.23</v>
      </c>
      <c r="M830" s="5">
        <v>103.23</v>
      </c>
      <c r="N830" s="5">
        <v>69.59</v>
      </c>
      <c r="O830" s="5">
        <v>33.64</v>
      </c>
      <c r="P830" s="4">
        <f>--AND(OR(Dashboard!$A$10="All",C830=Dashboard!$A$10),OR(Dashboard!$A$14="All",F830=Dashboard!$A$14),OR(Dashboard!$A$18="All",G830=Dashboard!$A$18),OR(Dashboard!$A$22="All",I830=Dashboard!$A$22))</f>
        <v>1</v>
      </c>
    </row>
    <row r="831" spans="1:16" ht="15.75" customHeight="1">
      <c r="A831" s="4" t="s">
        <v>1037</v>
      </c>
      <c r="B831" s="6">
        <v>45370</v>
      </c>
      <c r="C831" s="4">
        <v>2024</v>
      </c>
      <c r="D831" s="4">
        <v>3</v>
      </c>
      <c r="E831" s="4" t="s">
        <v>100</v>
      </c>
      <c r="F831" s="4" t="s">
        <v>14</v>
      </c>
      <c r="G831" s="4" t="s">
        <v>6</v>
      </c>
      <c r="H831" s="4" t="s">
        <v>80</v>
      </c>
      <c r="I831" s="4" t="s">
        <v>10</v>
      </c>
      <c r="J831" s="4" t="s">
        <v>193</v>
      </c>
      <c r="K831" s="4">
        <v>1</v>
      </c>
      <c r="L831" s="5">
        <v>202.15</v>
      </c>
      <c r="M831" s="5">
        <v>202.15</v>
      </c>
      <c r="N831" s="5">
        <v>139.16</v>
      </c>
      <c r="O831" s="5">
        <v>62.99</v>
      </c>
      <c r="P831" s="4">
        <f>--AND(OR(Dashboard!$A$10="All",C831=Dashboard!$A$10),OR(Dashboard!$A$14="All",F831=Dashboard!$A$14),OR(Dashboard!$A$18="All",G831=Dashboard!$A$18),OR(Dashboard!$A$22="All",I831=Dashboard!$A$22))</f>
        <v>1</v>
      </c>
    </row>
    <row r="832" spans="1:16" ht="15.75" customHeight="1">
      <c r="A832" s="4" t="s">
        <v>1038</v>
      </c>
      <c r="B832" s="6">
        <v>45814</v>
      </c>
      <c r="C832" s="4">
        <v>2025</v>
      </c>
      <c r="D832" s="4">
        <v>6</v>
      </c>
      <c r="E832" s="4" t="s">
        <v>34</v>
      </c>
      <c r="F832" s="4" t="s">
        <v>5</v>
      </c>
      <c r="G832" s="4" t="s">
        <v>6</v>
      </c>
      <c r="H832" s="4" t="s">
        <v>80</v>
      </c>
      <c r="I832" s="4" t="s">
        <v>7</v>
      </c>
      <c r="J832" s="4" t="s">
        <v>494</v>
      </c>
      <c r="K832" s="4">
        <v>2</v>
      </c>
      <c r="L832" s="5">
        <v>105.73</v>
      </c>
      <c r="M832" s="5">
        <v>211.46</v>
      </c>
      <c r="N832" s="5">
        <v>134.28</v>
      </c>
      <c r="O832" s="5">
        <v>77.180000000000007</v>
      </c>
      <c r="P832" s="4">
        <f>--AND(OR(Dashboard!$A$10="All",C832=Dashboard!$A$10),OR(Dashboard!$A$14="All",F832=Dashboard!$A$14),OR(Dashboard!$A$18="All",G832=Dashboard!$A$18),OR(Dashboard!$A$22="All",I832=Dashboard!$A$22))</f>
        <v>1</v>
      </c>
    </row>
    <row r="833" spans="1:16" ht="15.75" customHeight="1">
      <c r="A833" s="4" t="s">
        <v>1039</v>
      </c>
      <c r="B833" s="6">
        <v>45327</v>
      </c>
      <c r="C833" s="4">
        <v>2024</v>
      </c>
      <c r="D833" s="4">
        <v>2</v>
      </c>
      <c r="E833" s="4" t="s">
        <v>70</v>
      </c>
      <c r="F833" s="4" t="s">
        <v>8</v>
      </c>
      <c r="G833" s="4" t="s">
        <v>9</v>
      </c>
      <c r="H833" s="4" t="s">
        <v>35</v>
      </c>
      <c r="I833" s="4" t="s">
        <v>7</v>
      </c>
      <c r="J833" s="4" t="s">
        <v>326</v>
      </c>
      <c r="K833" s="4">
        <v>4</v>
      </c>
      <c r="L833" s="5">
        <v>61.48</v>
      </c>
      <c r="M833" s="5">
        <v>245.92</v>
      </c>
      <c r="N833" s="5">
        <v>122.3</v>
      </c>
      <c r="O833" s="5">
        <v>123.62</v>
      </c>
      <c r="P833" s="4">
        <f>--AND(OR(Dashboard!$A$10="All",C833=Dashboard!$A$10),OR(Dashboard!$A$14="All",F833=Dashboard!$A$14),OR(Dashboard!$A$18="All",G833=Dashboard!$A$18),OR(Dashboard!$A$22="All",I833=Dashboard!$A$22))</f>
        <v>1</v>
      </c>
    </row>
    <row r="834" spans="1:16" ht="15.75" customHeight="1">
      <c r="A834" s="4" t="s">
        <v>1040</v>
      </c>
      <c r="B834" s="6">
        <v>45887</v>
      </c>
      <c r="C834" s="4">
        <v>2025</v>
      </c>
      <c r="D834" s="4">
        <v>8</v>
      </c>
      <c r="E834" s="4" t="s">
        <v>67</v>
      </c>
      <c r="F834" s="4" t="s">
        <v>14</v>
      </c>
      <c r="G834" s="4" t="s">
        <v>6</v>
      </c>
      <c r="H834" s="4" t="s">
        <v>98</v>
      </c>
      <c r="I834" s="4" t="s">
        <v>7</v>
      </c>
      <c r="J834" s="4" t="s">
        <v>381</v>
      </c>
      <c r="K834" s="4">
        <v>6</v>
      </c>
      <c r="L834" s="5">
        <v>198.97</v>
      </c>
      <c r="M834" s="5">
        <v>1193.82</v>
      </c>
      <c r="N834" s="5">
        <v>771.57</v>
      </c>
      <c r="O834" s="5">
        <v>422.25</v>
      </c>
      <c r="P834" s="4">
        <f>--AND(OR(Dashboard!$A$10="All",C834=Dashboard!$A$10),OR(Dashboard!$A$14="All",F834=Dashboard!$A$14),OR(Dashboard!$A$18="All",G834=Dashboard!$A$18),OR(Dashboard!$A$22="All",I834=Dashboard!$A$22))</f>
        <v>1</v>
      </c>
    </row>
    <row r="835" spans="1:16" ht="15.75" customHeight="1">
      <c r="A835" s="4" t="s">
        <v>1041</v>
      </c>
      <c r="B835" s="6">
        <v>45816</v>
      </c>
      <c r="C835" s="4">
        <v>2025</v>
      </c>
      <c r="D835" s="4">
        <v>6</v>
      </c>
      <c r="E835" s="4" t="s">
        <v>34</v>
      </c>
      <c r="F835" s="4" t="s">
        <v>5</v>
      </c>
      <c r="G835" s="4" t="s">
        <v>12</v>
      </c>
      <c r="H835" s="4" t="s">
        <v>86</v>
      </c>
      <c r="I835" s="4" t="s">
        <v>7</v>
      </c>
      <c r="J835" s="4" t="s">
        <v>61</v>
      </c>
      <c r="K835" s="4">
        <v>2</v>
      </c>
      <c r="L835" s="5">
        <v>116.71</v>
      </c>
      <c r="M835" s="5">
        <v>233.42</v>
      </c>
      <c r="N835" s="5">
        <v>135.66999999999999</v>
      </c>
      <c r="O835" s="5">
        <v>97.75</v>
      </c>
      <c r="P835" s="4">
        <f>--AND(OR(Dashboard!$A$10="All",C835=Dashboard!$A$10),OR(Dashboard!$A$14="All",F835=Dashboard!$A$14),OR(Dashboard!$A$18="All",G835=Dashboard!$A$18),OR(Dashboard!$A$22="All",I835=Dashboard!$A$22))</f>
        <v>1</v>
      </c>
    </row>
    <row r="836" spans="1:16" ht="15.75" customHeight="1">
      <c r="A836" s="4" t="s">
        <v>1042</v>
      </c>
      <c r="B836" s="6">
        <v>45704</v>
      </c>
      <c r="C836" s="4">
        <v>2025</v>
      </c>
      <c r="D836" s="4">
        <v>2</v>
      </c>
      <c r="E836" s="4" t="s">
        <v>70</v>
      </c>
      <c r="F836" s="4" t="s">
        <v>14</v>
      </c>
      <c r="G836" s="4" t="s">
        <v>9</v>
      </c>
      <c r="H836" s="4" t="s">
        <v>110</v>
      </c>
      <c r="I836" s="4" t="s">
        <v>7</v>
      </c>
      <c r="J836" s="4" t="s">
        <v>177</v>
      </c>
      <c r="K836" s="4">
        <v>4</v>
      </c>
      <c r="L836" s="5">
        <v>29.44</v>
      </c>
      <c r="M836" s="5">
        <v>117.76</v>
      </c>
      <c r="N836" s="5">
        <v>60.66</v>
      </c>
      <c r="O836" s="5">
        <v>57.1</v>
      </c>
      <c r="P836" s="4">
        <f>--AND(OR(Dashboard!$A$10="All",C836=Dashboard!$A$10),OR(Dashboard!$A$14="All",F836=Dashboard!$A$14),OR(Dashboard!$A$18="All",G836=Dashboard!$A$18),OR(Dashboard!$A$22="All",I836=Dashboard!$A$22))</f>
        <v>1</v>
      </c>
    </row>
    <row r="837" spans="1:16" ht="15.75" customHeight="1">
      <c r="A837" s="4" t="s">
        <v>1043</v>
      </c>
      <c r="B837" s="6">
        <v>45421</v>
      </c>
      <c r="C837" s="4">
        <v>2024</v>
      </c>
      <c r="D837" s="4">
        <v>5</v>
      </c>
      <c r="E837" s="4" t="s">
        <v>108</v>
      </c>
      <c r="F837" s="4" t="s">
        <v>5</v>
      </c>
      <c r="G837" s="4" t="s">
        <v>12</v>
      </c>
      <c r="H837" s="4" t="s">
        <v>58</v>
      </c>
      <c r="I837" s="4" t="s">
        <v>7</v>
      </c>
      <c r="J837" s="4" t="s">
        <v>268</v>
      </c>
      <c r="K837" s="4">
        <v>6</v>
      </c>
      <c r="L837" s="5">
        <v>299.98</v>
      </c>
      <c r="M837" s="5">
        <v>1799.88</v>
      </c>
      <c r="N837" s="5">
        <v>1062.82</v>
      </c>
      <c r="O837" s="5">
        <v>737.06</v>
      </c>
      <c r="P837" s="4">
        <f>--AND(OR(Dashboard!$A$10="All",C837=Dashboard!$A$10),OR(Dashboard!$A$14="All",F837=Dashboard!$A$14),OR(Dashboard!$A$18="All",G837=Dashboard!$A$18),OR(Dashboard!$A$22="All",I837=Dashboard!$A$22))</f>
        <v>1</v>
      </c>
    </row>
    <row r="838" spans="1:16" ht="15.75" customHeight="1">
      <c r="A838" s="4" t="s">
        <v>1044</v>
      </c>
      <c r="B838" s="6">
        <v>45493</v>
      </c>
      <c r="C838" s="4">
        <v>2024</v>
      </c>
      <c r="D838" s="4">
        <v>7</v>
      </c>
      <c r="E838" s="4" t="s">
        <v>63</v>
      </c>
      <c r="F838" s="4" t="s">
        <v>5</v>
      </c>
      <c r="G838" s="4" t="s">
        <v>12</v>
      </c>
      <c r="H838" s="4" t="s">
        <v>127</v>
      </c>
      <c r="I838" s="4" t="s">
        <v>7</v>
      </c>
      <c r="J838" s="4" t="s">
        <v>371</v>
      </c>
      <c r="K838" s="4">
        <v>2</v>
      </c>
      <c r="L838" s="5">
        <v>143.34</v>
      </c>
      <c r="M838" s="5">
        <v>286.68</v>
      </c>
      <c r="N838" s="5">
        <v>178.81</v>
      </c>
      <c r="O838" s="5">
        <v>107.87</v>
      </c>
      <c r="P838" s="4">
        <f>--AND(OR(Dashboard!$A$10="All",C838=Dashboard!$A$10),OR(Dashboard!$A$14="All",F838=Dashboard!$A$14),OR(Dashboard!$A$18="All",G838=Dashboard!$A$18),OR(Dashboard!$A$22="All",I838=Dashboard!$A$22))</f>
        <v>1</v>
      </c>
    </row>
    <row r="839" spans="1:16" ht="15.75" customHeight="1">
      <c r="A839" s="4" t="s">
        <v>1045</v>
      </c>
      <c r="B839" s="6">
        <v>45299</v>
      </c>
      <c r="C839" s="4">
        <v>2024</v>
      </c>
      <c r="D839" s="4">
        <v>1</v>
      </c>
      <c r="E839" s="4" t="s">
        <v>30</v>
      </c>
      <c r="F839" s="4" t="s">
        <v>11</v>
      </c>
      <c r="G839" s="4" t="s">
        <v>12</v>
      </c>
      <c r="H839" s="4" t="s">
        <v>92</v>
      </c>
      <c r="I839" s="4" t="s">
        <v>7</v>
      </c>
      <c r="J839" s="4" t="s">
        <v>532</v>
      </c>
      <c r="K839" s="4">
        <v>4</v>
      </c>
      <c r="L839" s="5">
        <v>317.44</v>
      </c>
      <c r="M839" s="5">
        <v>1269.76</v>
      </c>
      <c r="N839" s="5">
        <v>790.86</v>
      </c>
      <c r="O839" s="5">
        <v>478.9</v>
      </c>
      <c r="P839" s="4">
        <f>--AND(OR(Dashboard!$A$10="All",C839=Dashboard!$A$10),OR(Dashboard!$A$14="All",F839=Dashboard!$A$14),OR(Dashboard!$A$18="All",G839=Dashboard!$A$18),OR(Dashboard!$A$22="All",I839=Dashboard!$A$22))</f>
        <v>1</v>
      </c>
    </row>
    <row r="840" spans="1:16" ht="15.75" customHeight="1">
      <c r="A840" s="4" t="s">
        <v>1046</v>
      </c>
      <c r="B840" s="6">
        <v>45564</v>
      </c>
      <c r="C840" s="4">
        <v>2024</v>
      </c>
      <c r="D840" s="4">
        <v>9</v>
      </c>
      <c r="E840" s="4" t="s">
        <v>79</v>
      </c>
      <c r="F840" s="4" t="s">
        <v>5</v>
      </c>
      <c r="G840" s="4" t="s">
        <v>12</v>
      </c>
      <c r="H840" s="4" t="s">
        <v>86</v>
      </c>
      <c r="I840" s="4" t="s">
        <v>7</v>
      </c>
      <c r="J840" s="4" t="s">
        <v>263</v>
      </c>
      <c r="K840" s="4">
        <v>12</v>
      </c>
      <c r="L840" s="5">
        <v>270.23</v>
      </c>
      <c r="M840" s="5">
        <v>3242.76</v>
      </c>
      <c r="N840" s="5">
        <v>1981.27</v>
      </c>
      <c r="O840" s="5">
        <v>1261.49</v>
      </c>
      <c r="P840" s="4">
        <f>--AND(OR(Dashboard!$A$10="All",C840=Dashboard!$A$10),OR(Dashboard!$A$14="All",F840=Dashboard!$A$14),OR(Dashboard!$A$18="All",G840=Dashboard!$A$18),OR(Dashboard!$A$22="All",I840=Dashboard!$A$22))</f>
        <v>1</v>
      </c>
    </row>
    <row r="841" spans="1:16" ht="15.75" customHeight="1">
      <c r="A841" s="4" t="s">
        <v>1047</v>
      </c>
      <c r="B841" s="6">
        <v>45710</v>
      </c>
      <c r="C841" s="4">
        <v>2025</v>
      </c>
      <c r="D841" s="4">
        <v>2</v>
      </c>
      <c r="E841" s="4" t="s">
        <v>70</v>
      </c>
      <c r="F841" s="4" t="s">
        <v>8</v>
      </c>
      <c r="G841" s="4" t="s">
        <v>6</v>
      </c>
      <c r="H841" s="4" t="s">
        <v>98</v>
      </c>
      <c r="I841" s="4" t="s">
        <v>7</v>
      </c>
      <c r="J841" s="4" t="s">
        <v>146</v>
      </c>
      <c r="K841" s="4">
        <v>7</v>
      </c>
      <c r="L841" s="5">
        <v>180.93</v>
      </c>
      <c r="M841" s="5">
        <v>1266.51</v>
      </c>
      <c r="N841" s="5">
        <v>869.38</v>
      </c>
      <c r="O841" s="5">
        <v>397.13</v>
      </c>
      <c r="P841" s="4">
        <f>--AND(OR(Dashboard!$A$10="All",C841=Dashboard!$A$10),OR(Dashboard!$A$14="All",F841=Dashboard!$A$14),OR(Dashboard!$A$18="All",G841=Dashboard!$A$18),OR(Dashboard!$A$22="All",I841=Dashboard!$A$22))</f>
        <v>1</v>
      </c>
    </row>
    <row r="842" spans="1:16" ht="15.75" customHeight="1">
      <c r="A842" s="4" t="s">
        <v>1048</v>
      </c>
      <c r="B842" s="6">
        <v>45980</v>
      </c>
      <c r="C842" s="4">
        <v>2025</v>
      </c>
      <c r="D842" s="4">
        <v>11</v>
      </c>
      <c r="E842" s="4" t="s">
        <v>89</v>
      </c>
      <c r="F842" s="4" t="s">
        <v>5</v>
      </c>
      <c r="G842" s="4" t="s">
        <v>9</v>
      </c>
      <c r="H842" s="4" t="s">
        <v>64</v>
      </c>
      <c r="I842" s="4" t="s">
        <v>7</v>
      </c>
      <c r="J842" s="4" t="s">
        <v>407</v>
      </c>
      <c r="K842" s="4">
        <v>6</v>
      </c>
      <c r="L842" s="5">
        <v>50.02</v>
      </c>
      <c r="M842" s="5">
        <v>300.12</v>
      </c>
      <c r="N842" s="5">
        <v>154.88999999999999</v>
      </c>
      <c r="O842" s="5">
        <v>145.22999999999999</v>
      </c>
      <c r="P842" s="4">
        <f>--AND(OR(Dashboard!$A$10="All",C842=Dashboard!$A$10),OR(Dashboard!$A$14="All",F842=Dashboard!$A$14),OR(Dashboard!$A$18="All",G842=Dashboard!$A$18),OR(Dashboard!$A$22="All",I842=Dashboard!$A$22))</f>
        <v>1</v>
      </c>
    </row>
    <row r="843" spans="1:16" ht="15.75" customHeight="1">
      <c r="A843" s="4" t="s">
        <v>1049</v>
      </c>
      <c r="B843" s="6">
        <v>45493</v>
      </c>
      <c r="C843" s="4">
        <v>2024</v>
      </c>
      <c r="D843" s="4">
        <v>7</v>
      </c>
      <c r="E843" s="4" t="s">
        <v>63</v>
      </c>
      <c r="F843" s="4" t="s">
        <v>5</v>
      </c>
      <c r="G843" s="4" t="s">
        <v>12</v>
      </c>
      <c r="H843" s="4" t="s">
        <v>124</v>
      </c>
      <c r="I843" s="4" t="s">
        <v>7</v>
      </c>
      <c r="J843" s="4" t="s">
        <v>402</v>
      </c>
      <c r="K843" s="4">
        <v>1</v>
      </c>
      <c r="L843" s="5">
        <v>290.69</v>
      </c>
      <c r="M843" s="5">
        <v>290.69</v>
      </c>
      <c r="N843" s="5">
        <v>179.8</v>
      </c>
      <c r="O843" s="5">
        <v>110.89</v>
      </c>
      <c r="P843" s="4">
        <f>--AND(OR(Dashboard!$A$10="All",C843=Dashboard!$A$10),OR(Dashboard!$A$14="All",F843=Dashboard!$A$14),OR(Dashboard!$A$18="All",G843=Dashboard!$A$18),OR(Dashboard!$A$22="All",I843=Dashboard!$A$22))</f>
        <v>1</v>
      </c>
    </row>
    <row r="844" spans="1:16" ht="15.75" customHeight="1">
      <c r="A844" s="4" t="s">
        <v>1050</v>
      </c>
      <c r="B844" s="6">
        <v>45366</v>
      </c>
      <c r="C844" s="4">
        <v>2024</v>
      </c>
      <c r="D844" s="4">
        <v>3</v>
      </c>
      <c r="E844" s="4" t="s">
        <v>100</v>
      </c>
      <c r="F844" s="4" t="s">
        <v>5</v>
      </c>
      <c r="G844" s="4" t="s">
        <v>12</v>
      </c>
      <c r="H844" s="4" t="s">
        <v>58</v>
      </c>
      <c r="I844" s="4" t="s">
        <v>7</v>
      </c>
      <c r="J844" s="4" t="s">
        <v>87</v>
      </c>
      <c r="K844" s="4">
        <v>6</v>
      </c>
      <c r="L844" s="5">
        <v>116.8</v>
      </c>
      <c r="M844" s="5">
        <v>700.8</v>
      </c>
      <c r="N844" s="5">
        <v>433.52</v>
      </c>
      <c r="O844" s="5">
        <v>267.27999999999997</v>
      </c>
      <c r="P844" s="4">
        <f>--AND(OR(Dashboard!$A$10="All",C844=Dashboard!$A$10),OR(Dashboard!$A$14="All",F844=Dashboard!$A$14),OR(Dashboard!$A$18="All",G844=Dashboard!$A$18),OR(Dashboard!$A$22="All",I844=Dashboard!$A$22))</f>
        <v>1</v>
      </c>
    </row>
    <row r="845" spans="1:16" ht="15.75" customHeight="1">
      <c r="A845" s="4" t="s">
        <v>1051</v>
      </c>
      <c r="B845" s="6">
        <v>45822</v>
      </c>
      <c r="C845" s="4">
        <v>2025</v>
      </c>
      <c r="D845" s="4">
        <v>6</v>
      </c>
      <c r="E845" s="4" t="s">
        <v>34</v>
      </c>
      <c r="F845" s="4" t="s">
        <v>8</v>
      </c>
      <c r="G845" s="4" t="s">
        <v>9</v>
      </c>
      <c r="H845" s="4" t="s">
        <v>64</v>
      </c>
      <c r="I845" s="4" t="s">
        <v>13</v>
      </c>
      <c r="J845" s="4" t="s">
        <v>247</v>
      </c>
      <c r="K845" s="4">
        <v>1</v>
      </c>
      <c r="L845" s="5">
        <v>47.61</v>
      </c>
      <c r="M845" s="5">
        <v>47.61</v>
      </c>
      <c r="N845" s="5">
        <v>22.92</v>
      </c>
      <c r="O845" s="5">
        <v>24.69</v>
      </c>
      <c r="P845" s="4">
        <f>--AND(OR(Dashboard!$A$10="All",C845=Dashboard!$A$10),OR(Dashboard!$A$14="All",F845=Dashboard!$A$14),OR(Dashboard!$A$18="All",G845=Dashboard!$A$18),OR(Dashboard!$A$22="All",I845=Dashboard!$A$22))</f>
        <v>1</v>
      </c>
    </row>
    <row r="846" spans="1:16" ht="15.75" customHeight="1">
      <c r="A846" s="4" t="s">
        <v>1052</v>
      </c>
      <c r="B846" s="6">
        <v>45880</v>
      </c>
      <c r="C846" s="4">
        <v>2025</v>
      </c>
      <c r="D846" s="4">
        <v>8</v>
      </c>
      <c r="E846" s="4" t="s">
        <v>67</v>
      </c>
      <c r="F846" s="4" t="s">
        <v>14</v>
      </c>
      <c r="G846" s="4" t="s">
        <v>12</v>
      </c>
      <c r="H846" s="4" t="s">
        <v>127</v>
      </c>
      <c r="I846" s="4" t="s">
        <v>7</v>
      </c>
      <c r="J846" s="4" t="s">
        <v>118</v>
      </c>
      <c r="K846" s="4">
        <v>1</v>
      </c>
      <c r="L846" s="5">
        <v>229.37</v>
      </c>
      <c r="M846" s="5">
        <v>229.37</v>
      </c>
      <c r="N846" s="5">
        <v>138.49</v>
      </c>
      <c r="O846" s="5">
        <v>90.88</v>
      </c>
      <c r="P846" s="4">
        <f>--AND(OR(Dashboard!$A$10="All",C846=Dashboard!$A$10),OR(Dashboard!$A$14="All",F846=Dashboard!$A$14),OR(Dashboard!$A$18="All",G846=Dashboard!$A$18),OR(Dashboard!$A$22="All",I846=Dashboard!$A$22))</f>
        <v>1</v>
      </c>
    </row>
    <row r="847" spans="1:16" ht="15.75" customHeight="1">
      <c r="A847" s="4" t="s">
        <v>1053</v>
      </c>
      <c r="B847" s="6">
        <v>45761</v>
      </c>
      <c r="C847" s="4">
        <v>2025</v>
      </c>
      <c r="D847" s="4">
        <v>4</v>
      </c>
      <c r="E847" s="4" t="s">
        <v>106</v>
      </c>
      <c r="F847" s="4" t="s">
        <v>14</v>
      </c>
      <c r="G847" s="4" t="s">
        <v>9</v>
      </c>
      <c r="H847" s="4" t="s">
        <v>110</v>
      </c>
      <c r="I847" s="4" t="s">
        <v>7</v>
      </c>
      <c r="J847" s="4" t="s">
        <v>528</v>
      </c>
      <c r="K847" s="4">
        <v>3</v>
      </c>
      <c r="L847" s="5">
        <v>40.31</v>
      </c>
      <c r="M847" s="5">
        <v>120.93</v>
      </c>
      <c r="N847" s="5">
        <v>63.06</v>
      </c>
      <c r="O847" s="5">
        <v>57.87</v>
      </c>
      <c r="P847" s="4">
        <f>--AND(OR(Dashboard!$A$10="All",C847=Dashboard!$A$10),OR(Dashboard!$A$14="All",F847=Dashboard!$A$14),OR(Dashboard!$A$18="All",G847=Dashboard!$A$18),OR(Dashboard!$A$22="All",I847=Dashboard!$A$22))</f>
        <v>1</v>
      </c>
    </row>
    <row r="848" spans="1:16" ht="15.75" customHeight="1">
      <c r="A848" s="4" t="s">
        <v>1054</v>
      </c>
      <c r="B848" s="6">
        <v>45373</v>
      </c>
      <c r="C848" s="4">
        <v>2024</v>
      </c>
      <c r="D848" s="4">
        <v>3</v>
      </c>
      <c r="E848" s="4" t="s">
        <v>100</v>
      </c>
      <c r="F848" s="4" t="s">
        <v>8</v>
      </c>
      <c r="G848" s="4" t="s">
        <v>6</v>
      </c>
      <c r="H848" s="4" t="s">
        <v>80</v>
      </c>
      <c r="I848" s="4" t="s">
        <v>7</v>
      </c>
      <c r="J848" s="4" t="s">
        <v>379</v>
      </c>
      <c r="K848" s="4">
        <v>1</v>
      </c>
      <c r="L848" s="5">
        <v>192.26</v>
      </c>
      <c r="M848" s="5">
        <v>192.26</v>
      </c>
      <c r="N848" s="5">
        <v>129.31</v>
      </c>
      <c r="O848" s="5">
        <v>62.95</v>
      </c>
      <c r="P848" s="4">
        <f>--AND(OR(Dashboard!$A$10="All",C848=Dashboard!$A$10),OR(Dashboard!$A$14="All",F848=Dashboard!$A$14),OR(Dashboard!$A$18="All",G848=Dashboard!$A$18),OR(Dashboard!$A$22="All",I848=Dashboard!$A$22))</f>
        <v>1</v>
      </c>
    </row>
    <row r="849" spans="1:16" ht="15.75" customHeight="1">
      <c r="A849" s="4" t="s">
        <v>1055</v>
      </c>
      <c r="B849" s="6">
        <v>45825</v>
      </c>
      <c r="C849" s="4">
        <v>2025</v>
      </c>
      <c r="D849" s="4">
        <v>6</v>
      </c>
      <c r="E849" s="4" t="s">
        <v>34</v>
      </c>
      <c r="F849" s="4" t="s">
        <v>14</v>
      </c>
      <c r="G849" s="4" t="s">
        <v>12</v>
      </c>
      <c r="H849" s="4" t="s">
        <v>124</v>
      </c>
      <c r="I849" s="4" t="s">
        <v>10</v>
      </c>
      <c r="J849" s="4" t="s">
        <v>249</v>
      </c>
      <c r="K849" s="4">
        <v>5</v>
      </c>
      <c r="L849" s="5">
        <v>258.11</v>
      </c>
      <c r="M849" s="5">
        <v>1290.55</v>
      </c>
      <c r="N849" s="5">
        <v>758.86</v>
      </c>
      <c r="O849" s="5">
        <v>531.69000000000005</v>
      </c>
      <c r="P849" s="4">
        <f>--AND(OR(Dashboard!$A$10="All",C849=Dashboard!$A$10),OR(Dashboard!$A$14="All",F849=Dashboard!$A$14),OR(Dashboard!$A$18="All",G849=Dashboard!$A$18),OR(Dashboard!$A$22="All",I849=Dashboard!$A$22))</f>
        <v>1</v>
      </c>
    </row>
    <row r="850" spans="1:16" ht="15.75" customHeight="1">
      <c r="A850" s="4" t="s">
        <v>1056</v>
      </c>
      <c r="B850" s="6">
        <v>45468</v>
      </c>
      <c r="C850" s="4">
        <v>2024</v>
      </c>
      <c r="D850" s="4">
        <v>6</v>
      </c>
      <c r="E850" s="4" t="s">
        <v>34</v>
      </c>
      <c r="F850" s="4" t="s">
        <v>5</v>
      </c>
      <c r="G850" s="4" t="s">
        <v>12</v>
      </c>
      <c r="H850" s="4" t="s">
        <v>86</v>
      </c>
      <c r="I850" s="4" t="s">
        <v>7</v>
      </c>
      <c r="J850" s="4" t="s">
        <v>37</v>
      </c>
      <c r="K850" s="4">
        <v>7</v>
      </c>
      <c r="L850" s="5">
        <v>153.6</v>
      </c>
      <c r="M850" s="5">
        <v>1075.2</v>
      </c>
      <c r="N850" s="5">
        <v>641.84</v>
      </c>
      <c r="O850" s="5">
        <v>433.36</v>
      </c>
      <c r="P850" s="4">
        <f>--AND(OR(Dashboard!$A$10="All",C850=Dashboard!$A$10),OR(Dashboard!$A$14="All",F850=Dashboard!$A$14),OR(Dashboard!$A$18="All",G850=Dashboard!$A$18),OR(Dashboard!$A$22="All",I850=Dashboard!$A$22))</f>
        <v>1</v>
      </c>
    </row>
    <row r="851" spans="1:16" ht="15.75" customHeight="1">
      <c r="A851" s="4" t="s">
        <v>1057</v>
      </c>
      <c r="B851" s="6">
        <v>45967</v>
      </c>
      <c r="C851" s="4">
        <v>2025</v>
      </c>
      <c r="D851" s="4">
        <v>11</v>
      </c>
      <c r="E851" s="4" t="s">
        <v>89</v>
      </c>
      <c r="F851" s="4" t="s">
        <v>8</v>
      </c>
      <c r="G851" s="4" t="s">
        <v>6</v>
      </c>
      <c r="H851" s="4" t="s">
        <v>98</v>
      </c>
      <c r="I851" s="4" t="s">
        <v>7</v>
      </c>
      <c r="J851" s="4" t="s">
        <v>189</v>
      </c>
      <c r="K851" s="4">
        <v>6</v>
      </c>
      <c r="L851" s="5">
        <v>162.65</v>
      </c>
      <c r="M851" s="5">
        <v>975.9</v>
      </c>
      <c r="N851" s="5">
        <v>632.75</v>
      </c>
      <c r="O851" s="5">
        <v>343.15</v>
      </c>
      <c r="P851" s="4">
        <f>--AND(OR(Dashboard!$A$10="All",C851=Dashboard!$A$10),OR(Dashboard!$A$14="All",F851=Dashboard!$A$14),OR(Dashboard!$A$18="All",G851=Dashboard!$A$18),OR(Dashboard!$A$22="All",I851=Dashboard!$A$22))</f>
        <v>1</v>
      </c>
    </row>
    <row r="852" spans="1:16" ht="15.75" customHeight="1">
      <c r="A852" s="4" t="s">
        <v>1058</v>
      </c>
      <c r="B852" s="6">
        <v>45731</v>
      </c>
      <c r="C852" s="4">
        <v>2025</v>
      </c>
      <c r="D852" s="4">
        <v>3</v>
      </c>
      <c r="E852" s="4" t="s">
        <v>100</v>
      </c>
      <c r="F852" s="4" t="s">
        <v>8</v>
      </c>
      <c r="G852" s="4" t="s">
        <v>6</v>
      </c>
      <c r="H852" s="4" t="s">
        <v>80</v>
      </c>
      <c r="I852" s="4" t="s">
        <v>7</v>
      </c>
      <c r="J852" s="4" t="s">
        <v>218</v>
      </c>
      <c r="K852" s="4">
        <v>3</v>
      </c>
      <c r="L852" s="5">
        <v>108.81</v>
      </c>
      <c r="M852" s="5">
        <v>326.43</v>
      </c>
      <c r="N852" s="5">
        <v>223.02</v>
      </c>
      <c r="O852" s="5">
        <v>103.41</v>
      </c>
      <c r="P852" s="4">
        <f>--AND(OR(Dashboard!$A$10="All",C852=Dashboard!$A$10),OR(Dashboard!$A$14="All",F852=Dashboard!$A$14),OR(Dashboard!$A$18="All",G852=Dashboard!$A$18),OR(Dashboard!$A$22="All",I852=Dashboard!$A$22))</f>
        <v>1</v>
      </c>
    </row>
    <row r="853" spans="1:16" ht="15.75" customHeight="1">
      <c r="A853" s="4" t="s">
        <v>1059</v>
      </c>
      <c r="B853" s="6">
        <v>45648</v>
      </c>
      <c r="C853" s="4">
        <v>2024</v>
      </c>
      <c r="D853" s="4">
        <v>12</v>
      </c>
      <c r="E853" s="4" t="s">
        <v>57</v>
      </c>
      <c r="F853" s="4" t="s">
        <v>8</v>
      </c>
      <c r="G853" s="4" t="s">
        <v>6</v>
      </c>
      <c r="H853" s="4" t="s">
        <v>80</v>
      </c>
      <c r="I853" s="4" t="s">
        <v>7</v>
      </c>
      <c r="J853" s="4" t="s">
        <v>247</v>
      </c>
      <c r="K853" s="4">
        <v>3</v>
      </c>
      <c r="L853" s="5">
        <v>182.96</v>
      </c>
      <c r="M853" s="5">
        <v>548.88</v>
      </c>
      <c r="N853" s="5">
        <v>379.21</v>
      </c>
      <c r="O853" s="5">
        <v>169.67</v>
      </c>
      <c r="P853" s="4">
        <f>--AND(OR(Dashboard!$A$10="All",C853=Dashboard!$A$10),OR(Dashboard!$A$14="All",F853=Dashboard!$A$14),OR(Dashboard!$A$18="All",G853=Dashboard!$A$18),OR(Dashboard!$A$22="All",I853=Dashboard!$A$22))</f>
        <v>1</v>
      </c>
    </row>
    <row r="854" spans="1:16" ht="15.75" customHeight="1">
      <c r="A854" s="4" t="s">
        <v>1060</v>
      </c>
      <c r="B854" s="6">
        <v>45793</v>
      </c>
      <c r="C854" s="4">
        <v>2025</v>
      </c>
      <c r="D854" s="4">
        <v>5</v>
      </c>
      <c r="E854" s="4" t="s">
        <v>108</v>
      </c>
      <c r="F854" s="4" t="s">
        <v>5</v>
      </c>
      <c r="G854" s="4" t="s">
        <v>6</v>
      </c>
      <c r="H854" s="4" t="s">
        <v>136</v>
      </c>
      <c r="I854" s="4" t="s">
        <v>7</v>
      </c>
      <c r="J854" s="4" t="s">
        <v>111</v>
      </c>
      <c r="K854" s="4">
        <v>1</v>
      </c>
      <c r="L854" s="5">
        <v>85.27</v>
      </c>
      <c r="M854" s="5">
        <v>85.27</v>
      </c>
      <c r="N854" s="5">
        <v>57.46</v>
      </c>
      <c r="O854" s="5">
        <v>27.81</v>
      </c>
      <c r="P854" s="4">
        <f>--AND(OR(Dashboard!$A$10="All",C854=Dashboard!$A$10),OR(Dashboard!$A$14="All",F854=Dashboard!$A$14),OR(Dashboard!$A$18="All",G854=Dashboard!$A$18),OR(Dashboard!$A$22="All",I854=Dashboard!$A$22))</f>
        <v>1</v>
      </c>
    </row>
    <row r="855" spans="1:16" ht="15.75" customHeight="1">
      <c r="A855" s="4" t="s">
        <v>1061</v>
      </c>
      <c r="B855" s="6">
        <v>45931</v>
      </c>
      <c r="C855" s="4">
        <v>2025</v>
      </c>
      <c r="D855" s="4">
        <v>10</v>
      </c>
      <c r="E855" s="4" t="s">
        <v>120</v>
      </c>
      <c r="F855" s="4" t="s">
        <v>5</v>
      </c>
      <c r="G855" s="4" t="s">
        <v>12</v>
      </c>
      <c r="H855" s="4" t="s">
        <v>86</v>
      </c>
      <c r="I855" s="4" t="s">
        <v>13</v>
      </c>
      <c r="J855" s="4" t="s">
        <v>494</v>
      </c>
      <c r="K855" s="4">
        <v>1</v>
      </c>
      <c r="L855" s="5">
        <v>248.63</v>
      </c>
      <c r="M855" s="5">
        <v>248.63</v>
      </c>
      <c r="N855" s="5">
        <v>147.66999999999999</v>
      </c>
      <c r="O855" s="5">
        <v>100.96</v>
      </c>
      <c r="P855" s="4">
        <f>--AND(OR(Dashboard!$A$10="All",C855=Dashboard!$A$10),OR(Dashboard!$A$14="All",F855=Dashboard!$A$14),OR(Dashboard!$A$18="All",G855=Dashboard!$A$18),OR(Dashboard!$A$22="All",I855=Dashboard!$A$22))</f>
        <v>1</v>
      </c>
    </row>
    <row r="856" spans="1:16" ht="15.75" customHeight="1">
      <c r="A856" s="4" t="s">
        <v>1062</v>
      </c>
      <c r="B856" s="6">
        <v>45790</v>
      </c>
      <c r="C856" s="4">
        <v>2025</v>
      </c>
      <c r="D856" s="4">
        <v>5</v>
      </c>
      <c r="E856" s="4" t="s">
        <v>108</v>
      </c>
      <c r="F856" s="4" t="s">
        <v>14</v>
      </c>
      <c r="G856" s="4" t="s">
        <v>12</v>
      </c>
      <c r="H856" s="4" t="s">
        <v>58</v>
      </c>
      <c r="I856" s="4" t="s">
        <v>7</v>
      </c>
      <c r="J856" s="4" t="s">
        <v>261</v>
      </c>
      <c r="K856" s="4">
        <v>2</v>
      </c>
      <c r="L856" s="5">
        <v>198.09</v>
      </c>
      <c r="M856" s="5">
        <v>396.18</v>
      </c>
      <c r="N856" s="5">
        <v>242.2</v>
      </c>
      <c r="O856" s="5">
        <v>153.97999999999999</v>
      </c>
      <c r="P856" s="4">
        <f>--AND(OR(Dashboard!$A$10="All",C856=Dashboard!$A$10),OR(Dashboard!$A$14="All",F856=Dashboard!$A$14),OR(Dashboard!$A$18="All",G856=Dashboard!$A$18),OR(Dashboard!$A$22="All",I856=Dashboard!$A$22))</f>
        <v>1</v>
      </c>
    </row>
    <row r="857" spans="1:16" ht="15.75" customHeight="1">
      <c r="A857" s="4" t="s">
        <v>1063</v>
      </c>
      <c r="B857" s="6">
        <v>45535</v>
      </c>
      <c r="C857" s="4">
        <v>2024</v>
      </c>
      <c r="D857" s="4">
        <v>8</v>
      </c>
      <c r="E857" s="4" t="s">
        <v>67</v>
      </c>
      <c r="F857" s="4" t="s">
        <v>5</v>
      </c>
      <c r="G857" s="4" t="s">
        <v>6</v>
      </c>
      <c r="H857" s="4" t="s">
        <v>114</v>
      </c>
      <c r="I857" s="4" t="s">
        <v>7</v>
      </c>
      <c r="J857" s="4" t="s">
        <v>115</v>
      </c>
      <c r="K857" s="4">
        <v>7</v>
      </c>
      <c r="L857" s="5">
        <v>205.41</v>
      </c>
      <c r="M857" s="5">
        <v>1437.87</v>
      </c>
      <c r="N857" s="5">
        <v>908.61</v>
      </c>
      <c r="O857" s="5">
        <v>529.26</v>
      </c>
      <c r="P857" s="4">
        <f>--AND(OR(Dashboard!$A$10="All",C857=Dashboard!$A$10),OR(Dashboard!$A$14="All",F857=Dashboard!$A$14),OR(Dashboard!$A$18="All",G857=Dashboard!$A$18),OR(Dashboard!$A$22="All",I857=Dashboard!$A$22))</f>
        <v>1</v>
      </c>
    </row>
    <row r="858" spans="1:16" ht="15.75" customHeight="1">
      <c r="A858" s="4" t="s">
        <v>1064</v>
      </c>
      <c r="B858" s="6">
        <v>45904</v>
      </c>
      <c r="C858" s="4">
        <v>2025</v>
      </c>
      <c r="D858" s="4">
        <v>9</v>
      </c>
      <c r="E858" s="4" t="s">
        <v>79</v>
      </c>
      <c r="F858" s="4" t="s">
        <v>14</v>
      </c>
      <c r="G858" s="4" t="s">
        <v>12</v>
      </c>
      <c r="H858" s="4" t="s">
        <v>92</v>
      </c>
      <c r="I858" s="4" t="s">
        <v>10</v>
      </c>
      <c r="J858" s="4" t="s">
        <v>336</v>
      </c>
      <c r="K858" s="4">
        <v>2</v>
      </c>
      <c r="L858" s="5">
        <v>176.14</v>
      </c>
      <c r="M858" s="5">
        <v>352.28</v>
      </c>
      <c r="N858" s="5">
        <v>212.55</v>
      </c>
      <c r="O858" s="5">
        <v>139.72999999999999</v>
      </c>
      <c r="P858" s="4">
        <f>--AND(OR(Dashboard!$A$10="All",C858=Dashboard!$A$10),OR(Dashboard!$A$14="All",F858=Dashboard!$A$14),OR(Dashboard!$A$18="All",G858=Dashboard!$A$18),OR(Dashboard!$A$22="All",I858=Dashboard!$A$22))</f>
        <v>1</v>
      </c>
    </row>
    <row r="859" spans="1:16" ht="15.75" customHeight="1">
      <c r="A859" s="4" t="s">
        <v>1065</v>
      </c>
      <c r="B859" s="6">
        <v>45597</v>
      </c>
      <c r="C859" s="4">
        <v>2024</v>
      </c>
      <c r="D859" s="4">
        <v>11</v>
      </c>
      <c r="E859" s="4" t="s">
        <v>89</v>
      </c>
      <c r="F859" s="4" t="s">
        <v>5</v>
      </c>
      <c r="G859" s="4" t="s">
        <v>12</v>
      </c>
      <c r="H859" s="4" t="s">
        <v>127</v>
      </c>
      <c r="I859" s="4" t="s">
        <v>10</v>
      </c>
      <c r="J859" s="4" t="s">
        <v>491</v>
      </c>
      <c r="K859" s="4">
        <v>1</v>
      </c>
      <c r="L859" s="5">
        <v>289.27</v>
      </c>
      <c r="M859" s="5">
        <v>289.27</v>
      </c>
      <c r="N859" s="5">
        <v>180.89</v>
      </c>
      <c r="O859" s="5">
        <v>108.38</v>
      </c>
      <c r="P859" s="4">
        <f>--AND(OR(Dashboard!$A$10="All",C859=Dashboard!$A$10),OR(Dashboard!$A$14="All",F859=Dashboard!$A$14),OR(Dashboard!$A$18="All",G859=Dashboard!$A$18),OR(Dashboard!$A$22="All",I859=Dashboard!$A$22))</f>
        <v>1</v>
      </c>
    </row>
    <row r="860" spans="1:16" ht="15.75" customHeight="1">
      <c r="A860" s="4" t="s">
        <v>1066</v>
      </c>
      <c r="B860" s="6">
        <v>45486</v>
      </c>
      <c r="C860" s="4">
        <v>2024</v>
      </c>
      <c r="D860" s="4">
        <v>7</v>
      </c>
      <c r="E860" s="4" t="s">
        <v>63</v>
      </c>
      <c r="F860" s="4" t="s">
        <v>5</v>
      </c>
      <c r="G860" s="4" t="s">
        <v>12</v>
      </c>
      <c r="H860" s="4" t="s">
        <v>92</v>
      </c>
      <c r="I860" s="4" t="s">
        <v>10</v>
      </c>
      <c r="J860" s="4" t="s">
        <v>168</v>
      </c>
      <c r="K860" s="4">
        <v>1</v>
      </c>
      <c r="L860" s="5">
        <v>237.97</v>
      </c>
      <c r="M860" s="5">
        <v>237.97</v>
      </c>
      <c r="N860" s="5">
        <v>145.1</v>
      </c>
      <c r="O860" s="5">
        <v>92.87</v>
      </c>
      <c r="P860" s="4">
        <f>--AND(OR(Dashboard!$A$10="All",C860=Dashboard!$A$10),OR(Dashboard!$A$14="All",F860=Dashboard!$A$14),OR(Dashboard!$A$18="All",G860=Dashboard!$A$18),OR(Dashboard!$A$22="All",I860=Dashboard!$A$22))</f>
        <v>1</v>
      </c>
    </row>
    <row r="861" spans="1:16" ht="15.75" customHeight="1">
      <c r="A861" s="4" t="s">
        <v>1067</v>
      </c>
      <c r="B861" s="6">
        <v>46020</v>
      </c>
      <c r="C861" s="4">
        <v>2025</v>
      </c>
      <c r="D861" s="4">
        <v>12</v>
      </c>
      <c r="E861" s="4" t="s">
        <v>57</v>
      </c>
      <c r="F861" s="4" t="s">
        <v>5</v>
      </c>
      <c r="G861" s="4" t="s">
        <v>9</v>
      </c>
      <c r="H861" s="4" t="s">
        <v>71</v>
      </c>
      <c r="I861" s="4" t="s">
        <v>10</v>
      </c>
      <c r="J861" s="4" t="s">
        <v>99</v>
      </c>
      <c r="K861" s="4">
        <v>9</v>
      </c>
      <c r="L861" s="5">
        <v>43.97</v>
      </c>
      <c r="M861" s="5">
        <v>395.73</v>
      </c>
      <c r="N861" s="5">
        <v>193.22</v>
      </c>
      <c r="O861" s="5">
        <v>202.51</v>
      </c>
      <c r="P861" s="4">
        <f>--AND(OR(Dashboard!$A$10="All",C861=Dashboard!$A$10),OR(Dashboard!$A$14="All",F861=Dashboard!$A$14),OR(Dashboard!$A$18="All",G861=Dashboard!$A$18),OR(Dashboard!$A$22="All",I861=Dashboard!$A$22))</f>
        <v>1</v>
      </c>
    </row>
    <row r="862" spans="1:16" ht="15.75" customHeight="1">
      <c r="A862" s="4" t="s">
        <v>1068</v>
      </c>
      <c r="B862" s="6">
        <v>45781</v>
      </c>
      <c r="C862" s="4">
        <v>2025</v>
      </c>
      <c r="D862" s="4">
        <v>5</v>
      </c>
      <c r="E862" s="4" t="s">
        <v>108</v>
      </c>
      <c r="F862" s="4" t="s">
        <v>14</v>
      </c>
      <c r="G862" s="4" t="s">
        <v>6</v>
      </c>
      <c r="H862" s="4" t="s">
        <v>136</v>
      </c>
      <c r="I862" s="4" t="s">
        <v>7</v>
      </c>
      <c r="J862" s="4" t="s">
        <v>420</v>
      </c>
      <c r="K862" s="4">
        <v>1</v>
      </c>
      <c r="L862" s="5">
        <v>174.38</v>
      </c>
      <c r="M862" s="5">
        <v>174.38</v>
      </c>
      <c r="N862" s="5">
        <v>113.47</v>
      </c>
      <c r="O862" s="5">
        <v>60.91</v>
      </c>
      <c r="P862" s="4">
        <f>--AND(OR(Dashboard!$A$10="All",C862=Dashboard!$A$10),OR(Dashboard!$A$14="All",F862=Dashboard!$A$14),OR(Dashboard!$A$18="All",G862=Dashboard!$A$18),OR(Dashboard!$A$22="All",I862=Dashboard!$A$22))</f>
        <v>1</v>
      </c>
    </row>
    <row r="863" spans="1:16" ht="15.75" customHeight="1">
      <c r="A863" s="4" t="s">
        <v>1069</v>
      </c>
      <c r="B863" s="6">
        <v>45502</v>
      </c>
      <c r="C863" s="4">
        <v>2024</v>
      </c>
      <c r="D863" s="4">
        <v>7</v>
      </c>
      <c r="E863" s="4" t="s">
        <v>63</v>
      </c>
      <c r="F863" s="4" t="s">
        <v>5</v>
      </c>
      <c r="G863" s="4" t="s">
        <v>12</v>
      </c>
      <c r="H863" s="4" t="s">
        <v>124</v>
      </c>
      <c r="I863" s="4" t="s">
        <v>7</v>
      </c>
      <c r="J863" s="4" t="s">
        <v>146</v>
      </c>
      <c r="K863" s="4">
        <v>1</v>
      </c>
      <c r="L863" s="5">
        <v>248.65</v>
      </c>
      <c r="M863" s="5">
        <v>248.65</v>
      </c>
      <c r="N863" s="5">
        <v>153.96</v>
      </c>
      <c r="O863" s="5">
        <v>94.69</v>
      </c>
      <c r="P863" s="4">
        <f>--AND(OR(Dashboard!$A$10="All",C863=Dashboard!$A$10),OR(Dashboard!$A$14="All",F863=Dashboard!$A$14),OR(Dashboard!$A$18="All",G863=Dashboard!$A$18),OR(Dashboard!$A$22="All",I863=Dashboard!$A$22))</f>
        <v>1</v>
      </c>
    </row>
    <row r="864" spans="1:16" ht="15.75" customHeight="1">
      <c r="A864" s="4" t="s">
        <v>1070</v>
      </c>
      <c r="B864" s="6">
        <v>45315</v>
      </c>
      <c r="C864" s="4">
        <v>2024</v>
      </c>
      <c r="D864" s="4">
        <v>1</v>
      </c>
      <c r="E864" s="4" t="s">
        <v>30</v>
      </c>
      <c r="F864" s="4" t="s">
        <v>8</v>
      </c>
      <c r="G864" s="4" t="s">
        <v>6</v>
      </c>
      <c r="H864" s="4" t="s">
        <v>80</v>
      </c>
      <c r="I864" s="4" t="s">
        <v>10</v>
      </c>
      <c r="J864" s="4" t="s">
        <v>125</v>
      </c>
      <c r="K864" s="4">
        <v>3</v>
      </c>
      <c r="L864" s="5">
        <v>162.97999999999999</v>
      </c>
      <c r="M864" s="5">
        <v>488.94</v>
      </c>
      <c r="N864" s="5">
        <v>320.77</v>
      </c>
      <c r="O864" s="5">
        <v>168.17</v>
      </c>
      <c r="P864" s="4">
        <f>--AND(OR(Dashboard!$A$10="All",C864=Dashboard!$A$10),OR(Dashboard!$A$14="All",F864=Dashboard!$A$14),OR(Dashboard!$A$18="All",G864=Dashboard!$A$18),OR(Dashboard!$A$22="All",I864=Dashboard!$A$22))</f>
        <v>1</v>
      </c>
    </row>
    <row r="865" spans="1:16" ht="15.75" customHeight="1">
      <c r="A865" s="4" t="s">
        <v>1071</v>
      </c>
      <c r="B865" s="6">
        <v>45771</v>
      </c>
      <c r="C865" s="4">
        <v>2025</v>
      </c>
      <c r="D865" s="4">
        <v>4</v>
      </c>
      <c r="E865" s="4" t="s">
        <v>106</v>
      </c>
      <c r="F865" s="4" t="s">
        <v>8</v>
      </c>
      <c r="G865" s="4" t="s">
        <v>9</v>
      </c>
      <c r="H865" s="4" t="s">
        <v>110</v>
      </c>
      <c r="I865" s="4" t="s">
        <v>7</v>
      </c>
      <c r="J865" s="4" t="s">
        <v>346</v>
      </c>
      <c r="K865" s="4">
        <v>6</v>
      </c>
      <c r="L865" s="5">
        <v>44.8</v>
      </c>
      <c r="M865" s="5">
        <v>268.8</v>
      </c>
      <c r="N865" s="5">
        <v>135.63</v>
      </c>
      <c r="O865" s="5">
        <v>133.16999999999999</v>
      </c>
      <c r="P865" s="4">
        <f>--AND(OR(Dashboard!$A$10="All",C865=Dashboard!$A$10),OR(Dashboard!$A$14="All",F865=Dashboard!$A$14),OR(Dashboard!$A$18="All",G865=Dashboard!$A$18),OR(Dashboard!$A$22="All",I865=Dashboard!$A$22))</f>
        <v>1</v>
      </c>
    </row>
    <row r="866" spans="1:16" ht="15.75" customHeight="1">
      <c r="A866" s="4" t="s">
        <v>1072</v>
      </c>
      <c r="B866" s="6">
        <v>45528</v>
      </c>
      <c r="C866" s="4">
        <v>2024</v>
      </c>
      <c r="D866" s="4">
        <v>8</v>
      </c>
      <c r="E866" s="4" t="s">
        <v>67</v>
      </c>
      <c r="F866" s="4" t="s">
        <v>5</v>
      </c>
      <c r="G866" s="4" t="s">
        <v>6</v>
      </c>
      <c r="H866" s="4" t="s">
        <v>98</v>
      </c>
      <c r="I866" s="4" t="s">
        <v>7</v>
      </c>
      <c r="J866" s="4" t="s">
        <v>159</v>
      </c>
      <c r="K866" s="4">
        <v>2</v>
      </c>
      <c r="L866" s="5">
        <v>99.44</v>
      </c>
      <c r="M866" s="5">
        <v>198.88</v>
      </c>
      <c r="N866" s="5">
        <v>134.16</v>
      </c>
      <c r="O866" s="5">
        <v>64.72</v>
      </c>
      <c r="P866" s="4">
        <f>--AND(OR(Dashboard!$A$10="All",C866=Dashboard!$A$10),OR(Dashboard!$A$14="All",F866=Dashboard!$A$14),OR(Dashboard!$A$18="All",G866=Dashboard!$A$18),OR(Dashboard!$A$22="All",I866=Dashboard!$A$22))</f>
        <v>1</v>
      </c>
    </row>
    <row r="867" spans="1:16" ht="15.75" customHeight="1">
      <c r="A867" s="4" t="s">
        <v>1073</v>
      </c>
      <c r="B867" s="6">
        <v>45737</v>
      </c>
      <c r="C867" s="4">
        <v>2025</v>
      </c>
      <c r="D867" s="4">
        <v>3</v>
      </c>
      <c r="E867" s="4" t="s">
        <v>100</v>
      </c>
      <c r="F867" s="4" t="s">
        <v>8</v>
      </c>
      <c r="G867" s="4" t="s">
        <v>6</v>
      </c>
      <c r="H867" s="4" t="s">
        <v>80</v>
      </c>
      <c r="I867" s="4" t="s">
        <v>10</v>
      </c>
      <c r="J867" s="4" t="s">
        <v>37</v>
      </c>
      <c r="K867" s="4">
        <v>2</v>
      </c>
      <c r="L867" s="5">
        <v>109.36</v>
      </c>
      <c r="M867" s="5">
        <v>218.72</v>
      </c>
      <c r="N867" s="5">
        <v>138.24</v>
      </c>
      <c r="O867" s="5">
        <v>80.48</v>
      </c>
      <c r="P867" s="4">
        <f>--AND(OR(Dashboard!$A$10="All",C867=Dashboard!$A$10),OR(Dashboard!$A$14="All",F867=Dashboard!$A$14),OR(Dashboard!$A$18="All",G867=Dashboard!$A$18),OR(Dashboard!$A$22="All",I867=Dashboard!$A$22))</f>
        <v>1</v>
      </c>
    </row>
    <row r="868" spans="1:16" ht="15.75" customHeight="1">
      <c r="A868" s="4" t="s">
        <v>1074</v>
      </c>
      <c r="B868" s="6">
        <v>45458</v>
      </c>
      <c r="C868" s="4">
        <v>2024</v>
      </c>
      <c r="D868" s="4">
        <v>6</v>
      </c>
      <c r="E868" s="4" t="s">
        <v>34</v>
      </c>
      <c r="F868" s="4" t="s">
        <v>14</v>
      </c>
      <c r="G868" s="4" t="s">
        <v>12</v>
      </c>
      <c r="H868" s="4" t="s">
        <v>127</v>
      </c>
      <c r="I868" s="4" t="s">
        <v>13</v>
      </c>
      <c r="J868" s="4" t="s">
        <v>59</v>
      </c>
      <c r="K868" s="4">
        <v>2</v>
      </c>
      <c r="L868" s="5">
        <v>195.48</v>
      </c>
      <c r="M868" s="5">
        <v>390.96</v>
      </c>
      <c r="N868" s="5">
        <v>231.32</v>
      </c>
      <c r="O868" s="5">
        <v>159.63999999999999</v>
      </c>
      <c r="P868" s="4">
        <f>--AND(OR(Dashboard!$A$10="All",C868=Dashboard!$A$10),OR(Dashboard!$A$14="All",F868=Dashboard!$A$14),OR(Dashboard!$A$18="All",G868=Dashboard!$A$18),OR(Dashboard!$A$22="All",I868=Dashboard!$A$22))</f>
        <v>1</v>
      </c>
    </row>
    <row r="869" spans="1:16" ht="15.75" customHeight="1">
      <c r="A869" s="4" t="s">
        <v>1075</v>
      </c>
      <c r="B869" s="6">
        <v>45628</v>
      </c>
      <c r="C869" s="4">
        <v>2024</v>
      </c>
      <c r="D869" s="4">
        <v>12</v>
      </c>
      <c r="E869" s="4" t="s">
        <v>57</v>
      </c>
      <c r="F869" s="4" t="s">
        <v>11</v>
      </c>
      <c r="G869" s="4" t="s">
        <v>12</v>
      </c>
      <c r="H869" s="4" t="s">
        <v>58</v>
      </c>
      <c r="I869" s="4" t="s">
        <v>13</v>
      </c>
      <c r="J869" s="4" t="s">
        <v>240</v>
      </c>
      <c r="K869" s="4">
        <v>5</v>
      </c>
      <c r="L869" s="5">
        <v>139.33000000000001</v>
      </c>
      <c r="M869" s="5">
        <v>696.65</v>
      </c>
      <c r="N869" s="5">
        <v>399.89</v>
      </c>
      <c r="O869" s="5">
        <v>296.76</v>
      </c>
      <c r="P869" s="4">
        <f>--AND(OR(Dashboard!$A$10="All",C869=Dashboard!$A$10),OR(Dashboard!$A$14="All",F869=Dashboard!$A$14),OR(Dashboard!$A$18="All",G869=Dashboard!$A$18),OR(Dashboard!$A$22="All",I869=Dashboard!$A$22))</f>
        <v>1</v>
      </c>
    </row>
    <row r="870" spans="1:16" ht="15.75" customHeight="1">
      <c r="A870" s="4" t="s">
        <v>1076</v>
      </c>
      <c r="B870" s="6">
        <v>45499</v>
      </c>
      <c r="C870" s="4">
        <v>2024</v>
      </c>
      <c r="D870" s="4">
        <v>7</v>
      </c>
      <c r="E870" s="4" t="s">
        <v>63</v>
      </c>
      <c r="F870" s="4" t="s">
        <v>8</v>
      </c>
      <c r="G870" s="4" t="s">
        <v>9</v>
      </c>
      <c r="H870" s="4" t="s">
        <v>142</v>
      </c>
      <c r="I870" s="4" t="s">
        <v>7</v>
      </c>
      <c r="J870" s="4" t="s">
        <v>134</v>
      </c>
      <c r="K870" s="4">
        <v>10</v>
      </c>
      <c r="L870" s="5">
        <v>34.5</v>
      </c>
      <c r="M870" s="5">
        <v>345</v>
      </c>
      <c r="N870" s="5">
        <v>175.57</v>
      </c>
      <c r="O870" s="5">
        <v>169.43</v>
      </c>
      <c r="P870" s="4">
        <f>--AND(OR(Dashboard!$A$10="All",C870=Dashboard!$A$10),OR(Dashboard!$A$14="All",F870=Dashboard!$A$14),OR(Dashboard!$A$18="All",G870=Dashboard!$A$18),OR(Dashboard!$A$22="All",I870=Dashboard!$A$22))</f>
        <v>1</v>
      </c>
    </row>
    <row r="871" spans="1:16" ht="15.75" customHeight="1">
      <c r="A871" s="4" t="s">
        <v>1077</v>
      </c>
      <c r="B871" s="6">
        <v>45591</v>
      </c>
      <c r="C871" s="4">
        <v>2024</v>
      </c>
      <c r="D871" s="4">
        <v>10</v>
      </c>
      <c r="E871" s="4" t="s">
        <v>120</v>
      </c>
      <c r="F871" s="4" t="s">
        <v>5</v>
      </c>
      <c r="G871" s="4" t="s">
        <v>12</v>
      </c>
      <c r="H871" s="4" t="s">
        <v>92</v>
      </c>
      <c r="I871" s="4" t="s">
        <v>7</v>
      </c>
      <c r="J871" s="4" t="s">
        <v>179</v>
      </c>
      <c r="K871" s="4">
        <v>1</v>
      </c>
      <c r="L871" s="5">
        <v>140.35</v>
      </c>
      <c r="M871" s="5">
        <v>140.35</v>
      </c>
      <c r="N871" s="5">
        <v>82.59</v>
      </c>
      <c r="O871" s="5">
        <v>57.76</v>
      </c>
      <c r="P871" s="4">
        <f>--AND(OR(Dashboard!$A$10="All",C871=Dashboard!$A$10),OR(Dashboard!$A$14="All",F871=Dashboard!$A$14),OR(Dashboard!$A$18="All",G871=Dashboard!$A$18),OR(Dashboard!$A$22="All",I871=Dashboard!$A$22))</f>
        <v>1</v>
      </c>
    </row>
    <row r="872" spans="1:16" ht="15.75" customHeight="1">
      <c r="A872" s="4" t="s">
        <v>1078</v>
      </c>
      <c r="B872" s="6">
        <v>45725</v>
      </c>
      <c r="C872" s="4">
        <v>2025</v>
      </c>
      <c r="D872" s="4">
        <v>3</v>
      </c>
      <c r="E872" s="4" t="s">
        <v>100</v>
      </c>
      <c r="F872" s="4" t="s">
        <v>14</v>
      </c>
      <c r="G872" s="4" t="s">
        <v>12</v>
      </c>
      <c r="H872" s="4" t="s">
        <v>86</v>
      </c>
      <c r="I872" s="4" t="s">
        <v>10</v>
      </c>
      <c r="J872" s="4" t="s">
        <v>128</v>
      </c>
      <c r="K872" s="4">
        <v>1</v>
      </c>
      <c r="L872" s="5">
        <v>269.37</v>
      </c>
      <c r="M872" s="5">
        <v>269.37</v>
      </c>
      <c r="N872" s="5">
        <v>169.05</v>
      </c>
      <c r="O872" s="5">
        <v>100.32</v>
      </c>
      <c r="P872" s="4">
        <f>--AND(OR(Dashboard!$A$10="All",C872=Dashboard!$A$10),OR(Dashboard!$A$14="All",F872=Dashboard!$A$14),OR(Dashboard!$A$18="All",G872=Dashboard!$A$18),OR(Dashboard!$A$22="All",I872=Dashboard!$A$22))</f>
        <v>1</v>
      </c>
    </row>
    <row r="873" spans="1:16" ht="15.75" customHeight="1">
      <c r="A873" s="4" t="s">
        <v>1079</v>
      </c>
      <c r="B873" s="6">
        <v>45445</v>
      </c>
      <c r="C873" s="4">
        <v>2024</v>
      </c>
      <c r="D873" s="4">
        <v>6</v>
      </c>
      <c r="E873" s="4" t="s">
        <v>34</v>
      </c>
      <c r="F873" s="4" t="s">
        <v>8</v>
      </c>
      <c r="G873" s="4" t="s">
        <v>6</v>
      </c>
      <c r="H873" s="4" t="s">
        <v>98</v>
      </c>
      <c r="I873" s="4" t="s">
        <v>7</v>
      </c>
      <c r="J873" s="4" t="s">
        <v>420</v>
      </c>
      <c r="K873" s="4">
        <v>3</v>
      </c>
      <c r="L873" s="5">
        <v>90.86</v>
      </c>
      <c r="M873" s="5">
        <v>272.58</v>
      </c>
      <c r="N873" s="5">
        <v>171</v>
      </c>
      <c r="O873" s="5">
        <v>101.58</v>
      </c>
      <c r="P873" s="4">
        <f>--AND(OR(Dashboard!$A$10="All",C873=Dashboard!$A$10),OR(Dashboard!$A$14="All",F873=Dashboard!$A$14),OR(Dashboard!$A$18="All",G873=Dashboard!$A$18),OR(Dashboard!$A$22="All",I873=Dashboard!$A$22))</f>
        <v>1</v>
      </c>
    </row>
    <row r="874" spans="1:16" ht="15.75" customHeight="1">
      <c r="A874" s="4" t="s">
        <v>1080</v>
      </c>
      <c r="B874" s="6">
        <v>45589</v>
      </c>
      <c r="C874" s="4">
        <v>2024</v>
      </c>
      <c r="D874" s="4">
        <v>10</v>
      </c>
      <c r="E874" s="4" t="s">
        <v>120</v>
      </c>
      <c r="F874" s="4" t="s">
        <v>5</v>
      </c>
      <c r="G874" s="4" t="s">
        <v>12</v>
      </c>
      <c r="H874" s="4" t="s">
        <v>127</v>
      </c>
      <c r="I874" s="4" t="s">
        <v>7</v>
      </c>
      <c r="J874" s="4" t="s">
        <v>99</v>
      </c>
      <c r="K874" s="4">
        <v>3</v>
      </c>
      <c r="L874" s="5">
        <v>187.57</v>
      </c>
      <c r="M874" s="5">
        <v>562.71</v>
      </c>
      <c r="N874" s="5">
        <v>348.41</v>
      </c>
      <c r="O874" s="5">
        <v>214.3</v>
      </c>
      <c r="P874" s="4">
        <f>--AND(OR(Dashboard!$A$10="All",C874=Dashboard!$A$10),OR(Dashboard!$A$14="All",F874=Dashboard!$A$14),OR(Dashboard!$A$18="All",G874=Dashboard!$A$18),OR(Dashboard!$A$22="All",I874=Dashboard!$A$22))</f>
        <v>1</v>
      </c>
    </row>
    <row r="875" spans="1:16" ht="15.75" customHeight="1">
      <c r="A875" s="4" t="s">
        <v>1081</v>
      </c>
      <c r="B875" s="6">
        <v>45580</v>
      </c>
      <c r="C875" s="4">
        <v>2024</v>
      </c>
      <c r="D875" s="4">
        <v>10</v>
      </c>
      <c r="E875" s="4" t="s">
        <v>120</v>
      </c>
      <c r="F875" s="4" t="s">
        <v>5</v>
      </c>
      <c r="G875" s="4" t="s">
        <v>12</v>
      </c>
      <c r="H875" s="4" t="s">
        <v>92</v>
      </c>
      <c r="I875" s="4" t="s">
        <v>7</v>
      </c>
      <c r="J875" s="4" t="s">
        <v>61</v>
      </c>
      <c r="K875" s="4">
        <v>10</v>
      </c>
      <c r="L875" s="5">
        <v>213.04</v>
      </c>
      <c r="M875" s="5">
        <v>2130.4</v>
      </c>
      <c r="N875" s="5">
        <v>1336.91</v>
      </c>
      <c r="O875" s="5">
        <v>793.49</v>
      </c>
      <c r="P875" s="4">
        <f>--AND(OR(Dashboard!$A$10="All",C875=Dashboard!$A$10),OR(Dashboard!$A$14="All",F875=Dashboard!$A$14),OR(Dashboard!$A$18="All",G875=Dashboard!$A$18),OR(Dashboard!$A$22="All",I875=Dashboard!$A$22))</f>
        <v>1</v>
      </c>
    </row>
    <row r="876" spans="1:16" ht="15.75" customHeight="1">
      <c r="A876" s="4" t="s">
        <v>1082</v>
      </c>
      <c r="B876" s="6">
        <v>45820</v>
      </c>
      <c r="C876" s="4">
        <v>2025</v>
      </c>
      <c r="D876" s="4">
        <v>6</v>
      </c>
      <c r="E876" s="4" t="s">
        <v>34</v>
      </c>
      <c r="F876" s="4" t="s">
        <v>11</v>
      </c>
      <c r="G876" s="4" t="s">
        <v>6</v>
      </c>
      <c r="H876" s="4" t="s">
        <v>114</v>
      </c>
      <c r="I876" s="4" t="s">
        <v>10</v>
      </c>
      <c r="J876" s="4" t="s">
        <v>255</v>
      </c>
      <c r="K876" s="4">
        <v>1</v>
      </c>
      <c r="L876" s="5">
        <v>95.2</v>
      </c>
      <c r="M876" s="5">
        <v>95.2</v>
      </c>
      <c r="N876" s="5">
        <v>65.86</v>
      </c>
      <c r="O876" s="5">
        <v>29.34</v>
      </c>
      <c r="P876" s="4">
        <f>--AND(OR(Dashboard!$A$10="All",C876=Dashboard!$A$10),OR(Dashboard!$A$14="All",F876=Dashboard!$A$14),OR(Dashboard!$A$18="All",G876=Dashboard!$A$18),OR(Dashboard!$A$22="All",I876=Dashboard!$A$22))</f>
        <v>1</v>
      </c>
    </row>
    <row r="877" spans="1:16" ht="15.75" customHeight="1">
      <c r="A877" s="4" t="s">
        <v>1083</v>
      </c>
      <c r="B877" s="6">
        <v>45692</v>
      </c>
      <c r="C877" s="4">
        <v>2025</v>
      </c>
      <c r="D877" s="4">
        <v>2</v>
      </c>
      <c r="E877" s="4" t="s">
        <v>70</v>
      </c>
      <c r="F877" s="4" t="s">
        <v>11</v>
      </c>
      <c r="G877" s="4" t="s">
        <v>6</v>
      </c>
      <c r="H877" s="4" t="s">
        <v>98</v>
      </c>
      <c r="I877" s="4" t="s">
        <v>10</v>
      </c>
      <c r="J877" s="4" t="s">
        <v>407</v>
      </c>
      <c r="K877" s="4">
        <v>2</v>
      </c>
      <c r="L877" s="5">
        <v>185.96</v>
      </c>
      <c r="M877" s="5">
        <v>371.92</v>
      </c>
      <c r="N877" s="5">
        <v>248.38</v>
      </c>
      <c r="O877" s="5">
        <v>123.54</v>
      </c>
      <c r="P877" s="4">
        <f>--AND(OR(Dashboard!$A$10="All",C877=Dashboard!$A$10),OR(Dashboard!$A$14="All",F877=Dashboard!$A$14),OR(Dashboard!$A$18="All",G877=Dashboard!$A$18),OR(Dashboard!$A$22="All",I877=Dashboard!$A$22))</f>
        <v>1</v>
      </c>
    </row>
    <row r="878" spans="1:16" ht="15.75" customHeight="1">
      <c r="A878" s="4" t="s">
        <v>1084</v>
      </c>
      <c r="B878" s="6">
        <v>45926</v>
      </c>
      <c r="C878" s="4">
        <v>2025</v>
      </c>
      <c r="D878" s="4">
        <v>9</v>
      </c>
      <c r="E878" s="4" t="s">
        <v>79</v>
      </c>
      <c r="F878" s="4" t="s">
        <v>8</v>
      </c>
      <c r="G878" s="4" t="s">
        <v>6</v>
      </c>
      <c r="H878" s="4" t="s">
        <v>80</v>
      </c>
      <c r="I878" s="4" t="s">
        <v>7</v>
      </c>
      <c r="J878" s="4" t="s">
        <v>232</v>
      </c>
      <c r="K878" s="4">
        <v>1</v>
      </c>
      <c r="L878" s="5">
        <v>123.96</v>
      </c>
      <c r="M878" s="5">
        <v>123.96</v>
      </c>
      <c r="N878" s="5">
        <v>80.87</v>
      </c>
      <c r="O878" s="5">
        <v>43.09</v>
      </c>
      <c r="P878" s="4">
        <f>--AND(OR(Dashboard!$A$10="All",C878=Dashboard!$A$10),OR(Dashboard!$A$14="All",F878=Dashboard!$A$14),OR(Dashboard!$A$18="All",G878=Dashboard!$A$18),OR(Dashboard!$A$22="All",I878=Dashboard!$A$22))</f>
        <v>1</v>
      </c>
    </row>
    <row r="879" spans="1:16" ht="15.75" customHeight="1">
      <c r="A879" s="4" t="s">
        <v>1085</v>
      </c>
      <c r="B879" s="6">
        <v>45731</v>
      </c>
      <c r="C879" s="4">
        <v>2025</v>
      </c>
      <c r="D879" s="4">
        <v>3</v>
      </c>
      <c r="E879" s="4" t="s">
        <v>100</v>
      </c>
      <c r="F879" s="4" t="s">
        <v>5</v>
      </c>
      <c r="G879" s="4" t="s">
        <v>6</v>
      </c>
      <c r="H879" s="4" t="s">
        <v>98</v>
      </c>
      <c r="I879" s="4" t="s">
        <v>7</v>
      </c>
      <c r="J879" s="4" t="s">
        <v>218</v>
      </c>
      <c r="K879" s="4">
        <v>4</v>
      </c>
      <c r="L879" s="5">
        <v>145.22</v>
      </c>
      <c r="M879" s="5">
        <v>580.88</v>
      </c>
      <c r="N879" s="5">
        <v>395</v>
      </c>
      <c r="O879" s="5">
        <v>185.88</v>
      </c>
      <c r="P879" s="4">
        <f>--AND(OR(Dashboard!$A$10="All",C879=Dashboard!$A$10),OR(Dashboard!$A$14="All",F879=Dashboard!$A$14),OR(Dashboard!$A$18="All",G879=Dashboard!$A$18),OR(Dashboard!$A$22="All",I879=Dashboard!$A$22))</f>
        <v>1</v>
      </c>
    </row>
    <row r="880" spans="1:16" ht="15.75" customHeight="1">
      <c r="A880" s="4" t="s">
        <v>1086</v>
      </c>
      <c r="B880" s="6">
        <v>45984</v>
      </c>
      <c r="C880" s="4">
        <v>2025</v>
      </c>
      <c r="D880" s="4">
        <v>11</v>
      </c>
      <c r="E880" s="4" t="s">
        <v>89</v>
      </c>
      <c r="F880" s="4" t="s">
        <v>11</v>
      </c>
      <c r="G880" s="4" t="s">
        <v>12</v>
      </c>
      <c r="H880" s="4" t="s">
        <v>127</v>
      </c>
      <c r="I880" s="4" t="s">
        <v>7</v>
      </c>
      <c r="J880" s="4" t="s">
        <v>199</v>
      </c>
      <c r="K880" s="4">
        <v>3</v>
      </c>
      <c r="L880" s="5">
        <v>206.91</v>
      </c>
      <c r="M880" s="5">
        <v>620.73</v>
      </c>
      <c r="N880" s="5">
        <v>363.11</v>
      </c>
      <c r="O880" s="5">
        <v>257.62</v>
      </c>
      <c r="P880" s="4">
        <f>--AND(OR(Dashboard!$A$10="All",C880=Dashboard!$A$10),OR(Dashboard!$A$14="All",F880=Dashboard!$A$14),OR(Dashboard!$A$18="All",G880=Dashboard!$A$18),OR(Dashboard!$A$22="All",I880=Dashboard!$A$22))</f>
        <v>1</v>
      </c>
    </row>
    <row r="881" spans="1:16" ht="15.75" customHeight="1">
      <c r="A881" s="4" t="s">
        <v>1087</v>
      </c>
      <c r="B881" s="6">
        <v>45538</v>
      </c>
      <c r="C881" s="4">
        <v>2024</v>
      </c>
      <c r="D881" s="4">
        <v>9</v>
      </c>
      <c r="E881" s="4" t="s">
        <v>79</v>
      </c>
      <c r="F881" s="4" t="s">
        <v>5</v>
      </c>
      <c r="G881" s="4" t="s">
        <v>12</v>
      </c>
      <c r="H881" s="4" t="s">
        <v>86</v>
      </c>
      <c r="I881" s="4" t="s">
        <v>7</v>
      </c>
      <c r="J881" s="4" t="s">
        <v>125</v>
      </c>
      <c r="K881" s="4">
        <v>4</v>
      </c>
      <c r="L881" s="5">
        <v>293.38</v>
      </c>
      <c r="M881" s="5">
        <v>1173.52</v>
      </c>
      <c r="N881" s="5">
        <v>685.2</v>
      </c>
      <c r="O881" s="5">
        <v>488.32</v>
      </c>
      <c r="P881" s="4">
        <f>--AND(OR(Dashboard!$A$10="All",C881=Dashboard!$A$10),OR(Dashboard!$A$14="All",F881=Dashboard!$A$14),OR(Dashboard!$A$18="All",G881=Dashboard!$A$18),OR(Dashboard!$A$22="All",I881=Dashboard!$A$22))</f>
        <v>1</v>
      </c>
    </row>
    <row r="882" spans="1:16" ht="15.75" customHeight="1">
      <c r="A882" s="4" t="s">
        <v>1088</v>
      </c>
      <c r="B882" s="6">
        <v>45731</v>
      </c>
      <c r="C882" s="4">
        <v>2025</v>
      </c>
      <c r="D882" s="4">
        <v>3</v>
      </c>
      <c r="E882" s="4" t="s">
        <v>100</v>
      </c>
      <c r="F882" s="4" t="s">
        <v>5</v>
      </c>
      <c r="G882" s="4" t="s">
        <v>12</v>
      </c>
      <c r="H882" s="4" t="s">
        <v>124</v>
      </c>
      <c r="I882" s="4" t="s">
        <v>7</v>
      </c>
      <c r="J882" s="4" t="s">
        <v>104</v>
      </c>
      <c r="K882" s="4">
        <v>2</v>
      </c>
      <c r="L882" s="5">
        <v>303.55</v>
      </c>
      <c r="M882" s="5">
        <v>607.1</v>
      </c>
      <c r="N882" s="5">
        <v>375.83</v>
      </c>
      <c r="O882" s="5">
        <v>231.27</v>
      </c>
      <c r="P882" s="4">
        <f>--AND(OR(Dashboard!$A$10="All",C882=Dashboard!$A$10),OR(Dashboard!$A$14="All",F882=Dashboard!$A$14),OR(Dashboard!$A$18="All",G882=Dashboard!$A$18),OR(Dashboard!$A$22="All",I882=Dashboard!$A$22))</f>
        <v>1</v>
      </c>
    </row>
    <row r="883" spans="1:16" ht="15.75" customHeight="1">
      <c r="A883" s="4" t="s">
        <v>1089</v>
      </c>
      <c r="B883" s="6">
        <v>46011</v>
      </c>
      <c r="C883" s="4">
        <v>2025</v>
      </c>
      <c r="D883" s="4">
        <v>12</v>
      </c>
      <c r="E883" s="4" t="s">
        <v>57</v>
      </c>
      <c r="F883" s="4" t="s">
        <v>8</v>
      </c>
      <c r="G883" s="4" t="s">
        <v>9</v>
      </c>
      <c r="H883" s="4" t="s">
        <v>110</v>
      </c>
      <c r="I883" s="4" t="s">
        <v>10</v>
      </c>
      <c r="J883" s="4" t="s">
        <v>494</v>
      </c>
      <c r="K883" s="4">
        <v>2</v>
      </c>
      <c r="L883" s="5">
        <v>39.92</v>
      </c>
      <c r="M883" s="5">
        <v>79.84</v>
      </c>
      <c r="N883" s="5">
        <v>38.78</v>
      </c>
      <c r="O883" s="5">
        <v>41.06</v>
      </c>
      <c r="P883" s="4">
        <f>--AND(OR(Dashboard!$A$10="All",C883=Dashboard!$A$10),OR(Dashboard!$A$14="All",F883=Dashboard!$A$14),OR(Dashboard!$A$18="All",G883=Dashboard!$A$18),OR(Dashboard!$A$22="All",I883=Dashboard!$A$22))</f>
        <v>1</v>
      </c>
    </row>
    <row r="884" spans="1:16" ht="15.75" customHeight="1">
      <c r="A884" s="4" t="s">
        <v>1090</v>
      </c>
      <c r="B884" s="6">
        <v>45397</v>
      </c>
      <c r="C884" s="4">
        <v>2024</v>
      </c>
      <c r="D884" s="4">
        <v>4</v>
      </c>
      <c r="E884" s="4" t="s">
        <v>106</v>
      </c>
      <c r="F884" s="4" t="s">
        <v>5</v>
      </c>
      <c r="G884" s="4" t="s">
        <v>6</v>
      </c>
      <c r="H884" s="4" t="s">
        <v>80</v>
      </c>
      <c r="I884" s="4" t="s">
        <v>7</v>
      </c>
      <c r="J884" s="4" t="s">
        <v>131</v>
      </c>
      <c r="K884" s="4">
        <v>4</v>
      </c>
      <c r="L884" s="5">
        <v>116.57</v>
      </c>
      <c r="M884" s="5">
        <v>466.28</v>
      </c>
      <c r="N884" s="5">
        <v>303.14999999999998</v>
      </c>
      <c r="O884" s="5">
        <v>163.13</v>
      </c>
      <c r="P884" s="4">
        <f>--AND(OR(Dashboard!$A$10="All",C884=Dashboard!$A$10),OR(Dashboard!$A$14="All",F884=Dashboard!$A$14),OR(Dashboard!$A$18="All",G884=Dashboard!$A$18),OR(Dashboard!$A$22="All",I884=Dashboard!$A$22))</f>
        <v>1</v>
      </c>
    </row>
    <row r="885" spans="1:16" ht="15.75" customHeight="1">
      <c r="A885" s="4" t="s">
        <v>1091</v>
      </c>
      <c r="B885" s="6">
        <v>45866</v>
      </c>
      <c r="C885" s="4">
        <v>2025</v>
      </c>
      <c r="D885" s="4">
        <v>7</v>
      </c>
      <c r="E885" s="4" t="s">
        <v>63</v>
      </c>
      <c r="F885" s="4" t="s">
        <v>14</v>
      </c>
      <c r="G885" s="4" t="s">
        <v>9</v>
      </c>
      <c r="H885" s="4" t="s">
        <v>64</v>
      </c>
      <c r="I885" s="4" t="s">
        <v>10</v>
      </c>
      <c r="J885" s="4" t="s">
        <v>270</v>
      </c>
      <c r="K885" s="4">
        <v>1</v>
      </c>
      <c r="L885" s="5">
        <v>48.88</v>
      </c>
      <c r="M885" s="5">
        <v>48.88</v>
      </c>
      <c r="N885" s="5">
        <v>23.22</v>
      </c>
      <c r="O885" s="5">
        <v>25.66</v>
      </c>
      <c r="P885" s="4">
        <f>--AND(OR(Dashboard!$A$10="All",C885=Dashboard!$A$10),OR(Dashboard!$A$14="All",F885=Dashboard!$A$14),OR(Dashboard!$A$18="All",G885=Dashboard!$A$18),OR(Dashboard!$A$22="All",I885=Dashboard!$A$22))</f>
        <v>1</v>
      </c>
    </row>
    <row r="886" spans="1:16" ht="15.75" customHeight="1">
      <c r="A886" s="4" t="s">
        <v>1092</v>
      </c>
      <c r="B886" s="6">
        <v>45778</v>
      </c>
      <c r="C886" s="4">
        <v>2025</v>
      </c>
      <c r="D886" s="4">
        <v>5</v>
      </c>
      <c r="E886" s="4" t="s">
        <v>108</v>
      </c>
      <c r="F886" s="4" t="s">
        <v>8</v>
      </c>
      <c r="G886" s="4" t="s">
        <v>9</v>
      </c>
      <c r="H886" s="4" t="s">
        <v>64</v>
      </c>
      <c r="I886" s="4" t="s">
        <v>7</v>
      </c>
      <c r="J886" s="4" t="s">
        <v>285</v>
      </c>
      <c r="K886" s="4">
        <v>3</v>
      </c>
      <c r="L886" s="5">
        <v>44.93</v>
      </c>
      <c r="M886" s="5">
        <v>134.79</v>
      </c>
      <c r="N886" s="5">
        <v>64.44</v>
      </c>
      <c r="O886" s="5">
        <v>70.349999999999994</v>
      </c>
      <c r="P886" s="4">
        <f>--AND(OR(Dashboard!$A$10="All",C886=Dashboard!$A$10),OR(Dashboard!$A$14="All",F886=Dashboard!$A$14),OR(Dashboard!$A$18="All",G886=Dashboard!$A$18),OR(Dashboard!$A$22="All",I886=Dashboard!$A$22))</f>
        <v>1</v>
      </c>
    </row>
    <row r="887" spans="1:16" ht="15.75" customHeight="1">
      <c r="A887" s="4" t="s">
        <v>1093</v>
      </c>
      <c r="B887" s="6">
        <v>45695</v>
      </c>
      <c r="C887" s="4">
        <v>2025</v>
      </c>
      <c r="D887" s="4">
        <v>2</v>
      </c>
      <c r="E887" s="4" t="s">
        <v>70</v>
      </c>
      <c r="F887" s="4" t="s">
        <v>5</v>
      </c>
      <c r="G887" s="4" t="s">
        <v>12</v>
      </c>
      <c r="H887" s="4" t="s">
        <v>124</v>
      </c>
      <c r="I887" s="4" t="s">
        <v>13</v>
      </c>
      <c r="J887" s="4" t="s">
        <v>170</v>
      </c>
      <c r="K887" s="4">
        <v>5</v>
      </c>
      <c r="L887" s="5">
        <v>300.63</v>
      </c>
      <c r="M887" s="5">
        <v>1503.15</v>
      </c>
      <c r="N887" s="5">
        <v>887.5</v>
      </c>
      <c r="O887" s="5">
        <v>615.65</v>
      </c>
      <c r="P887" s="4">
        <f>--AND(OR(Dashboard!$A$10="All",C887=Dashboard!$A$10),OR(Dashboard!$A$14="All",F887=Dashboard!$A$14),OR(Dashboard!$A$18="All",G887=Dashboard!$A$18),OR(Dashboard!$A$22="All",I887=Dashboard!$A$22))</f>
        <v>1</v>
      </c>
    </row>
    <row r="888" spans="1:16" ht="15.75" customHeight="1">
      <c r="A888" s="4" t="s">
        <v>1094</v>
      </c>
      <c r="B888" s="6">
        <v>45483</v>
      </c>
      <c r="C888" s="4">
        <v>2024</v>
      </c>
      <c r="D888" s="4">
        <v>7</v>
      </c>
      <c r="E888" s="4" t="s">
        <v>63</v>
      </c>
      <c r="F888" s="4" t="s">
        <v>11</v>
      </c>
      <c r="G888" s="4" t="s">
        <v>6</v>
      </c>
      <c r="H888" s="4" t="s">
        <v>136</v>
      </c>
      <c r="I888" s="4" t="s">
        <v>7</v>
      </c>
      <c r="J888" s="4" t="s">
        <v>455</v>
      </c>
      <c r="K888" s="4">
        <v>6</v>
      </c>
      <c r="L888" s="5">
        <v>112.84</v>
      </c>
      <c r="M888" s="5">
        <v>677.04</v>
      </c>
      <c r="N888" s="5">
        <v>460.37</v>
      </c>
      <c r="O888" s="5">
        <v>216.67</v>
      </c>
      <c r="P888" s="4">
        <f>--AND(OR(Dashboard!$A$10="All",C888=Dashboard!$A$10),OR(Dashboard!$A$14="All",F888=Dashboard!$A$14),OR(Dashboard!$A$18="All",G888=Dashboard!$A$18),OR(Dashboard!$A$22="All",I888=Dashboard!$A$22))</f>
        <v>1</v>
      </c>
    </row>
    <row r="889" spans="1:16" ht="15.75" customHeight="1">
      <c r="A889" s="4" t="s">
        <v>1095</v>
      </c>
      <c r="B889" s="6">
        <v>45633</v>
      </c>
      <c r="C889" s="4">
        <v>2024</v>
      </c>
      <c r="D889" s="4">
        <v>12</v>
      </c>
      <c r="E889" s="4" t="s">
        <v>57</v>
      </c>
      <c r="F889" s="4" t="s">
        <v>8</v>
      </c>
      <c r="G889" s="4" t="s">
        <v>9</v>
      </c>
      <c r="H889" s="4" t="s">
        <v>110</v>
      </c>
      <c r="I889" s="4" t="s">
        <v>7</v>
      </c>
      <c r="J889" s="4" t="s">
        <v>177</v>
      </c>
      <c r="K889" s="4">
        <v>2</v>
      </c>
      <c r="L889" s="5">
        <v>61.27</v>
      </c>
      <c r="M889" s="5">
        <v>122.54</v>
      </c>
      <c r="N889" s="5">
        <v>64.319999999999993</v>
      </c>
      <c r="O889" s="5">
        <v>58.22</v>
      </c>
      <c r="P889" s="4">
        <f>--AND(OR(Dashboard!$A$10="All",C889=Dashboard!$A$10),OR(Dashboard!$A$14="All",F889=Dashboard!$A$14),OR(Dashboard!$A$18="All",G889=Dashboard!$A$18),OR(Dashboard!$A$22="All",I889=Dashboard!$A$22))</f>
        <v>1</v>
      </c>
    </row>
    <row r="890" spans="1:16" ht="15.75" customHeight="1">
      <c r="A890" s="4" t="s">
        <v>1096</v>
      </c>
      <c r="B890" s="6">
        <v>45791</v>
      </c>
      <c r="C890" s="4">
        <v>2025</v>
      </c>
      <c r="D890" s="4">
        <v>5</v>
      </c>
      <c r="E890" s="4" t="s">
        <v>108</v>
      </c>
      <c r="F890" s="4" t="s">
        <v>8</v>
      </c>
      <c r="G890" s="4" t="s">
        <v>9</v>
      </c>
      <c r="H890" s="4" t="s">
        <v>64</v>
      </c>
      <c r="I890" s="4" t="s">
        <v>7</v>
      </c>
      <c r="J890" s="4" t="s">
        <v>153</v>
      </c>
      <c r="K890" s="4">
        <v>1</v>
      </c>
      <c r="L890" s="5">
        <v>42.75</v>
      </c>
      <c r="M890" s="5">
        <v>42.75</v>
      </c>
      <c r="N890" s="5">
        <v>20.440000000000001</v>
      </c>
      <c r="O890" s="5">
        <v>22.31</v>
      </c>
      <c r="P890" s="4">
        <f>--AND(OR(Dashboard!$A$10="All",C890=Dashboard!$A$10),OR(Dashboard!$A$14="All",F890=Dashboard!$A$14),OR(Dashboard!$A$18="All",G890=Dashboard!$A$18),OR(Dashboard!$A$22="All",I890=Dashboard!$A$22))</f>
        <v>1</v>
      </c>
    </row>
    <row r="891" spans="1:16" ht="15.75" customHeight="1">
      <c r="A891" s="4" t="s">
        <v>1097</v>
      </c>
      <c r="B891" s="6">
        <v>45440</v>
      </c>
      <c r="C891" s="4">
        <v>2024</v>
      </c>
      <c r="D891" s="4">
        <v>5</v>
      </c>
      <c r="E891" s="4" t="s">
        <v>108</v>
      </c>
      <c r="F891" s="4" t="s">
        <v>5</v>
      </c>
      <c r="G891" s="4" t="s">
        <v>9</v>
      </c>
      <c r="H891" s="4" t="s">
        <v>64</v>
      </c>
      <c r="I891" s="4" t="s">
        <v>7</v>
      </c>
      <c r="J891" s="4" t="s">
        <v>528</v>
      </c>
      <c r="K891" s="4">
        <v>3</v>
      </c>
      <c r="L891" s="5">
        <v>64.7</v>
      </c>
      <c r="M891" s="5">
        <v>194.1</v>
      </c>
      <c r="N891" s="5">
        <v>92.59</v>
      </c>
      <c r="O891" s="5">
        <v>101.51</v>
      </c>
      <c r="P891" s="4">
        <f>--AND(OR(Dashboard!$A$10="All",C891=Dashboard!$A$10),OR(Dashboard!$A$14="All",F891=Dashboard!$A$14),OR(Dashboard!$A$18="All",G891=Dashboard!$A$18),OR(Dashboard!$A$22="All",I891=Dashboard!$A$22))</f>
        <v>1</v>
      </c>
    </row>
    <row r="892" spans="1:16" ht="15.75" customHeight="1">
      <c r="A892" s="4" t="s">
        <v>1098</v>
      </c>
      <c r="B892" s="6">
        <v>46018</v>
      </c>
      <c r="C892" s="4">
        <v>2025</v>
      </c>
      <c r="D892" s="4">
        <v>12</v>
      </c>
      <c r="E892" s="4" t="s">
        <v>57</v>
      </c>
      <c r="F892" s="4" t="s">
        <v>8</v>
      </c>
      <c r="G892" s="4" t="s">
        <v>9</v>
      </c>
      <c r="H892" s="4" t="s">
        <v>71</v>
      </c>
      <c r="I892" s="4" t="s">
        <v>10</v>
      </c>
      <c r="J892" s="4" t="s">
        <v>235</v>
      </c>
      <c r="K892" s="4">
        <v>4</v>
      </c>
      <c r="L892" s="5">
        <v>62.97</v>
      </c>
      <c r="M892" s="5">
        <v>251.88</v>
      </c>
      <c r="N892" s="5">
        <v>119.86</v>
      </c>
      <c r="O892" s="5">
        <v>132.02000000000001</v>
      </c>
      <c r="P892" s="4">
        <f>--AND(OR(Dashboard!$A$10="All",C892=Dashboard!$A$10),OR(Dashboard!$A$14="All",F892=Dashboard!$A$14),OR(Dashboard!$A$18="All",G892=Dashboard!$A$18),OR(Dashboard!$A$22="All",I892=Dashboard!$A$22))</f>
        <v>1</v>
      </c>
    </row>
    <row r="893" spans="1:16" ht="15.75" customHeight="1">
      <c r="A893" s="4" t="s">
        <v>1099</v>
      </c>
      <c r="B893" s="6">
        <v>45351</v>
      </c>
      <c r="C893" s="4">
        <v>2024</v>
      </c>
      <c r="D893" s="4">
        <v>2</v>
      </c>
      <c r="E893" s="4" t="s">
        <v>70</v>
      </c>
      <c r="F893" s="4" t="s">
        <v>11</v>
      </c>
      <c r="G893" s="4" t="s">
        <v>12</v>
      </c>
      <c r="H893" s="4" t="s">
        <v>92</v>
      </c>
      <c r="I893" s="4" t="s">
        <v>10</v>
      </c>
      <c r="J893" s="4" t="s">
        <v>336</v>
      </c>
      <c r="K893" s="4">
        <v>1</v>
      </c>
      <c r="L893" s="5">
        <v>212.06</v>
      </c>
      <c r="M893" s="5">
        <v>212.06</v>
      </c>
      <c r="N893" s="5">
        <v>132.33000000000001</v>
      </c>
      <c r="O893" s="5">
        <v>79.73</v>
      </c>
      <c r="P893" s="4">
        <f>--AND(OR(Dashboard!$A$10="All",C893=Dashboard!$A$10),OR(Dashboard!$A$14="All",F893=Dashboard!$A$14),OR(Dashboard!$A$18="All",G893=Dashboard!$A$18),OR(Dashboard!$A$22="All",I893=Dashboard!$A$22))</f>
        <v>1</v>
      </c>
    </row>
    <row r="894" spans="1:16" ht="15.75" customHeight="1">
      <c r="A894" s="4" t="s">
        <v>1100</v>
      </c>
      <c r="B894" s="6">
        <v>45514</v>
      </c>
      <c r="C894" s="4">
        <v>2024</v>
      </c>
      <c r="D894" s="4">
        <v>8</v>
      </c>
      <c r="E894" s="4" t="s">
        <v>67</v>
      </c>
      <c r="F894" s="4" t="s">
        <v>5</v>
      </c>
      <c r="G894" s="4" t="s">
        <v>6</v>
      </c>
      <c r="H894" s="4" t="s">
        <v>136</v>
      </c>
      <c r="I894" s="4" t="s">
        <v>7</v>
      </c>
      <c r="J894" s="4" t="s">
        <v>494</v>
      </c>
      <c r="K894" s="4">
        <v>3</v>
      </c>
      <c r="L894" s="5">
        <v>218.53</v>
      </c>
      <c r="M894" s="5">
        <v>655.59</v>
      </c>
      <c r="N894" s="5">
        <v>444.75</v>
      </c>
      <c r="O894" s="5">
        <v>210.84</v>
      </c>
      <c r="P894" s="4">
        <f>--AND(OR(Dashboard!$A$10="All",C894=Dashboard!$A$10),OR(Dashboard!$A$14="All",F894=Dashboard!$A$14),OR(Dashboard!$A$18="All",G894=Dashboard!$A$18),OR(Dashboard!$A$22="All",I894=Dashboard!$A$22))</f>
        <v>1</v>
      </c>
    </row>
    <row r="895" spans="1:16" ht="15.75" customHeight="1">
      <c r="A895" s="4" t="s">
        <v>1101</v>
      </c>
      <c r="B895" s="6">
        <v>45885</v>
      </c>
      <c r="C895" s="4">
        <v>2025</v>
      </c>
      <c r="D895" s="4">
        <v>8</v>
      </c>
      <c r="E895" s="4" t="s">
        <v>67</v>
      </c>
      <c r="F895" s="4" t="s">
        <v>5</v>
      </c>
      <c r="G895" s="4" t="s">
        <v>12</v>
      </c>
      <c r="H895" s="4" t="s">
        <v>127</v>
      </c>
      <c r="I895" s="4" t="s">
        <v>7</v>
      </c>
      <c r="J895" s="4" t="s">
        <v>118</v>
      </c>
      <c r="K895" s="4">
        <v>2</v>
      </c>
      <c r="L895" s="5">
        <v>263.98</v>
      </c>
      <c r="M895" s="5">
        <v>527.96</v>
      </c>
      <c r="N895" s="5">
        <v>330.53</v>
      </c>
      <c r="O895" s="5">
        <v>197.43</v>
      </c>
      <c r="P895" s="4">
        <f>--AND(OR(Dashboard!$A$10="All",C895=Dashboard!$A$10),OR(Dashboard!$A$14="All",F895=Dashboard!$A$14),OR(Dashboard!$A$18="All",G895=Dashboard!$A$18),OR(Dashboard!$A$22="All",I895=Dashboard!$A$22))</f>
        <v>1</v>
      </c>
    </row>
    <row r="896" spans="1:16" ht="15.75" customHeight="1">
      <c r="A896" s="4" t="s">
        <v>1102</v>
      </c>
      <c r="B896" s="6">
        <v>45431</v>
      </c>
      <c r="C896" s="4">
        <v>2024</v>
      </c>
      <c r="D896" s="4">
        <v>5</v>
      </c>
      <c r="E896" s="4" t="s">
        <v>108</v>
      </c>
      <c r="F896" s="4" t="s">
        <v>8</v>
      </c>
      <c r="G896" s="4" t="s">
        <v>9</v>
      </c>
      <c r="H896" s="4" t="s">
        <v>35</v>
      </c>
      <c r="I896" s="4" t="s">
        <v>13</v>
      </c>
      <c r="J896" s="4" t="s">
        <v>191</v>
      </c>
      <c r="K896" s="4">
        <v>8</v>
      </c>
      <c r="L896" s="5">
        <v>54.84</v>
      </c>
      <c r="M896" s="5">
        <v>438.72</v>
      </c>
      <c r="N896" s="5">
        <v>214.36</v>
      </c>
      <c r="O896" s="5">
        <v>224.36</v>
      </c>
      <c r="P896" s="4">
        <f>--AND(OR(Dashboard!$A$10="All",C896=Dashboard!$A$10),OR(Dashboard!$A$14="All",F896=Dashboard!$A$14),OR(Dashboard!$A$18="All",G896=Dashboard!$A$18),OR(Dashboard!$A$22="All",I896=Dashboard!$A$22))</f>
        <v>1</v>
      </c>
    </row>
    <row r="897" spans="1:16" ht="15.75" customHeight="1">
      <c r="A897" s="4" t="s">
        <v>1103</v>
      </c>
      <c r="B897" s="6">
        <v>45466</v>
      </c>
      <c r="C897" s="4">
        <v>2024</v>
      </c>
      <c r="D897" s="4">
        <v>6</v>
      </c>
      <c r="E897" s="4" t="s">
        <v>34</v>
      </c>
      <c r="F897" s="4" t="s">
        <v>8</v>
      </c>
      <c r="G897" s="4" t="s">
        <v>9</v>
      </c>
      <c r="H897" s="4" t="s">
        <v>110</v>
      </c>
      <c r="I897" s="4" t="s">
        <v>7</v>
      </c>
      <c r="J897" s="4" t="s">
        <v>314</v>
      </c>
      <c r="K897" s="4">
        <v>1</v>
      </c>
      <c r="L897" s="5">
        <v>30.78</v>
      </c>
      <c r="M897" s="5">
        <v>30.78</v>
      </c>
      <c r="N897" s="5">
        <v>14.83</v>
      </c>
      <c r="O897" s="5">
        <v>15.95</v>
      </c>
      <c r="P897" s="4">
        <f>--AND(OR(Dashboard!$A$10="All",C897=Dashboard!$A$10),OR(Dashboard!$A$14="All",F897=Dashboard!$A$14),OR(Dashboard!$A$18="All",G897=Dashboard!$A$18),OR(Dashboard!$A$22="All",I897=Dashboard!$A$22))</f>
        <v>1</v>
      </c>
    </row>
    <row r="898" spans="1:16" ht="15.75" customHeight="1">
      <c r="A898" s="4" t="s">
        <v>1104</v>
      </c>
      <c r="B898" s="6">
        <v>45870</v>
      </c>
      <c r="C898" s="4">
        <v>2025</v>
      </c>
      <c r="D898" s="4">
        <v>8</v>
      </c>
      <c r="E898" s="4" t="s">
        <v>67</v>
      </c>
      <c r="F898" s="4" t="s">
        <v>5</v>
      </c>
      <c r="G898" s="4" t="s">
        <v>12</v>
      </c>
      <c r="H898" s="4" t="s">
        <v>127</v>
      </c>
      <c r="I898" s="4" t="s">
        <v>7</v>
      </c>
      <c r="J898" s="4" t="s">
        <v>344</v>
      </c>
      <c r="K898" s="4">
        <v>7</v>
      </c>
      <c r="L898" s="5">
        <v>181.25</v>
      </c>
      <c r="M898" s="5">
        <v>1268.75</v>
      </c>
      <c r="N898" s="5">
        <v>733.51</v>
      </c>
      <c r="O898" s="5">
        <v>535.24</v>
      </c>
      <c r="P898" s="4">
        <f>--AND(OR(Dashboard!$A$10="All",C898=Dashboard!$A$10),OR(Dashboard!$A$14="All",F898=Dashboard!$A$14),OR(Dashboard!$A$18="All",G898=Dashboard!$A$18),OR(Dashboard!$A$22="All",I898=Dashboard!$A$22))</f>
        <v>1</v>
      </c>
    </row>
    <row r="899" spans="1:16" ht="15.75" customHeight="1">
      <c r="A899" s="4" t="s">
        <v>1105</v>
      </c>
      <c r="B899" s="6">
        <v>45451</v>
      </c>
      <c r="C899" s="4">
        <v>2024</v>
      </c>
      <c r="D899" s="4">
        <v>6</v>
      </c>
      <c r="E899" s="4" t="s">
        <v>34</v>
      </c>
      <c r="F899" s="4" t="s">
        <v>5</v>
      </c>
      <c r="G899" s="4" t="s">
        <v>6</v>
      </c>
      <c r="H899" s="4" t="s">
        <v>80</v>
      </c>
      <c r="I899" s="4" t="s">
        <v>7</v>
      </c>
      <c r="J899" s="4" t="s">
        <v>460</v>
      </c>
      <c r="K899" s="4">
        <v>1</v>
      </c>
      <c r="L899" s="5">
        <v>186.75</v>
      </c>
      <c r="M899" s="5">
        <v>186.75</v>
      </c>
      <c r="N899" s="5">
        <v>124.84</v>
      </c>
      <c r="O899" s="5">
        <v>61.91</v>
      </c>
      <c r="P899" s="4">
        <f>--AND(OR(Dashboard!$A$10="All",C899=Dashboard!$A$10),OR(Dashboard!$A$14="All",F899=Dashboard!$A$14),OR(Dashboard!$A$18="All",G899=Dashboard!$A$18),OR(Dashboard!$A$22="All",I899=Dashboard!$A$22))</f>
        <v>1</v>
      </c>
    </row>
    <row r="900" spans="1:16" ht="15.75" customHeight="1">
      <c r="A900" s="4" t="s">
        <v>1106</v>
      </c>
      <c r="B900" s="6">
        <v>45742</v>
      </c>
      <c r="C900" s="4">
        <v>2025</v>
      </c>
      <c r="D900" s="4">
        <v>3</v>
      </c>
      <c r="E900" s="4" t="s">
        <v>100</v>
      </c>
      <c r="F900" s="4" t="s">
        <v>5</v>
      </c>
      <c r="G900" s="4" t="s">
        <v>12</v>
      </c>
      <c r="H900" s="4" t="s">
        <v>58</v>
      </c>
      <c r="I900" s="4" t="s">
        <v>7</v>
      </c>
      <c r="J900" s="4" t="s">
        <v>211</v>
      </c>
      <c r="K900" s="4">
        <v>1</v>
      </c>
      <c r="L900" s="5">
        <v>190.37</v>
      </c>
      <c r="M900" s="5">
        <v>190.37</v>
      </c>
      <c r="N900" s="5">
        <v>113.21</v>
      </c>
      <c r="O900" s="5">
        <v>77.16</v>
      </c>
      <c r="P900" s="4">
        <f>--AND(OR(Dashboard!$A$10="All",C900=Dashboard!$A$10),OR(Dashboard!$A$14="All",F900=Dashboard!$A$14),OR(Dashboard!$A$18="All",G900=Dashboard!$A$18),OR(Dashboard!$A$22="All",I900=Dashboard!$A$22))</f>
        <v>1</v>
      </c>
    </row>
    <row r="901" spans="1:16" ht="15.75" customHeight="1">
      <c r="A901" s="4" t="s">
        <v>1107</v>
      </c>
      <c r="B901" s="6">
        <v>45297</v>
      </c>
      <c r="C901" s="4">
        <v>2024</v>
      </c>
      <c r="D901" s="4">
        <v>1</v>
      </c>
      <c r="E901" s="4" t="s">
        <v>30</v>
      </c>
      <c r="F901" s="4" t="s">
        <v>5</v>
      </c>
      <c r="G901" s="4" t="s">
        <v>9</v>
      </c>
      <c r="H901" s="4" t="s">
        <v>35</v>
      </c>
      <c r="I901" s="4" t="s">
        <v>7</v>
      </c>
      <c r="J901" s="4" t="s">
        <v>87</v>
      </c>
      <c r="K901" s="4">
        <v>1</v>
      </c>
      <c r="L901" s="5">
        <v>52.82</v>
      </c>
      <c r="M901" s="5">
        <v>52.82</v>
      </c>
      <c r="N901" s="5">
        <v>27.34</v>
      </c>
      <c r="O901" s="5">
        <v>25.48</v>
      </c>
      <c r="P901" s="4">
        <f>--AND(OR(Dashboard!$A$10="All",C901=Dashboard!$A$10),OR(Dashboard!$A$14="All",F901=Dashboard!$A$14),OR(Dashboard!$A$18="All",G901=Dashboard!$A$18),OR(Dashboard!$A$22="All",I901=Dashboard!$A$22))</f>
        <v>1</v>
      </c>
    </row>
    <row r="902" spans="1:16" ht="15.75" customHeight="1">
      <c r="A902" s="4" t="s">
        <v>1108</v>
      </c>
      <c r="B902" s="6">
        <v>45846</v>
      </c>
      <c r="C902" s="4">
        <v>2025</v>
      </c>
      <c r="D902" s="4">
        <v>7</v>
      </c>
      <c r="E902" s="4" t="s">
        <v>63</v>
      </c>
      <c r="F902" s="4" t="s">
        <v>8</v>
      </c>
      <c r="G902" s="4" t="s">
        <v>9</v>
      </c>
      <c r="H902" s="4" t="s">
        <v>142</v>
      </c>
      <c r="I902" s="4" t="s">
        <v>13</v>
      </c>
      <c r="J902" s="4" t="s">
        <v>292</v>
      </c>
      <c r="K902" s="4">
        <v>2</v>
      </c>
      <c r="L902" s="5">
        <v>37.69</v>
      </c>
      <c r="M902" s="5">
        <v>75.38</v>
      </c>
      <c r="N902" s="5">
        <v>38.880000000000003</v>
      </c>
      <c r="O902" s="5">
        <v>36.5</v>
      </c>
      <c r="P902" s="4">
        <f>--AND(OR(Dashboard!$A$10="All",C902=Dashboard!$A$10),OR(Dashboard!$A$14="All",F902=Dashboard!$A$14),OR(Dashboard!$A$18="All",G902=Dashboard!$A$18),OR(Dashboard!$A$22="All",I902=Dashboard!$A$22))</f>
        <v>1</v>
      </c>
    </row>
    <row r="903" spans="1:16" ht="15.75" customHeight="1">
      <c r="A903" s="4" t="s">
        <v>1109</v>
      </c>
      <c r="B903" s="6">
        <v>45573</v>
      </c>
      <c r="C903" s="4">
        <v>2024</v>
      </c>
      <c r="D903" s="4">
        <v>10</v>
      </c>
      <c r="E903" s="4" t="s">
        <v>120</v>
      </c>
      <c r="F903" s="4" t="s">
        <v>8</v>
      </c>
      <c r="G903" s="4" t="s">
        <v>9</v>
      </c>
      <c r="H903" s="4" t="s">
        <v>71</v>
      </c>
      <c r="I903" s="4" t="s">
        <v>13</v>
      </c>
      <c r="J903" s="4" t="s">
        <v>247</v>
      </c>
      <c r="K903" s="4">
        <v>5</v>
      </c>
      <c r="L903" s="5">
        <v>40.020000000000003</v>
      </c>
      <c r="M903" s="5">
        <v>200.1</v>
      </c>
      <c r="N903" s="5">
        <v>98.07</v>
      </c>
      <c r="O903" s="5">
        <v>102.03</v>
      </c>
      <c r="P903" s="4">
        <f>--AND(OR(Dashboard!$A$10="All",C903=Dashboard!$A$10),OR(Dashboard!$A$14="All",F903=Dashboard!$A$14),OR(Dashboard!$A$18="All",G903=Dashboard!$A$18),OR(Dashboard!$A$22="All",I903=Dashboard!$A$22))</f>
        <v>1</v>
      </c>
    </row>
    <row r="904" spans="1:16" ht="15.75" customHeight="1">
      <c r="A904" s="4" t="s">
        <v>1110</v>
      </c>
      <c r="B904" s="6">
        <v>45398</v>
      </c>
      <c r="C904" s="4">
        <v>2024</v>
      </c>
      <c r="D904" s="4">
        <v>4</v>
      </c>
      <c r="E904" s="4" t="s">
        <v>106</v>
      </c>
      <c r="F904" s="4" t="s">
        <v>11</v>
      </c>
      <c r="G904" s="4" t="s">
        <v>12</v>
      </c>
      <c r="H904" s="4" t="s">
        <v>86</v>
      </c>
      <c r="I904" s="4" t="s">
        <v>7</v>
      </c>
      <c r="J904" s="4" t="s">
        <v>348</v>
      </c>
      <c r="K904" s="4">
        <v>3</v>
      </c>
      <c r="L904" s="5">
        <v>248.49</v>
      </c>
      <c r="M904" s="5">
        <v>745.47</v>
      </c>
      <c r="N904" s="5">
        <v>426.03</v>
      </c>
      <c r="O904" s="5">
        <v>319.44</v>
      </c>
      <c r="P904" s="4">
        <f>--AND(OR(Dashboard!$A$10="All",C904=Dashboard!$A$10),OR(Dashboard!$A$14="All",F904=Dashboard!$A$14),OR(Dashboard!$A$18="All",G904=Dashboard!$A$18),OR(Dashboard!$A$22="All",I904=Dashboard!$A$22))</f>
        <v>1</v>
      </c>
    </row>
    <row r="905" spans="1:16" ht="15.75" customHeight="1">
      <c r="A905" s="4" t="s">
        <v>1111</v>
      </c>
      <c r="B905" s="6">
        <v>45597</v>
      </c>
      <c r="C905" s="4">
        <v>2024</v>
      </c>
      <c r="D905" s="4">
        <v>11</v>
      </c>
      <c r="E905" s="4" t="s">
        <v>89</v>
      </c>
      <c r="F905" s="4" t="s">
        <v>11</v>
      </c>
      <c r="G905" s="4" t="s">
        <v>12</v>
      </c>
      <c r="H905" s="4" t="s">
        <v>86</v>
      </c>
      <c r="I905" s="4" t="s">
        <v>7</v>
      </c>
      <c r="J905" s="4" t="s">
        <v>460</v>
      </c>
      <c r="K905" s="4">
        <v>4</v>
      </c>
      <c r="L905" s="5">
        <v>136.84</v>
      </c>
      <c r="M905" s="5">
        <v>547.36</v>
      </c>
      <c r="N905" s="5">
        <v>334.52</v>
      </c>
      <c r="O905" s="5">
        <v>212.84</v>
      </c>
      <c r="P905" s="4">
        <f>--AND(OR(Dashboard!$A$10="All",C905=Dashboard!$A$10),OR(Dashboard!$A$14="All",F905=Dashboard!$A$14),OR(Dashboard!$A$18="All",G905=Dashboard!$A$18),OR(Dashboard!$A$22="All",I905=Dashboard!$A$22))</f>
        <v>1</v>
      </c>
    </row>
    <row r="906" spans="1:16" ht="15.75" customHeight="1">
      <c r="A906" s="4" t="s">
        <v>1112</v>
      </c>
      <c r="B906" s="6">
        <v>45603</v>
      </c>
      <c r="C906" s="4">
        <v>2024</v>
      </c>
      <c r="D906" s="4">
        <v>11</v>
      </c>
      <c r="E906" s="4" t="s">
        <v>89</v>
      </c>
      <c r="F906" s="4" t="s">
        <v>5</v>
      </c>
      <c r="G906" s="4" t="s">
        <v>9</v>
      </c>
      <c r="H906" s="4" t="s">
        <v>142</v>
      </c>
      <c r="I906" s="4" t="s">
        <v>7</v>
      </c>
      <c r="J906" s="4" t="s">
        <v>128</v>
      </c>
      <c r="K906" s="4">
        <v>6</v>
      </c>
      <c r="L906" s="5">
        <v>61</v>
      </c>
      <c r="M906" s="5">
        <v>366</v>
      </c>
      <c r="N906" s="5">
        <v>179.79</v>
      </c>
      <c r="O906" s="5">
        <v>186.21</v>
      </c>
      <c r="P906" s="4">
        <f>--AND(OR(Dashboard!$A$10="All",C906=Dashboard!$A$10),OR(Dashboard!$A$14="All",F906=Dashboard!$A$14),OR(Dashboard!$A$18="All",G906=Dashboard!$A$18),OR(Dashboard!$A$22="All",I906=Dashboard!$A$22))</f>
        <v>1</v>
      </c>
    </row>
    <row r="907" spans="1:16" ht="15.75" customHeight="1">
      <c r="A907" s="4" t="s">
        <v>1113</v>
      </c>
      <c r="B907" s="6">
        <v>45894</v>
      </c>
      <c r="C907" s="4">
        <v>2025</v>
      </c>
      <c r="D907" s="4">
        <v>8</v>
      </c>
      <c r="E907" s="4" t="s">
        <v>67</v>
      </c>
      <c r="F907" s="4" t="s">
        <v>5</v>
      </c>
      <c r="G907" s="4" t="s">
        <v>6</v>
      </c>
      <c r="H907" s="4" t="s">
        <v>98</v>
      </c>
      <c r="I907" s="4" t="s">
        <v>7</v>
      </c>
      <c r="J907" s="4" t="s">
        <v>211</v>
      </c>
      <c r="K907" s="4">
        <v>5</v>
      </c>
      <c r="L907" s="5">
        <v>183.25</v>
      </c>
      <c r="M907" s="5">
        <v>916.25</v>
      </c>
      <c r="N907" s="5">
        <v>605.49</v>
      </c>
      <c r="O907" s="5">
        <v>310.76</v>
      </c>
      <c r="P907" s="4">
        <f>--AND(OR(Dashboard!$A$10="All",C907=Dashboard!$A$10),OR(Dashboard!$A$14="All",F907=Dashboard!$A$14),OR(Dashboard!$A$18="All",G907=Dashboard!$A$18),OR(Dashboard!$A$22="All",I907=Dashboard!$A$22))</f>
        <v>1</v>
      </c>
    </row>
    <row r="908" spans="1:16" ht="15.75" customHeight="1">
      <c r="A908" s="4" t="s">
        <v>1114</v>
      </c>
      <c r="B908" s="6">
        <v>45372</v>
      </c>
      <c r="C908" s="4">
        <v>2024</v>
      </c>
      <c r="D908" s="4">
        <v>3</v>
      </c>
      <c r="E908" s="4" t="s">
        <v>100</v>
      </c>
      <c r="F908" s="4" t="s">
        <v>5</v>
      </c>
      <c r="G908" s="4" t="s">
        <v>9</v>
      </c>
      <c r="H908" s="4" t="s">
        <v>142</v>
      </c>
      <c r="I908" s="4" t="s">
        <v>7</v>
      </c>
      <c r="J908" s="4" t="s">
        <v>65</v>
      </c>
      <c r="K908" s="4">
        <v>10</v>
      </c>
      <c r="L908" s="5">
        <v>64.48</v>
      </c>
      <c r="M908" s="5">
        <v>644.79999999999995</v>
      </c>
      <c r="N908" s="5">
        <v>332.33</v>
      </c>
      <c r="O908" s="5">
        <v>312.47000000000003</v>
      </c>
      <c r="P908" s="4">
        <f>--AND(OR(Dashboard!$A$10="All",C908=Dashboard!$A$10),OR(Dashboard!$A$14="All",F908=Dashboard!$A$14),OR(Dashboard!$A$18="All",G908=Dashboard!$A$18),OR(Dashboard!$A$22="All",I908=Dashboard!$A$22))</f>
        <v>1</v>
      </c>
    </row>
    <row r="909" spans="1:16" ht="15.75" customHeight="1">
      <c r="A909" s="4" t="s">
        <v>1115</v>
      </c>
      <c r="B909" s="6">
        <v>45678</v>
      </c>
      <c r="C909" s="4">
        <v>2025</v>
      </c>
      <c r="D909" s="4">
        <v>1</v>
      </c>
      <c r="E909" s="4" t="s">
        <v>30</v>
      </c>
      <c r="F909" s="4" t="s">
        <v>8</v>
      </c>
      <c r="G909" s="4" t="s">
        <v>9</v>
      </c>
      <c r="H909" s="4" t="s">
        <v>64</v>
      </c>
      <c r="I909" s="4" t="s">
        <v>7</v>
      </c>
      <c r="J909" s="4" t="s">
        <v>280</v>
      </c>
      <c r="K909" s="4">
        <v>1</v>
      </c>
      <c r="L909" s="5">
        <v>35.090000000000003</v>
      </c>
      <c r="M909" s="5">
        <v>35.090000000000003</v>
      </c>
      <c r="N909" s="5">
        <v>16.84</v>
      </c>
      <c r="O909" s="5">
        <v>18.25</v>
      </c>
      <c r="P909" s="4">
        <f>--AND(OR(Dashboard!$A$10="All",C909=Dashboard!$A$10),OR(Dashboard!$A$14="All",F909=Dashboard!$A$14),OR(Dashboard!$A$18="All",G909=Dashboard!$A$18),OR(Dashboard!$A$22="All",I909=Dashboard!$A$22))</f>
        <v>1</v>
      </c>
    </row>
    <row r="910" spans="1:16" ht="15.75" customHeight="1">
      <c r="A910" s="4" t="s">
        <v>1116</v>
      </c>
      <c r="B910" s="6">
        <v>45481</v>
      </c>
      <c r="C910" s="4">
        <v>2024</v>
      </c>
      <c r="D910" s="4">
        <v>7</v>
      </c>
      <c r="E910" s="4" t="s">
        <v>63</v>
      </c>
      <c r="F910" s="4" t="s">
        <v>5</v>
      </c>
      <c r="G910" s="4" t="s">
        <v>9</v>
      </c>
      <c r="H910" s="4" t="s">
        <v>35</v>
      </c>
      <c r="I910" s="4" t="s">
        <v>7</v>
      </c>
      <c r="J910" s="4" t="s">
        <v>417</v>
      </c>
      <c r="K910" s="4">
        <v>1</v>
      </c>
      <c r="L910" s="5">
        <v>60.14</v>
      </c>
      <c r="M910" s="5">
        <v>60.14</v>
      </c>
      <c r="N910" s="5">
        <v>28.76</v>
      </c>
      <c r="O910" s="5">
        <v>31.38</v>
      </c>
      <c r="P910" s="4">
        <f>--AND(OR(Dashboard!$A$10="All",C910=Dashboard!$A$10),OR(Dashboard!$A$14="All",F910=Dashboard!$A$14),OR(Dashboard!$A$18="All",G910=Dashboard!$A$18),OR(Dashboard!$A$22="All",I910=Dashboard!$A$22))</f>
        <v>1</v>
      </c>
    </row>
    <row r="911" spans="1:16" ht="15.75" customHeight="1">
      <c r="A911" s="4" t="s">
        <v>1117</v>
      </c>
      <c r="B911" s="6">
        <v>45401</v>
      </c>
      <c r="C911" s="4">
        <v>2024</v>
      </c>
      <c r="D911" s="4">
        <v>4</v>
      </c>
      <c r="E911" s="4" t="s">
        <v>106</v>
      </c>
      <c r="F911" s="4" t="s">
        <v>5</v>
      </c>
      <c r="G911" s="4" t="s">
        <v>12</v>
      </c>
      <c r="H911" s="4" t="s">
        <v>92</v>
      </c>
      <c r="I911" s="4" t="s">
        <v>7</v>
      </c>
      <c r="J911" s="4" t="s">
        <v>191</v>
      </c>
      <c r="K911" s="4">
        <v>1</v>
      </c>
      <c r="L911" s="5">
        <v>282.95</v>
      </c>
      <c r="M911" s="5">
        <v>282.95</v>
      </c>
      <c r="N911" s="5">
        <v>161.41</v>
      </c>
      <c r="O911" s="5">
        <v>121.54</v>
      </c>
      <c r="P911" s="4">
        <f>--AND(OR(Dashboard!$A$10="All",C911=Dashboard!$A$10),OR(Dashboard!$A$14="All",F911=Dashboard!$A$14),OR(Dashboard!$A$18="All",G911=Dashboard!$A$18),OR(Dashboard!$A$22="All",I911=Dashboard!$A$22))</f>
        <v>1</v>
      </c>
    </row>
    <row r="912" spans="1:16" ht="15.75" customHeight="1">
      <c r="A912" s="4" t="s">
        <v>1118</v>
      </c>
      <c r="B912" s="6">
        <v>45516</v>
      </c>
      <c r="C912" s="4">
        <v>2024</v>
      </c>
      <c r="D912" s="4">
        <v>8</v>
      </c>
      <c r="E912" s="4" t="s">
        <v>67</v>
      </c>
      <c r="F912" s="4" t="s">
        <v>8</v>
      </c>
      <c r="G912" s="4" t="s">
        <v>6</v>
      </c>
      <c r="H912" s="4" t="s">
        <v>80</v>
      </c>
      <c r="I912" s="4" t="s">
        <v>7</v>
      </c>
      <c r="J912" s="4" t="s">
        <v>346</v>
      </c>
      <c r="K912" s="4">
        <v>5</v>
      </c>
      <c r="L912" s="5">
        <v>187.86</v>
      </c>
      <c r="M912" s="5">
        <v>939.3</v>
      </c>
      <c r="N912" s="5">
        <v>600.51</v>
      </c>
      <c r="O912" s="5">
        <v>338.79</v>
      </c>
      <c r="P912" s="4">
        <f>--AND(OR(Dashboard!$A$10="All",C912=Dashboard!$A$10),OR(Dashboard!$A$14="All",F912=Dashboard!$A$14),OR(Dashboard!$A$18="All",G912=Dashboard!$A$18),OR(Dashboard!$A$22="All",I912=Dashboard!$A$22))</f>
        <v>1</v>
      </c>
    </row>
    <row r="913" spans="1:16" ht="15.75" customHeight="1">
      <c r="A913" s="4" t="s">
        <v>1119</v>
      </c>
      <c r="B913" s="6">
        <v>45424</v>
      </c>
      <c r="C913" s="4">
        <v>2024</v>
      </c>
      <c r="D913" s="4">
        <v>5</v>
      </c>
      <c r="E913" s="4" t="s">
        <v>108</v>
      </c>
      <c r="F913" s="4" t="s">
        <v>11</v>
      </c>
      <c r="G913" s="4" t="s">
        <v>9</v>
      </c>
      <c r="H913" s="4" t="s">
        <v>71</v>
      </c>
      <c r="I913" s="4" t="s">
        <v>7</v>
      </c>
      <c r="J913" s="4" t="s">
        <v>144</v>
      </c>
      <c r="K913" s="4">
        <v>4</v>
      </c>
      <c r="L913" s="5">
        <v>44.19</v>
      </c>
      <c r="M913" s="5">
        <v>176.76</v>
      </c>
      <c r="N913" s="5">
        <v>86.59</v>
      </c>
      <c r="O913" s="5">
        <v>90.17</v>
      </c>
      <c r="P913" s="4">
        <f>--AND(OR(Dashboard!$A$10="All",C913=Dashboard!$A$10),OR(Dashboard!$A$14="All",F913=Dashboard!$A$14),OR(Dashboard!$A$18="All",G913=Dashboard!$A$18),OR(Dashboard!$A$22="All",I913=Dashboard!$A$22))</f>
        <v>1</v>
      </c>
    </row>
    <row r="914" spans="1:16" ht="15.75" customHeight="1">
      <c r="A914" s="4" t="s">
        <v>1120</v>
      </c>
      <c r="B914" s="6">
        <v>45490</v>
      </c>
      <c r="C914" s="4">
        <v>2024</v>
      </c>
      <c r="D914" s="4">
        <v>7</v>
      </c>
      <c r="E914" s="4" t="s">
        <v>63</v>
      </c>
      <c r="F914" s="4" t="s">
        <v>8</v>
      </c>
      <c r="G914" s="4" t="s">
        <v>9</v>
      </c>
      <c r="H914" s="4" t="s">
        <v>142</v>
      </c>
      <c r="I914" s="4" t="s">
        <v>7</v>
      </c>
      <c r="J914" s="4" t="s">
        <v>104</v>
      </c>
      <c r="K914" s="4">
        <v>7</v>
      </c>
      <c r="L914" s="5">
        <v>52.53</v>
      </c>
      <c r="M914" s="5">
        <v>367.71</v>
      </c>
      <c r="N914" s="5">
        <v>177.62</v>
      </c>
      <c r="O914" s="5">
        <v>190.09</v>
      </c>
      <c r="P914" s="4">
        <f>--AND(OR(Dashboard!$A$10="All",C914=Dashboard!$A$10),OR(Dashboard!$A$14="All",F914=Dashboard!$A$14),OR(Dashboard!$A$18="All",G914=Dashboard!$A$18),OR(Dashboard!$A$22="All",I914=Dashboard!$A$22))</f>
        <v>1</v>
      </c>
    </row>
    <row r="915" spans="1:16" ht="15.75" customHeight="1">
      <c r="A915" s="4" t="s">
        <v>1121</v>
      </c>
      <c r="B915" s="6">
        <v>45407</v>
      </c>
      <c r="C915" s="4">
        <v>2024</v>
      </c>
      <c r="D915" s="4">
        <v>4</v>
      </c>
      <c r="E915" s="4" t="s">
        <v>106</v>
      </c>
      <c r="F915" s="4" t="s">
        <v>14</v>
      </c>
      <c r="G915" s="4" t="s">
        <v>6</v>
      </c>
      <c r="H915" s="4" t="s">
        <v>80</v>
      </c>
      <c r="I915" s="4" t="s">
        <v>7</v>
      </c>
      <c r="J915" s="4" t="s">
        <v>144</v>
      </c>
      <c r="K915" s="4">
        <v>4</v>
      </c>
      <c r="L915" s="5">
        <v>186.97</v>
      </c>
      <c r="M915" s="5">
        <v>747.88</v>
      </c>
      <c r="N915" s="5">
        <v>479.3</v>
      </c>
      <c r="O915" s="5">
        <v>268.58</v>
      </c>
      <c r="P915" s="4">
        <f>--AND(OR(Dashboard!$A$10="All",C915=Dashboard!$A$10),OR(Dashboard!$A$14="All",F915=Dashboard!$A$14),OR(Dashboard!$A$18="All",G915=Dashboard!$A$18),OR(Dashboard!$A$22="All",I915=Dashboard!$A$22))</f>
        <v>1</v>
      </c>
    </row>
    <row r="916" spans="1:16" ht="15.75" customHeight="1">
      <c r="A916" s="4" t="s">
        <v>1122</v>
      </c>
      <c r="B916" s="6">
        <v>45351</v>
      </c>
      <c r="C916" s="4">
        <v>2024</v>
      </c>
      <c r="D916" s="4">
        <v>2</v>
      </c>
      <c r="E916" s="4" t="s">
        <v>70</v>
      </c>
      <c r="F916" s="4" t="s">
        <v>5</v>
      </c>
      <c r="G916" s="4" t="s">
        <v>9</v>
      </c>
      <c r="H916" s="4" t="s">
        <v>110</v>
      </c>
      <c r="I916" s="4" t="s">
        <v>10</v>
      </c>
      <c r="J916" s="4" t="s">
        <v>297</v>
      </c>
      <c r="K916" s="4">
        <v>5</v>
      </c>
      <c r="L916" s="5">
        <v>44.88</v>
      </c>
      <c r="M916" s="5">
        <v>224.4</v>
      </c>
      <c r="N916" s="5">
        <v>113.1</v>
      </c>
      <c r="O916" s="5">
        <v>111.3</v>
      </c>
      <c r="P916" s="4">
        <f>--AND(OR(Dashboard!$A$10="All",C916=Dashboard!$A$10),OR(Dashboard!$A$14="All",F916=Dashboard!$A$14),OR(Dashboard!$A$18="All",G916=Dashboard!$A$18),OR(Dashboard!$A$22="All",I916=Dashboard!$A$22))</f>
        <v>1</v>
      </c>
    </row>
    <row r="917" spans="1:16" ht="15.75" customHeight="1">
      <c r="A917" s="4" t="s">
        <v>1123</v>
      </c>
      <c r="B917" s="6">
        <v>45938</v>
      </c>
      <c r="C917" s="4">
        <v>2025</v>
      </c>
      <c r="D917" s="4">
        <v>10</v>
      </c>
      <c r="E917" s="4" t="s">
        <v>120</v>
      </c>
      <c r="F917" s="4" t="s">
        <v>5</v>
      </c>
      <c r="G917" s="4" t="s">
        <v>9</v>
      </c>
      <c r="H917" s="4" t="s">
        <v>110</v>
      </c>
      <c r="I917" s="4" t="s">
        <v>7</v>
      </c>
      <c r="J917" s="4" t="s">
        <v>333</v>
      </c>
      <c r="K917" s="4">
        <v>8</v>
      </c>
      <c r="L917" s="5">
        <v>26.53</v>
      </c>
      <c r="M917" s="5">
        <v>212.24</v>
      </c>
      <c r="N917" s="5">
        <v>103.31</v>
      </c>
      <c r="O917" s="5">
        <v>108.93</v>
      </c>
      <c r="P917" s="4">
        <f>--AND(OR(Dashboard!$A$10="All",C917=Dashboard!$A$10),OR(Dashboard!$A$14="All",F917=Dashboard!$A$14),OR(Dashboard!$A$18="All",G917=Dashboard!$A$18),OR(Dashboard!$A$22="All",I917=Dashboard!$A$22))</f>
        <v>1</v>
      </c>
    </row>
    <row r="918" spans="1:16" ht="15.75" customHeight="1">
      <c r="A918" s="4" t="s">
        <v>1124</v>
      </c>
      <c r="B918" s="6">
        <v>45741</v>
      </c>
      <c r="C918" s="4">
        <v>2025</v>
      </c>
      <c r="D918" s="4">
        <v>3</v>
      </c>
      <c r="E918" s="4" t="s">
        <v>100</v>
      </c>
      <c r="F918" s="4" t="s">
        <v>5</v>
      </c>
      <c r="G918" s="4" t="s">
        <v>6</v>
      </c>
      <c r="H918" s="4" t="s">
        <v>136</v>
      </c>
      <c r="I918" s="4" t="s">
        <v>7</v>
      </c>
      <c r="J918" s="4" t="s">
        <v>94</v>
      </c>
      <c r="K918" s="4">
        <v>7</v>
      </c>
      <c r="L918" s="5">
        <v>200.07</v>
      </c>
      <c r="M918" s="5">
        <v>1400.49</v>
      </c>
      <c r="N918" s="5">
        <v>960.25</v>
      </c>
      <c r="O918" s="5">
        <v>440.24</v>
      </c>
      <c r="P918" s="4">
        <f>--AND(OR(Dashboard!$A$10="All",C918=Dashboard!$A$10),OR(Dashboard!$A$14="All",F918=Dashboard!$A$14),OR(Dashboard!$A$18="All",G918=Dashboard!$A$18),OR(Dashboard!$A$22="All",I918=Dashboard!$A$22))</f>
        <v>1</v>
      </c>
    </row>
    <row r="919" spans="1:16" ht="15.75" customHeight="1">
      <c r="A919" s="4" t="s">
        <v>1125</v>
      </c>
      <c r="B919" s="6">
        <v>45368</v>
      </c>
      <c r="C919" s="4">
        <v>2024</v>
      </c>
      <c r="D919" s="4">
        <v>3</v>
      </c>
      <c r="E919" s="4" t="s">
        <v>100</v>
      </c>
      <c r="F919" s="4" t="s">
        <v>5</v>
      </c>
      <c r="G919" s="4" t="s">
        <v>12</v>
      </c>
      <c r="H919" s="4" t="s">
        <v>127</v>
      </c>
      <c r="I919" s="4" t="s">
        <v>7</v>
      </c>
      <c r="J919" s="4" t="s">
        <v>346</v>
      </c>
      <c r="K919" s="4">
        <v>1</v>
      </c>
      <c r="L919" s="5">
        <v>195.45</v>
      </c>
      <c r="M919" s="5">
        <v>195.45</v>
      </c>
      <c r="N919" s="5">
        <v>119.19</v>
      </c>
      <c r="O919" s="5">
        <v>76.260000000000005</v>
      </c>
      <c r="P919" s="4">
        <f>--AND(OR(Dashboard!$A$10="All",C919=Dashboard!$A$10),OR(Dashboard!$A$14="All",F919=Dashboard!$A$14),OR(Dashboard!$A$18="All",G919=Dashboard!$A$18),OR(Dashboard!$A$22="All",I919=Dashboard!$A$22))</f>
        <v>1</v>
      </c>
    </row>
    <row r="920" spans="1:16" ht="15.75" customHeight="1">
      <c r="A920" s="4" t="s">
        <v>1126</v>
      </c>
      <c r="B920" s="6">
        <v>45871</v>
      </c>
      <c r="C920" s="4">
        <v>2025</v>
      </c>
      <c r="D920" s="4">
        <v>8</v>
      </c>
      <c r="E920" s="4" t="s">
        <v>67</v>
      </c>
      <c r="F920" s="4" t="s">
        <v>5</v>
      </c>
      <c r="G920" s="4" t="s">
        <v>9</v>
      </c>
      <c r="H920" s="4" t="s">
        <v>110</v>
      </c>
      <c r="I920" s="4" t="s">
        <v>13</v>
      </c>
      <c r="J920" s="4" t="s">
        <v>164</v>
      </c>
      <c r="K920" s="4">
        <v>7</v>
      </c>
      <c r="L920" s="5">
        <v>24.79</v>
      </c>
      <c r="M920" s="5">
        <v>173.53</v>
      </c>
      <c r="N920" s="5">
        <v>88</v>
      </c>
      <c r="O920" s="5">
        <v>85.53</v>
      </c>
      <c r="P920" s="4">
        <f>--AND(OR(Dashboard!$A$10="All",C920=Dashboard!$A$10),OR(Dashboard!$A$14="All",F920=Dashboard!$A$14),OR(Dashboard!$A$18="All",G920=Dashboard!$A$18),OR(Dashboard!$A$22="All",I920=Dashboard!$A$22))</f>
        <v>1</v>
      </c>
    </row>
    <row r="921" spans="1:16" ht="15.75" customHeight="1">
      <c r="A921" s="4" t="s">
        <v>1127</v>
      </c>
      <c r="B921" s="6">
        <v>45796</v>
      </c>
      <c r="C921" s="4">
        <v>2025</v>
      </c>
      <c r="D921" s="4">
        <v>5</v>
      </c>
      <c r="E921" s="4" t="s">
        <v>108</v>
      </c>
      <c r="F921" s="4" t="s">
        <v>11</v>
      </c>
      <c r="G921" s="4" t="s">
        <v>12</v>
      </c>
      <c r="H921" s="4" t="s">
        <v>124</v>
      </c>
      <c r="I921" s="4" t="s">
        <v>7</v>
      </c>
      <c r="J921" s="4" t="s">
        <v>207</v>
      </c>
      <c r="K921" s="4">
        <v>8</v>
      </c>
      <c r="L921" s="5">
        <v>133.9</v>
      </c>
      <c r="M921" s="5">
        <v>1071.2</v>
      </c>
      <c r="N921" s="5">
        <v>634.95000000000005</v>
      </c>
      <c r="O921" s="5">
        <v>436.25</v>
      </c>
      <c r="P921" s="4">
        <f>--AND(OR(Dashboard!$A$10="All",C921=Dashboard!$A$10),OR(Dashboard!$A$14="All",F921=Dashboard!$A$14),OR(Dashboard!$A$18="All",G921=Dashboard!$A$18),OR(Dashboard!$A$22="All",I921=Dashboard!$A$22))</f>
        <v>1</v>
      </c>
    </row>
    <row r="922" spans="1:16" ht="15.75" customHeight="1">
      <c r="A922" s="4" t="s">
        <v>1128</v>
      </c>
      <c r="B922" s="6">
        <v>45640</v>
      </c>
      <c r="C922" s="4">
        <v>2024</v>
      </c>
      <c r="D922" s="4">
        <v>12</v>
      </c>
      <c r="E922" s="4" t="s">
        <v>57</v>
      </c>
      <c r="F922" s="4" t="s">
        <v>8</v>
      </c>
      <c r="G922" s="4" t="s">
        <v>9</v>
      </c>
      <c r="H922" s="4" t="s">
        <v>35</v>
      </c>
      <c r="I922" s="4" t="s">
        <v>10</v>
      </c>
      <c r="J922" s="4" t="s">
        <v>72</v>
      </c>
      <c r="K922" s="4">
        <v>3</v>
      </c>
      <c r="L922" s="5">
        <v>63</v>
      </c>
      <c r="M922" s="5">
        <v>189</v>
      </c>
      <c r="N922" s="5">
        <v>91.84</v>
      </c>
      <c r="O922" s="5">
        <v>97.16</v>
      </c>
      <c r="P922" s="4">
        <f>--AND(OR(Dashboard!$A$10="All",C922=Dashboard!$A$10),OR(Dashboard!$A$14="All",F922=Dashboard!$A$14),OR(Dashboard!$A$18="All",G922=Dashboard!$A$18),OR(Dashboard!$A$22="All",I922=Dashboard!$A$22))</f>
        <v>1</v>
      </c>
    </row>
    <row r="923" spans="1:16" ht="15.75" customHeight="1">
      <c r="A923" s="4" t="s">
        <v>1129</v>
      </c>
      <c r="B923" s="6">
        <v>45516</v>
      </c>
      <c r="C923" s="4">
        <v>2024</v>
      </c>
      <c r="D923" s="4">
        <v>8</v>
      </c>
      <c r="E923" s="4" t="s">
        <v>67</v>
      </c>
      <c r="F923" s="4" t="s">
        <v>5</v>
      </c>
      <c r="G923" s="4" t="s">
        <v>12</v>
      </c>
      <c r="H923" s="4" t="s">
        <v>86</v>
      </c>
      <c r="I923" s="4" t="s">
        <v>7</v>
      </c>
      <c r="J923" s="4" t="s">
        <v>532</v>
      </c>
      <c r="K923" s="4">
        <v>1</v>
      </c>
      <c r="L923" s="5">
        <v>216.02</v>
      </c>
      <c r="M923" s="5">
        <v>216.02</v>
      </c>
      <c r="N923" s="5">
        <v>134.31</v>
      </c>
      <c r="O923" s="5">
        <v>81.709999999999994</v>
      </c>
      <c r="P923" s="4">
        <f>--AND(OR(Dashboard!$A$10="All",C923=Dashboard!$A$10),OR(Dashboard!$A$14="All",F923=Dashboard!$A$14),OR(Dashboard!$A$18="All",G923=Dashboard!$A$18),OR(Dashboard!$A$22="All",I923=Dashboard!$A$22))</f>
        <v>1</v>
      </c>
    </row>
    <row r="924" spans="1:16" ht="15.75" customHeight="1">
      <c r="A924" s="4" t="s">
        <v>1130</v>
      </c>
      <c r="B924" s="6">
        <v>45587</v>
      </c>
      <c r="C924" s="4">
        <v>2024</v>
      </c>
      <c r="D924" s="4">
        <v>10</v>
      </c>
      <c r="E924" s="4" t="s">
        <v>120</v>
      </c>
      <c r="F924" s="4" t="s">
        <v>5</v>
      </c>
      <c r="G924" s="4" t="s">
        <v>9</v>
      </c>
      <c r="H924" s="4" t="s">
        <v>35</v>
      </c>
      <c r="I924" s="4" t="s">
        <v>10</v>
      </c>
      <c r="J924" s="4" t="s">
        <v>314</v>
      </c>
      <c r="K924" s="4">
        <v>6</v>
      </c>
      <c r="L924" s="5">
        <v>37.64</v>
      </c>
      <c r="M924" s="5">
        <v>225.84</v>
      </c>
      <c r="N924" s="5">
        <v>110.55</v>
      </c>
      <c r="O924" s="5">
        <v>115.29</v>
      </c>
      <c r="P924" s="4">
        <f>--AND(OR(Dashboard!$A$10="All",C924=Dashboard!$A$10),OR(Dashboard!$A$14="All",F924=Dashboard!$A$14),OR(Dashboard!$A$18="All",G924=Dashboard!$A$18),OR(Dashboard!$A$22="All",I924=Dashboard!$A$22))</f>
        <v>1</v>
      </c>
    </row>
    <row r="925" spans="1:16" ht="15.75" customHeight="1">
      <c r="A925" s="4" t="s">
        <v>1131</v>
      </c>
      <c r="B925" s="6">
        <v>45420</v>
      </c>
      <c r="C925" s="4">
        <v>2024</v>
      </c>
      <c r="D925" s="4">
        <v>5</v>
      </c>
      <c r="E925" s="4" t="s">
        <v>108</v>
      </c>
      <c r="F925" s="4" t="s">
        <v>11</v>
      </c>
      <c r="G925" s="4" t="s">
        <v>9</v>
      </c>
      <c r="H925" s="4" t="s">
        <v>35</v>
      </c>
      <c r="I925" s="4" t="s">
        <v>10</v>
      </c>
      <c r="J925" s="4" t="s">
        <v>72</v>
      </c>
      <c r="K925" s="4">
        <v>2</v>
      </c>
      <c r="L925" s="5">
        <v>27.63</v>
      </c>
      <c r="M925" s="5">
        <v>55.26</v>
      </c>
      <c r="N925" s="5">
        <v>28.42</v>
      </c>
      <c r="O925" s="5">
        <v>26.84</v>
      </c>
      <c r="P925" s="4">
        <f>--AND(OR(Dashboard!$A$10="All",C925=Dashboard!$A$10),OR(Dashboard!$A$14="All",F925=Dashboard!$A$14),OR(Dashboard!$A$18="All",G925=Dashboard!$A$18),OR(Dashboard!$A$22="All",I925=Dashboard!$A$22))</f>
        <v>1</v>
      </c>
    </row>
    <row r="926" spans="1:16" ht="15.75" customHeight="1">
      <c r="A926" s="4" t="s">
        <v>1132</v>
      </c>
      <c r="B926" s="6">
        <v>45905</v>
      </c>
      <c r="C926" s="4">
        <v>2025</v>
      </c>
      <c r="D926" s="4">
        <v>9</v>
      </c>
      <c r="E926" s="4" t="s">
        <v>79</v>
      </c>
      <c r="F926" s="4" t="s">
        <v>11</v>
      </c>
      <c r="G926" s="4" t="s">
        <v>6</v>
      </c>
      <c r="H926" s="4" t="s">
        <v>54</v>
      </c>
      <c r="I926" s="4" t="s">
        <v>7</v>
      </c>
      <c r="J926" s="4" t="s">
        <v>226</v>
      </c>
      <c r="K926" s="4">
        <v>2</v>
      </c>
      <c r="L926" s="5">
        <v>172.7</v>
      </c>
      <c r="M926" s="5">
        <v>345.4</v>
      </c>
      <c r="N926" s="5">
        <v>237.74</v>
      </c>
      <c r="O926" s="5">
        <v>107.66</v>
      </c>
      <c r="P926" s="4">
        <f>--AND(OR(Dashboard!$A$10="All",C926=Dashboard!$A$10),OR(Dashboard!$A$14="All",F926=Dashboard!$A$14),OR(Dashboard!$A$18="All",G926=Dashboard!$A$18),OR(Dashboard!$A$22="All",I926=Dashboard!$A$22))</f>
        <v>1</v>
      </c>
    </row>
    <row r="927" spans="1:16" ht="15.75" customHeight="1">
      <c r="A927" s="4" t="s">
        <v>1133</v>
      </c>
      <c r="B927" s="6">
        <v>45437</v>
      </c>
      <c r="C927" s="4">
        <v>2024</v>
      </c>
      <c r="D927" s="4">
        <v>5</v>
      </c>
      <c r="E927" s="4" t="s">
        <v>108</v>
      </c>
      <c r="F927" s="4" t="s">
        <v>14</v>
      </c>
      <c r="G927" s="4" t="s">
        <v>6</v>
      </c>
      <c r="H927" s="4" t="s">
        <v>80</v>
      </c>
      <c r="I927" s="4" t="s">
        <v>7</v>
      </c>
      <c r="J927" s="4" t="s">
        <v>362</v>
      </c>
      <c r="K927" s="4">
        <v>1</v>
      </c>
      <c r="L927" s="5">
        <v>128.58000000000001</v>
      </c>
      <c r="M927" s="5">
        <v>128.58000000000001</v>
      </c>
      <c r="N927" s="5">
        <v>86.63</v>
      </c>
      <c r="O927" s="5">
        <v>41.95</v>
      </c>
      <c r="P927" s="4">
        <f>--AND(OR(Dashboard!$A$10="All",C927=Dashboard!$A$10),OR(Dashboard!$A$14="All",F927=Dashboard!$A$14),OR(Dashboard!$A$18="All",G927=Dashboard!$A$18),OR(Dashboard!$A$22="All",I927=Dashboard!$A$22))</f>
        <v>1</v>
      </c>
    </row>
    <row r="928" spans="1:16" ht="15.75" customHeight="1">
      <c r="A928" s="4" t="s">
        <v>1134</v>
      </c>
      <c r="B928" s="6">
        <v>45389</v>
      </c>
      <c r="C928" s="4">
        <v>2024</v>
      </c>
      <c r="D928" s="4">
        <v>4</v>
      </c>
      <c r="E928" s="4" t="s">
        <v>106</v>
      </c>
      <c r="F928" s="4" t="s">
        <v>5</v>
      </c>
      <c r="G928" s="4" t="s">
        <v>9</v>
      </c>
      <c r="H928" s="4" t="s">
        <v>35</v>
      </c>
      <c r="I928" s="4" t="s">
        <v>7</v>
      </c>
      <c r="J928" s="4" t="s">
        <v>402</v>
      </c>
      <c r="K928" s="4">
        <v>2</v>
      </c>
      <c r="L928" s="5">
        <v>43.53</v>
      </c>
      <c r="M928" s="5">
        <v>87.06</v>
      </c>
      <c r="N928" s="5">
        <v>45.32</v>
      </c>
      <c r="O928" s="5">
        <v>41.74</v>
      </c>
      <c r="P928" s="4">
        <f>--AND(OR(Dashboard!$A$10="All",C928=Dashboard!$A$10),OR(Dashboard!$A$14="All",F928=Dashboard!$A$14),OR(Dashboard!$A$18="All",G928=Dashboard!$A$18),OR(Dashboard!$A$22="All",I928=Dashboard!$A$22))</f>
        <v>1</v>
      </c>
    </row>
    <row r="929" spans="1:16" ht="15.75" customHeight="1">
      <c r="A929" s="4" t="s">
        <v>1135</v>
      </c>
      <c r="B929" s="6">
        <v>45807</v>
      </c>
      <c r="C929" s="4">
        <v>2025</v>
      </c>
      <c r="D929" s="4">
        <v>5</v>
      </c>
      <c r="E929" s="4" t="s">
        <v>108</v>
      </c>
      <c r="F929" s="4" t="s">
        <v>5</v>
      </c>
      <c r="G929" s="4" t="s">
        <v>12</v>
      </c>
      <c r="H929" s="4" t="s">
        <v>86</v>
      </c>
      <c r="I929" s="4" t="s">
        <v>7</v>
      </c>
      <c r="J929" s="4" t="s">
        <v>346</v>
      </c>
      <c r="K929" s="4">
        <v>1</v>
      </c>
      <c r="L929" s="5">
        <v>187.86</v>
      </c>
      <c r="M929" s="5">
        <v>187.86</v>
      </c>
      <c r="N929" s="5">
        <v>108.61</v>
      </c>
      <c r="O929" s="5">
        <v>79.25</v>
      </c>
      <c r="P929" s="4">
        <f>--AND(OR(Dashboard!$A$10="All",C929=Dashboard!$A$10),OR(Dashboard!$A$14="All",F929=Dashboard!$A$14),OR(Dashboard!$A$18="All",G929=Dashboard!$A$18),OR(Dashboard!$A$22="All",I929=Dashboard!$A$22))</f>
        <v>1</v>
      </c>
    </row>
    <row r="930" spans="1:16" ht="15.75" customHeight="1">
      <c r="A930" s="4" t="s">
        <v>1136</v>
      </c>
      <c r="B930" s="6">
        <v>45586</v>
      </c>
      <c r="C930" s="4">
        <v>2024</v>
      </c>
      <c r="D930" s="4">
        <v>10</v>
      </c>
      <c r="E930" s="4" t="s">
        <v>120</v>
      </c>
      <c r="F930" s="4" t="s">
        <v>8</v>
      </c>
      <c r="G930" s="4" t="s">
        <v>6</v>
      </c>
      <c r="H930" s="4" t="s">
        <v>136</v>
      </c>
      <c r="I930" s="4" t="s">
        <v>7</v>
      </c>
      <c r="J930" s="4" t="s">
        <v>292</v>
      </c>
      <c r="K930" s="4">
        <v>4</v>
      </c>
      <c r="L930" s="5">
        <v>145.71</v>
      </c>
      <c r="M930" s="5">
        <v>582.84</v>
      </c>
      <c r="N930" s="5">
        <v>371.51</v>
      </c>
      <c r="O930" s="5">
        <v>211.33</v>
      </c>
      <c r="P930" s="4">
        <f>--AND(OR(Dashboard!$A$10="All",C930=Dashboard!$A$10),OR(Dashboard!$A$14="All",F930=Dashboard!$A$14),OR(Dashboard!$A$18="All",G930=Dashboard!$A$18),OR(Dashboard!$A$22="All",I930=Dashboard!$A$22))</f>
        <v>1</v>
      </c>
    </row>
    <row r="931" spans="1:16" ht="15.75" customHeight="1">
      <c r="A931" s="4" t="s">
        <v>1137</v>
      </c>
      <c r="B931" s="6">
        <v>45686</v>
      </c>
      <c r="C931" s="4">
        <v>2025</v>
      </c>
      <c r="D931" s="4">
        <v>1</v>
      </c>
      <c r="E931" s="4" t="s">
        <v>30</v>
      </c>
      <c r="F931" s="4" t="s">
        <v>5</v>
      </c>
      <c r="G931" s="4" t="s">
        <v>9</v>
      </c>
      <c r="H931" s="4" t="s">
        <v>35</v>
      </c>
      <c r="I931" s="4" t="s">
        <v>7</v>
      </c>
      <c r="J931" s="4" t="s">
        <v>131</v>
      </c>
      <c r="K931" s="4">
        <v>7</v>
      </c>
      <c r="L931" s="5">
        <v>32.65</v>
      </c>
      <c r="M931" s="5">
        <v>228.55</v>
      </c>
      <c r="N931" s="5">
        <v>114.68</v>
      </c>
      <c r="O931" s="5">
        <v>113.87</v>
      </c>
      <c r="P931" s="4">
        <f>--AND(OR(Dashboard!$A$10="All",C931=Dashboard!$A$10),OR(Dashboard!$A$14="All",F931=Dashboard!$A$14),OR(Dashboard!$A$18="All",G931=Dashboard!$A$18),OR(Dashboard!$A$22="All",I931=Dashboard!$A$22))</f>
        <v>1</v>
      </c>
    </row>
    <row r="932" spans="1:16" ht="15.75" customHeight="1">
      <c r="A932" s="4" t="s">
        <v>1138</v>
      </c>
      <c r="B932" s="6">
        <v>45986</v>
      </c>
      <c r="C932" s="4">
        <v>2025</v>
      </c>
      <c r="D932" s="4">
        <v>11</v>
      </c>
      <c r="E932" s="4" t="s">
        <v>89</v>
      </c>
      <c r="F932" s="4" t="s">
        <v>11</v>
      </c>
      <c r="G932" s="4" t="s">
        <v>9</v>
      </c>
      <c r="H932" s="4" t="s">
        <v>142</v>
      </c>
      <c r="I932" s="4" t="s">
        <v>13</v>
      </c>
      <c r="J932" s="4" t="s">
        <v>87</v>
      </c>
      <c r="K932" s="4">
        <v>1</v>
      </c>
      <c r="L932" s="5">
        <v>54.29</v>
      </c>
      <c r="M932" s="5">
        <v>54.29</v>
      </c>
      <c r="N932" s="5">
        <v>26.98</v>
      </c>
      <c r="O932" s="5">
        <v>27.31</v>
      </c>
      <c r="P932" s="4">
        <f>--AND(OR(Dashboard!$A$10="All",C932=Dashboard!$A$10),OR(Dashboard!$A$14="All",F932=Dashboard!$A$14),OR(Dashboard!$A$18="All",G932=Dashboard!$A$18),OR(Dashboard!$A$22="All",I932=Dashboard!$A$22))</f>
        <v>1</v>
      </c>
    </row>
    <row r="933" spans="1:16" ht="15.75" customHeight="1">
      <c r="A933" s="4" t="s">
        <v>1139</v>
      </c>
      <c r="B933" s="6">
        <v>45565</v>
      </c>
      <c r="C933" s="4">
        <v>2024</v>
      </c>
      <c r="D933" s="4">
        <v>9</v>
      </c>
      <c r="E933" s="4" t="s">
        <v>79</v>
      </c>
      <c r="F933" s="4" t="s">
        <v>8</v>
      </c>
      <c r="G933" s="4" t="s">
        <v>12</v>
      </c>
      <c r="H933" s="4" t="s">
        <v>58</v>
      </c>
      <c r="I933" s="4" t="s">
        <v>10</v>
      </c>
      <c r="J933" s="4" t="s">
        <v>255</v>
      </c>
      <c r="K933" s="4">
        <v>3</v>
      </c>
      <c r="L933" s="5">
        <v>235.49</v>
      </c>
      <c r="M933" s="5">
        <v>706.47</v>
      </c>
      <c r="N933" s="5">
        <v>415.13</v>
      </c>
      <c r="O933" s="5">
        <v>291.33999999999997</v>
      </c>
      <c r="P933" s="4">
        <f>--AND(OR(Dashboard!$A$10="All",C933=Dashboard!$A$10),OR(Dashboard!$A$14="All",F933=Dashboard!$A$14),OR(Dashboard!$A$18="All",G933=Dashboard!$A$18),OR(Dashboard!$A$22="All",I933=Dashboard!$A$22))</f>
        <v>1</v>
      </c>
    </row>
    <row r="934" spans="1:16" ht="15.75" customHeight="1">
      <c r="A934" s="4" t="s">
        <v>1140</v>
      </c>
      <c r="B934" s="6">
        <v>45543</v>
      </c>
      <c r="C934" s="4">
        <v>2024</v>
      </c>
      <c r="D934" s="4">
        <v>9</v>
      </c>
      <c r="E934" s="4" t="s">
        <v>79</v>
      </c>
      <c r="F934" s="4" t="s">
        <v>11</v>
      </c>
      <c r="G934" s="4" t="s">
        <v>9</v>
      </c>
      <c r="H934" s="4" t="s">
        <v>71</v>
      </c>
      <c r="I934" s="4" t="s">
        <v>7</v>
      </c>
      <c r="J934" s="4" t="s">
        <v>301</v>
      </c>
      <c r="K934" s="4">
        <v>1</v>
      </c>
      <c r="L934" s="5">
        <v>37.75</v>
      </c>
      <c r="M934" s="5">
        <v>37.75</v>
      </c>
      <c r="N934" s="5">
        <v>18.579999999999998</v>
      </c>
      <c r="O934" s="5">
        <v>19.170000000000002</v>
      </c>
      <c r="P934" s="4">
        <f>--AND(OR(Dashboard!$A$10="All",C934=Dashboard!$A$10),OR(Dashboard!$A$14="All",F934=Dashboard!$A$14),OR(Dashboard!$A$18="All",G934=Dashboard!$A$18),OR(Dashboard!$A$22="All",I934=Dashboard!$A$22))</f>
        <v>1</v>
      </c>
    </row>
    <row r="935" spans="1:16" ht="15.75" customHeight="1">
      <c r="A935" s="4" t="s">
        <v>1141</v>
      </c>
      <c r="B935" s="6">
        <v>46013</v>
      </c>
      <c r="C935" s="4">
        <v>2025</v>
      </c>
      <c r="D935" s="4">
        <v>12</v>
      </c>
      <c r="E935" s="4" t="s">
        <v>57</v>
      </c>
      <c r="F935" s="4" t="s">
        <v>11</v>
      </c>
      <c r="G935" s="4" t="s">
        <v>6</v>
      </c>
      <c r="H935" s="4" t="s">
        <v>80</v>
      </c>
      <c r="I935" s="4" t="s">
        <v>7</v>
      </c>
      <c r="J935" s="4" t="s">
        <v>153</v>
      </c>
      <c r="K935" s="4">
        <v>3</v>
      </c>
      <c r="L935" s="5">
        <v>148.63</v>
      </c>
      <c r="M935" s="5">
        <v>445.89</v>
      </c>
      <c r="N935" s="5">
        <v>297.31</v>
      </c>
      <c r="O935" s="5">
        <v>148.58000000000001</v>
      </c>
      <c r="P935" s="4">
        <f>--AND(OR(Dashboard!$A$10="All",C935=Dashboard!$A$10),OR(Dashboard!$A$14="All",F935=Dashboard!$A$14),OR(Dashboard!$A$18="All",G935=Dashboard!$A$18),OR(Dashboard!$A$22="All",I935=Dashboard!$A$22))</f>
        <v>1</v>
      </c>
    </row>
    <row r="936" spans="1:16" ht="15.75" customHeight="1">
      <c r="A936" s="4" t="s">
        <v>1142</v>
      </c>
      <c r="B936" s="6">
        <v>45337</v>
      </c>
      <c r="C936" s="4">
        <v>2024</v>
      </c>
      <c r="D936" s="4">
        <v>2</v>
      </c>
      <c r="E936" s="4" t="s">
        <v>70</v>
      </c>
      <c r="F936" s="4" t="s">
        <v>11</v>
      </c>
      <c r="G936" s="4" t="s">
        <v>6</v>
      </c>
      <c r="H936" s="4" t="s">
        <v>114</v>
      </c>
      <c r="I936" s="4" t="s">
        <v>7</v>
      </c>
      <c r="J936" s="4" t="s">
        <v>174</v>
      </c>
      <c r="K936" s="4">
        <v>7</v>
      </c>
      <c r="L936" s="5">
        <v>198.93</v>
      </c>
      <c r="M936" s="5">
        <v>1392.51</v>
      </c>
      <c r="N936" s="5">
        <v>914.16</v>
      </c>
      <c r="O936" s="5">
        <v>478.35</v>
      </c>
      <c r="P936" s="4">
        <f>--AND(OR(Dashboard!$A$10="All",C936=Dashboard!$A$10),OR(Dashboard!$A$14="All",F936=Dashboard!$A$14),OR(Dashboard!$A$18="All",G936=Dashboard!$A$18),OR(Dashboard!$A$22="All",I936=Dashboard!$A$22))</f>
        <v>1</v>
      </c>
    </row>
    <row r="937" spans="1:16" ht="15.75" customHeight="1">
      <c r="A937" s="4" t="s">
        <v>1143</v>
      </c>
      <c r="B937" s="6">
        <v>45863</v>
      </c>
      <c r="C937" s="4">
        <v>2025</v>
      </c>
      <c r="D937" s="4">
        <v>7</v>
      </c>
      <c r="E937" s="4" t="s">
        <v>63</v>
      </c>
      <c r="F937" s="4" t="s">
        <v>5</v>
      </c>
      <c r="G937" s="4" t="s">
        <v>12</v>
      </c>
      <c r="H937" s="4" t="s">
        <v>86</v>
      </c>
      <c r="I937" s="4" t="s">
        <v>10</v>
      </c>
      <c r="J937" s="4" t="s">
        <v>159</v>
      </c>
      <c r="K937" s="4">
        <v>2</v>
      </c>
      <c r="L937" s="5">
        <v>129.29</v>
      </c>
      <c r="M937" s="5">
        <v>258.58</v>
      </c>
      <c r="N937" s="5">
        <v>150.97999999999999</v>
      </c>
      <c r="O937" s="5">
        <v>107.6</v>
      </c>
      <c r="P937" s="4">
        <f>--AND(OR(Dashboard!$A$10="All",C937=Dashboard!$A$10),OR(Dashboard!$A$14="All",F937=Dashboard!$A$14),OR(Dashboard!$A$18="All",G937=Dashboard!$A$18),OR(Dashboard!$A$22="All",I937=Dashboard!$A$22))</f>
        <v>1</v>
      </c>
    </row>
    <row r="938" spans="1:16" ht="15.75" customHeight="1">
      <c r="A938" s="4" t="s">
        <v>1144</v>
      </c>
      <c r="B938" s="6">
        <v>45465</v>
      </c>
      <c r="C938" s="4">
        <v>2024</v>
      </c>
      <c r="D938" s="4">
        <v>6</v>
      </c>
      <c r="E938" s="4" t="s">
        <v>34</v>
      </c>
      <c r="F938" s="4" t="s">
        <v>5</v>
      </c>
      <c r="G938" s="4" t="s">
        <v>9</v>
      </c>
      <c r="H938" s="4" t="s">
        <v>110</v>
      </c>
      <c r="I938" s="4" t="s">
        <v>10</v>
      </c>
      <c r="J938" s="4" t="s">
        <v>216</v>
      </c>
      <c r="K938" s="4">
        <v>5</v>
      </c>
      <c r="L938" s="5">
        <v>36.78</v>
      </c>
      <c r="M938" s="5">
        <v>183.9</v>
      </c>
      <c r="N938" s="5">
        <v>91.2</v>
      </c>
      <c r="O938" s="5">
        <v>92.7</v>
      </c>
      <c r="P938" s="4">
        <f>--AND(OR(Dashboard!$A$10="All",C938=Dashboard!$A$10),OR(Dashboard!$A$14="All",F938=Dashboard!$A$14),OR(Dashboard!$A$18="All",G938=Dashboard!$A$18),OR(Dashboard!$A$22="All",I938=Dashboard!$A$22))</f>
        <v>1</v>
      </c>
    </row>
    <row r="939" spans="1:16" ht="15.75" customHeight="1">
      <c r="A939" s="4" t="s">
        <v>1145</v>
      </c>
      <c r="B939" s="6">
        <v>45799</v>
      </c>
      <c r="C939" s="4">
        <v>2025</v>
      </c>
      <c r="D939" s="4">
        <v>5</v>
      </c>
      <c r="E939" s="4" t="s">
        <v>108</v>
      </c>
      <c r="F939" s="4" t="s">
        <v>8</v>
      </c>
      <c r="G939" s="4" t="s">
        <v>12</v>
      </c>
      <c r="H939" s="4" t="s">
        <v>124</v>
      </c>
      <c r="I939" s="4" t="s">
        <v>7</v>
      </c>
      <c r="J939" s="4" t="s">
        <v>125</v>
      </c>
      <c r="K939" s="4">
        <v>2</v>
      </c>
      <c r="L939" s="5">
        <v>274.81</v>
      </c>
      <c r="M939" s="5">
        <v>549.62</v>
      </c>
      <c r="N939" s="5">
        <v>329.71</v>
      </c>
      <c r="O939" s="5">
        <v>219.91</v>
      </c>
      <c r="P939" s="4">
        <f>--AND(OR(Dashboard!$A$10="All",C939=Dashboard!$A$10),OR(Dashboard!$A$14="All",F939=Dashboard!$A$14),OR(Dashboard!$A$18="All",G939=Dashboard!$A$18),OR(Dashboard!$A$22="All",I939=Dashboard!$A$22))</f>
        <v>1</v>
      </c>
    </row>
    <row r="940" spans="1:16" ht="15.75" customHeight="1">
      <c r="A940" s="4" t="s">
        <v>1146</v>
      </c>
      <c r="B940" s="6">
        <v>45796</v>
      </c>
      <c r="C940" s="4">
        <v>2025</v>
      </c>
      <c r="D940" s="4">
        <v>5</v>
      </c>
      <c r="E940" s="4" t="s">
        <v>108</v>
      </c>
      <c r="F940" s="4" t="s">
        <v>5</v>
      </c>
      <c r="G940" s="4" t="s">
        <v>9</v>
      </c>
      <c r="H940" s="4" t="s">
        <v>142</v>
      </c>
      <c r="I940" s="4" t="s">
        <v>7</v>
      </c>
      <c r="J940" s="4" t="s">
        <v>259</v>
      </c>
      <c r="K940" s="4">
        <v>2</v>
      </c>
      <c r="L940" s="5">
        <v>51.48</v>
      </c>
      <c r="M940" s="5">
        <v>102.96</v>
      </c>
      <c r="N940" s="5">
        <v>50.26</v>
      </c>
      <c r="O940" s="5">
        <v>52.7</v>
      </c>
      <c r="P940" s="4">
        <f>--AND(OR(Dashboard!$A$10="All",C940=Dashboard!$A$10),OR(Dashboard!$A$14="All",F940=Dashboard!$A$14),OR(Dashboard!$A$18="All",G940=Dashboard!$A$18),OR(Dashboard!$A$22="All",I940=Dashboard!$A$22))</f>
        <v>1</v>
      </c>
    </row>
    <row r="941" spans="1:16" ht="15.75" customHeight="1">
      <c r="A941" s="4" t="s">
        <v>1147</v>
      </c>
      <c r="B941" s="6">
        <v>45609</v>
      </c>
      <c r="C941" s="4">
        <v>2024</v>
      </c>
      <c r="D941" s="4">
        <v>11</v>
      </c>
      <c r="E941" s="4" t="s">
        <v>89</v>
      </c>
      <c r="F941" s="4" t="s">
        <v>11</v>
      </c>
      <c r="G941" s="4" t="s">
        <v>12</v>
      </c>
      <c r="H941" s="4" t="s">
        <v>86</v>
      </c>
      <c r="I941" s="4" t="s">
        <v>7</v>
      </c>
      <c r="J941" s="4" t="s">
        <v>166</v>
      </c>
      <c r="K941" s="4">
        <v>3</v>
      </c>
      <c r="L941" s="5">
        <v>219.76</v>
      </c>
      <c r="M941" s="5">
        <v>659.28</v>
      </c>
      <c r="N941" s="5">
        <v>413.9</v>
      </c>
      <c r="O941" s="5">
        <v>245.38</v>
      </c>
      <c r="P941" s="4">
        <f>--AND(OR(Dashboard!$A$10="All",C941=Dashboard!$A$10),OR(Dashboard!$A$14="All",F941=Dashboard!$A$14),OR(Dashboard!$A$18="All",G941=Dashboard!$A$18),OR(Dashboard!$A$22="All",I941=Dashboard!$A$22))</f>
        <v>1</v>
      </c>
    </row>
    <row r="942" spans="1:16" ht="15.75" customHeight="1">
      <c r="A942" s="4" t="s">
        <v>1148</v>
      </c>
      <c r="B942" s="6">
        <v>45417</v>
      </c>
      <c r="C942" s="4">
        <v>2024</v>
      </c>
      <c r="D942" s="4">
        <v>5</v>
      </c>
      <c r="E942" s="4" t="s">
        <v>108</v>
      </c>
      <c r="F942" s="4" t="s">
        <v>8</v>
      </c>
      <c r="G942" s="4" t="s">
        <v>6</v>
      </c>
      <c r="H942" s="4" t="s">
        <v>98</v>
      </c>
      <c r="I942" s="4" t="s">
        <v>10</v>
      </c>
      <c r="J942" s="4" t="s">
        <v>193</v>
      </c>
      <c r="K942" s="4">
        <v>3</v>
      </c>
      <c r="L942" s="5">
        <v>187.37</v>
      </c>
      <c r="M942" s="5">
        <v>562.11</v>
      </c>
      <c r="N942" s="5">
        <v>357.24</v>
      </c>
      <c r="O942" s="5">
        <v>204.87</v>
      </c>
      <c r="P942" s="4">
        <f>--AND(OR(Dashboard!$A$10="All",C942=Dashboard!$A$10),OR(Dashboard!$A$14="All",F942=Dashboard!$A$14),OR(Dashboard!$A$18="All",G942=Dashboard!$A$18),OR(Dashboard!$A$22="All",I942=Dashboard!$A$22))</f>
        <v>1</v>
      </c>
    </row>
    <row r="943" spans="1:16" ht="15.75" customHeight="1">
      <c r="A943" s="4" t="s">
        <v>1149</v>
      </c>
      <c r="B943" s="6">
        <v>45366</v>
      </c>
      <c r="C943" s="4">
        <v>2024</v>
      </c>
      <c r="D943" s="4">
        <v>3</v>
      </c>
      <c r="E943" s="4" t="s">
        <v>100</v>
      </c>
      <c r="F943" s="4" t="s">
        <v>5</v>
      </c>
      <c r="G943" s="4" t="s">
        <v>9</v>
      </c>
      <c r="H943" s="4" t="s">
        <v>110</v>
      </c>
      <c r="I943" s="4" t="s">
        <v>13</v>
      </c>
      <c r="J943" s="4" t="s">
        <v>115</v>
      </c>
      <c r="K943" s="4">
        <v>1</v>
      </c>
      <c r="L943" s="5">
        <v>49.1</v>
      </c>
      <c r="M943" s="5">
        <v>49.1</v>
      </c>
      <c r="N943" s="5">
        <v>24.14</v>
      </c>
      <c r="O943" s="5">
        <v>24.96</v>
      </c>
      <c r="P943" s="4">
        <f>--AND(OR(Dashboard!$A$10="All",C943=Dashboard!$A$10),OR(Dashboard!$A$14="All",F943=Dashboard!$A$14),OR(Dashboard!$A$18="All",G943=Dashboard!$A$18),OR(Dashboard!$A$22="All",I943=Dashboard!$A$22))</f>
        <v>1</v>
      </c>
    </row>
    <row r="944" spans="1:16" ht="15.75" customHeight="1">
      <c r="A944" s="4" t="s">
        <v>1150</v>
      </c>
      <c r="B944" s="6">
        <v>45538</v>
      </c>
      <c r="C944" s="4">
        <v>2024</v>
      </c>
      <c r="D944" s="4">
        <v>9</v>
      </c>
      <c r="E944" s="4" t="s">
        <v>79</v>
      </c>
      <c r="F944" s="4" t="s">
        <v>14</v>
      </c>
      <c r="G944" s="4" t="s">
        <v>6</v>
      </c>
      <c r="H944" s="4" t="s">
        <v>114</v>
      </c>
      <c r="I944" s="4" t="s">
        <v>13</v>
      </c>
      <c r="J944" s="4" t="s">
        <v>326</v>
      </c>
      <c r="K944" s="4">
        <v>7</v>
      </c>
      <c r="L944" s="5">
        <v>184.02</v>
      </c>
      <c r="M944" s="5">
        <v>1288.1400000000001</v>
      </c>
      <c r="N944" s="5">
        <v>816.85</v>
      </c>
      <c r="O944" s="5">
        <v>471.29</v>
      </c>
      <c r="P944" s="4">
        <f>--AND(OR(Dashboard!$A$10="All",C944=Dashboard!$A$10),OR(Dashboard!$A$14="All",F944=Dashboard!$A$14),OR(Dashboard!$A$18="All",G944=Dashboard!$A$18),OR(Dashboard!$A$22="All",I944=Dashboard!$A$22))</f>
        <v>1</v>
      </c>
    </row>
    <row r="945" spans="1:16" ht="15.75" customHeight="1">
      <c r="A945" s="4" t="s">
        <v>1151</v>
      </c>
      <c r="B945" s="6">
        <v>45668</v>
      </c>
      <c r="C945" s="4">
        <v>2025</v>
      </c>
      <c r="D945" s="4">
        <v>1</v>
      </c>
      <c r="E945" s="4" t="s">
        <v>30</v>
      </c>
      <c r="F945" s="4" t="s">
        <v>5</v>
      </c>
      <c r="G945" s="4" t="s">
        <v>9</v>
      </c>
      <c r="H945" s="4" t="s">
        <v>35</v>
      </c>
      <c r="I945" s="4" t="s">
        <v>7</v>
      </c>
      <c r="J945" s="4" t="s">
        <v>81</v>
      </c>
      <c r="K945" s="4">
        <v>3</v>
      </c>
      <c r="L945" s="5">
        <v>34.32</v>
      </c>
      <c r="M945" s="5">
        <v>102.96</v>
      </c>
      <c r="N945" s="5">
        <v>49.67</v>
      </c>
      <c r="O945" s="5">
        <v>53.29</v>
      </c>
      <c r="P945" s="4">
        <f>--AND(OR(Dashboard!$A$10="All",C945=Dashboard!$A$10),OR(Dashboard!$A$14="All",F945=Dashboard!$A$14),OR(Dashboard!$A$18="All",G945=Dashboard!$A$18),OR(Dashboard!$A$22="All",I945=Dashboard!$A$22))</f>
        <v>1</v>
      </c>
    </row>
    <row r="946" spans="1:16" ht="15.75" customHeight="1">
      <c r="A946" s="4" t="s">
        <v>1152</v>
      </c>
      <c r="B946" s="6">
        <v>45294</v>
      </c>
      <c r="C946" s="4">
        <v>2024</v>
      </c>
      <c r="D946" s="4">
        <v>1</v>
      </c>
      <c r="E946" s="4" t="s">
        <v>30</v>
      </c>
      <c r="F946" s="4" t="s">
        <v>8</v>
      </c>
      <c r="G946" s="4" t="s">
        <v>12</v>
      </c>
      <c r="H946" s="4" t="s">
        <v>124</v>
      </c>
      <c r="I946" s="4" t="s">
        <v>7</v>
      </c>
      <c r="J946" s="4" t="s">
        <v>216</v>
      </c>
      <c r="K946" s="4">
        <v>6</v>
      </c>
      <c r="L946" s="5">
        <v>264.77999999999997</v>
      </c>
      <c r="M946" s="5">
        <v>1588.68</v>
      </c>
      <c r="N946" s="5">
        <v>977.21</v>
      </c>
      <c r="O946" s="5">
        <v>611.47</v>
      </c>
      <c r="P946" s="4">
        <f>--AND(OR(Dashboard!$A$10="All",C946=Dashboard!$A$10),OR(Dashboard!$A$14="All",F946=Dashboard!$A$14),OR(Dashboard!$A$18="All",G946=Dashboard!$A$18),OR(Dashboard!$A$22="All",I946=Dashboard!$A$22))</f>
        <v>1</v>
      </c>
    </row>
    <row r="947" spans="1:16" ht="15.75" customHeight="1">
      <c r="A947" s="4" t="s">
        <v>1153</v>
      </c>
      <c r="B947" s="6">
        <v>45664</v>
      </c>
      <c r="C947" s="4">
        <v>2025</v>
      </c>
      <c r="D947" s="4">
        <v>1</v>
      </c>
      <c r="E947" s="4" t="s">
        <v>30</v>
      </c>
      <c r="F947" s="4" t="s">
        <v>11</v>
      </c>
      <c r="G947" s="4" t="s">
        <v>9</v>
      </c>
      <c r="H947" s="4" t="s">
        <v>71</v>
      </c>
      <c r="I947" s="4" t="s">
        <v>7</v>
      </c>
      <c r="J947" s="4" t="s">
        <v>65</v>
      </c>
      <c r="K947" s="4">
        <v>5</v>
      </c>
      <c r="L947" s="5">
        <v>61.1</v>
      </c>
      <c r="M947" s="5">
        <v>305.5</v>
      </c>
      <c r="N947" s="5">
        <v>160.12</v>
      </c>
      <c r="O947" s="5">
        <v>145.38</v>
      </c>
      <c r="P947" s="4">
        <f>--AND(OR(Dashboard!$A$10="All",C947=Dashboard!$A$10),OR(Dashboard!$A$14="All",F947=Dashboard!$A$14),OR(Dashboard!$A$18="All",G947=Dashboard!$A$18),OR(Dashboard!$A$22="All",I947=Dashboard!$A$22))</f>
        <v>1</v>
      </c>
    </row>
    <row r="948" spans="1:16" ht="15.75" customHeight="1">
      <c r="A948" s="4" t="s">
        <v>1154</v>
      </c>
      <c r="B948" s="6">
        <v>45292</v>
      </c>
      <c r="C948" s="4">
        <v>2024</v>
      </c>
      <c r="D948" s="4">
        <v>1</v>
      </c>
      <c r="E948" s="4" t="s">
        <v>30</v>
      </c>
      <c r="F948" s="4" t="s">
        <v>5</v>
      </c>
      <c r="G948" s="4" t="s">
        <v>9</v>
      </c>
      <c r="H948" s="4" t="s">
        <v>35</v>
      </c>
      <c r="I948" s="4" t="s">
        <v>7</v>
      </c>
      <c r="J948" s="4" t="s">
        <v>61</v>
      </c>
      <c r="K948" s="4">
        <v>9</v>
      </c>
      <c r="L948" s="5">
        <v>26.61</v>
      </c>
      <c r="M948" s="5">
        <v>239.49</v>
      </c>
      <c r="N948" s="5">
        <v>115.78</v>
      </c>
      <c r="O948" s="5">
        <v>123.71</v>
      </c>
      <c r="P948" s="4">
        <f>--AND(OR(Dashboard!$A$10="All",C948=Dashboard!$A$10),OR(Dashboard!$A$14="All",F948=Dashboard!$A$14),OR(Dashboard!$A$18="All",G948=Dashboard!$A$18),OR(Dashboard!$A$22="All",I948=Dashboard!$A$22))</f>
        <v>1</v>
      </c>
    </row>
    <row r="949" spans="1:16" ht="15.75" customHeight="1">
      <c r="A949" s="4" t="s">
        <v>1155</v>
      </c>
      <c r="B949" s="6">
        <v>45960</v>
      </c>
      <c r="C949" s="4">
        <v>2025</v>
      </c>
      <c r="D949" s="4">
        <v>10</v>
      </c>
      <c r="E949" s="4" t="s">
        <v>120</v>
      </c>
      <c r="F949" s="4" t="s">
        <v>11</v>
      </c>
      <c r="G949" s="4" t="s">
        <v>12</v>
      </c>
      <c r="H949" s="4" t="s">
        <v>58</v>
      </c>
      <c r="I949" s="4" t="s">
        <v>7</v>
      </c>
      <c r="J949" s="4" t="s">
        <v>301</v>
      </c>
      <c r="K949" s="4">
        <v>4</v>
      </c>
      <c r="L949" s="5">
        <v>272.61</v>
      </c>
      <c r="M949" s="5">
        <v>1090.44</v>
      </c>
      <c r="N949" s="5">
        <v>657.56</v>
      </c>
      <c r="O949" s="5">
        <v>432.88</v>
      </c>
      <c r="P949" s="4">
        <f>--AND(OR(Dashboard!$A$10="All",C949=Dashboard!$A$10),OR(Dashboard!$A$14="All",F949=Dashboard!$A$14),OR(Dashboard!$A$18="All",G949=Dashboard!$A$18),OR(Dashboard!$A$22="All",I949=Dashboard!$A$22))</f>
        <v>1</v>
      </c>
    </row>
    <row r="950" spans="1:16" ht="15.75" customHeight="1">
      <c r="A950" s="4" t="s">
        <v>1156</v>
      </c>
      <c r="B950" s="6">
        <v>45634</v>
      </c>
      <c r="C950" s="4">
        <v>2024</v>
      </c>
      <c r="D950" s="4">
        <v>12</v>
      </c>
      <c r="E950" s="4" t="s">
        <v>57</v>
      </c>
      <c r="F950" s="4" t="s">
        <v>5</v>
      </c>
      <c r="G950" s="4" t="s">
        <v>9</v>
      </c>
      <c r="H950" s="4" t="s">
        <v>71</v>
      </c>
      <c r="I950" s="4" t="s">
        <v>10</v>
      </c>
      <c r="J950" s="4" t="s">
        <v>276</v>
      </c>
      <c r="K950" s="4">
        <v>9</v>
      </c>
      <c r="L950" s="5">
        <v>26.68</v>
      </c>
      <c r="M950" s="5">
        <v>240.12</v>
      </c>
      <c r="N950" s="5">
        <v>121.97</v>
      </c>
      <c r="O950" s="5">
        <v>118.15</v>
      </c>
      <c r="P950" s="4">
        <f>--AND(OR(Dashboard!$A$10="All",C950=Dashboard!$A$10),OR(Dashboard!$A$14="All",F950=Dashboard!$A$14),OR(Dashboard!$A$18="All",G950=Dashboard!$A$18),OR(Dashboard!$A$22="All",I950=Dashboard!$A$22))</f>
        <v>1</v>
      </c>
    </row>
    <row r="951" spans="1:16" ht="15.75" customHeight="1">
      <c r="A951" s="4" t="s">
        <v>1157</v>
      </c>
      <c r="B951" s="6">
        <v>45312</v>
      </c>
      <c r="C951" s="4">
        <v>2024</v>
      </c>
      <c r="D951" s="4">
        <v>1</v>
      </c>
      <c r="E951" s="4" t="s">
        <v>30</v>
      </c>
      <c r="F951" s="4" t="s">
        <v>5</v>
      </c>
      <c r="G951" s="4" t="s">
        <v>9</v>
      </c>
      <c r="H951" s="4" t="s">
        <v>64</v>
      </c>
      <c r="I951" s="4" t="s">
        <v>10</v>
      </c>
      <c r="J951" s="4" t="s">
        <v>371</v>
      </c>
      <c r="K951" s="4">
        <v>2</v>
      </c>
      <c r="L951" s="5">
        <v>34.32</v>
      </c>
      <c r="M951" s="5">
        <v>68.64</v>
      </c>
      <c r="N951" s="5">
        <v>34.19</v>
      </c>
      <c r="O951" s="5">
        <v>34.450000000000003</v>
      </c>
      <c r="P951" s="4">
        <f>--AND(OR(Dashboard!$A$10="All",C951=Dashboard!$A$10),OR(Dashboard!$A$14="All",F951=Dashboard!$A$14),OR(Dashboard!$A$18="All",G951=Dashboard!$A$18),OR(Dashboard!$A$22="All",I951=Dashboard!$A$22))</f>
        <v>1</v>
      </c>
    </row>
    <row r="952" spans="1:16" ht="15.75" customHeight="1">
      <c r="A952" s="4" t="s">
        <v>1158</v>
      </c>
      <c r="B952" s="6">
        <v>45716</v>
      </c>
      <c r="C952" s="4">
        <v>2025</v>
      </c>
      <c r="D952" s="4">
        <v>2</v>
      </c>
      <c r="E952" s="4" t="s">
        <v>70</v>
      </c>
      <c r="F952" s="4" t="s">
        <v>5</v>
      </c>
      <c r="G952" s="4" t="s">
        <v>12</v>
      </c>
      <c r="H952" s="4" t="s">
        <v>86</v>
      </c>
      <c r="I952" s="4" t="s">
        <v>13</v>
      </c>
      <c r="J952" s="4" t="s">
        <v>360</v>
      </c>
      <c r="K952" s="4">
        <v>2</v>
      </c>
      <c r="L952" s="5">
        <v>138.62</v>
      </c>
      <c r="M952" s="5">
        <v>277.24</v>
      </c>
      <c r="N952" s="5">
        <v>160.81</v>
      </c>
      <c r="O952" s="5">
        <v>116.43</v>
      </c>
      <c r="P952" s="4">
        <f>--AND(OR(Dashboard!$A$10="All",C952=Dashboard!$A$10),OR(Dashboard!$A$14="All",F952=Dashboard!$A$14),OR(Dashboard!$A$18="All",G952=Dashboard!$A$18),OR(Dashboard!$A$22="All",I952=Dashboard!$A$22))</f>
        <v>1</v>
      </c>
    </row>
    <row r="953" spans="1:16" ht="15.75" customHeight="1">
      <c r="A953" s="4" t="s">
        <v>1159</v>
      </c>
      <c r="B953" s="6">
        <v>45959</v>
      </c>
      <c r="C953" s="4">
        <v>2025</v>
      </c>
      <c r="D953" s="4">
        <v>10</v>
      </c>
      <c r="E953" s="4" t="s">
        <v>120</v>
      </c>
      <c r="F953" s="4" t="s">
        <v>11</v>
      </c>
      <c r="G953" s="4" t="s">
        <v>12</v>
      </c>
      <c r="H953" s="4" t="s">
        <v>86</v>
      </c>
      <c r="I953" s="4" t="s">
        <v>7</v>
      </c>
      <c r="J953" s="4" t="s">
        <v>205</v>
      </c>
      <c r="K953" s="4">
        <v>3</v>
      </c>
      <c r="L953" s="5">
        <v>237.19</v>
      </c>
      <c r="M953" s="5">
        <v>711.57</v>
      </c>
      <c r="N953" s="5">
        <v>410.91</v>
      </c>
      <c r="O953" s="5">
        <v>300.66000000000003</v>
      </c>
      <c r="P953" s="4">
        <f>--AND(OR(Dashboard!$A$10="All",C953=Dashboard!$A$10),OR(Dashboard!$A$14="All",F953=Dashboard!$A$14),OR(Dashboard!$A$18="All",G953=Dashboard!$A$18),OR(Dashboard!$A$22="All",I953=Dashboard!$A$22))</f>
        <v>1</v>
      </c>
    </row>
    <row r="954" spans="1:16" ht="15.75" customHeight="1">
      <c r="A954" s="4" t="s">
        <v>1160</v>
      </c>
      <c r="B954" s="6">
        <v>45759</v>
      </c>
      <c r="C954" s="4">
        <v>2025</v>
      </c>
      <c r="D954" s="4">
        <v>4</v>
      </c>
      <c r="E954" s="4" t="s">
        <v>106</v>
      </c>
      <c r="F954" s="4" t="s">
        <v>5</v>
      </c>
      <c r="G954" s="4" t="s">
        <v>9</v>
      </c>
      <c r="H954" s="4" t="s">
        <v>142</v>
      </c>
      <c r="I954" s="4" t="s">
        <v>7</v>
      </c>
      <c r="J954" s="4" t="s">
        <v>125</v>
      </c>
      <c r="K954" s="4">
        <v>1</v>
      </c>
      <c r="L954" s="5">
        <v>52.1</v>
      </c>
      <c r="M954" s="5">
        <v>52.1</v>
      </c>
      <c r="N954" s="5">
        <v>27.32</v>
      </c>
      <c r="O954" s="5">
        <v>24.78</v>
      </c>
      <c r="P954" s="4">
        <f>--AND(OR(Dashboard!$A$10="All",C954=Dashboard!$A$10),OR(Dashboard!$A$14="All",F954=Dashboard!$A$14),OR(Dashboard!$A$18="All",G954=Dashboard!$A$18),OR(Dashboard!$A$22="All",I954=Dashboard!$A$22))</f>
        <v>1</v>
      </c>
    </row>
    <row r="955" spans="1:16" ht="15.75" customHeight="1">
      <c r="A955" s="4" t="s">
        <v>1161</v>
      </c>
      <c r="B955" s="6">
        <v>45893</v>
      </c>
      <c r="C955" s="4">
        <v>2025</v>
      </c>
      <c r="D955" s="4">
        <v>8</v>
      </c>
      <c r="E955" s="4" t="s">
        <v>67</v>
      </c>
      <c r="F955" s="4" t="s">
        <v>5</v>
      </c>
      <c r="G955" s="4" t="s">
        <v>6</v>
      </c>
      <c r="H955" s="4" t="s">
        <v>136</v>
      </c>
      <c r="I955" s="4" t="s">
        <v>13</v>
      </c>
      <c r="J955" s="4" t="s">
        <v>297</v>
      </c>
      <c r="K955" s="4">
        <v>2</v>
      </c>
      <c r="L955" s="5">
        <v>223.67</v>
      </c>
      <c r="M955" s="5">
        <v>447.34</v>
      </c>
      <c r="N955" s="5">
        <v>289.42</v>
      </c>
      <c r="O955" s="5">
        <v>157.91999999999999</v>
      </c>
      <c r="P955" s="4">
        <f>--AND(OR(Dashboard!$A$10="All",C955=Dashboard!$A$10),OR(Dashboard!$A$14="All",F955=Dashboard!$A$14),OR(Dashboard!$A$18="All",G955=Dashboard!$A$18),OR(Dashboard!$A$22="All",I955=Dashboard!$A$22))</f>
        <v>1</v>
      </c>
    </row>
    <row r="956" spans="1:16" ht="15.75" customHeight="1">
      <c r="A956" s="4" t="s">
        <v>1162</v>
      </c>
      <c r="B956" s="6">
        <v>45458</v>
      </c>
      <c r="C956" s="4">
        <v>2024</v>
      </c>
      <c r="D956" s="4">
        <v>6</v>
      </c>
      <c r="E956" s="4" t="s">
        <v>34</v>
      </c>
      <c r="F956" s="4" t="s">
        <v>11</v>
      </c>
      <c r="G956" s="4" t="s">
        <v>9</v>
      </c>
      <c r="H956" s="4" t="s">
        <v>71</v>
      </c>
      <c r="I956" s="4" t="s">
        <v>7</v>
      </c>
      <c r="J956" s="4" t="s">
        <v>186</v>
      </c>
      <c r="K956" s="4">
        <v>4</v>
      </c>
      <c r="L956" s="5">
        <v>41.92</v>
      </c>
      <c r="M956" s="5">
        <v>167.68</v>
      </c>
      <c r="N956" s="5">
        <v>81.94</v>
      </c>
      <c r="O956" s="5">
        <v>85.74</v>
      </c>
      <c r="P956" s="4">
        <f>--AND(OR(Dashboard!$A$10="All",C956=Dashboard!$A$10),OR(Dashboard!$A$14="All",F956=Dashboard!$A$14),OR(Dashboard!$A$18="All",G956=Dashboard!$A$18),OR(Dashboard!$A$22="All",I956=Dashboard!$A$22))</f>
        <v>1</v>
      </c>
    </row>
    <row r="957" spans="1:16" ht="15.75" customHeight="1">
      <c r="A957" s="4" t="s">
        <v>1163</v>
      </c>
      <c r="B957" s="6">
        <v>45756</v>
      </c>
      <c r="C957" s="4">
        <v>2025</v>
      </c>
      <c r="D957" s="4">
        <v>4</v>
      </c>
      <c r="E957" s="4" t="s">
        <v>106</v>
      </c>
      <c r="F957" s="4" t="s">
        <v>8</v>
      </c>
      <c r="G957" s="4" t="s">
        <v>9</v>
      </c>
      <c r="H957" s="4" t="s">
        <v>64</v>
      </c>
      <c r="I957" s="4" t="s">
        <v>7</v>
      </c>
      <c r="J957" s="4" t="s">
        <v>232</v>
      </c>
      <c r="K957" s="4">
        <v>4</v>
      </c>
      <c r="L957" s="5">
        <v>23.25</v>
      </c>
      <c r="M957" s="5">
        <v>93</v>
      </c>
      <c r="N957" s="5">
        <v>47.55</v>
      </c>
      <c r="O957" s="5">
        <v>45.45</v>
      </c>
      <c r="P957" s="4">
        <f>--AND(OR(Dashboard!$A$10="All",C957=Dashboard!$A$10),OR(Dashboard!$A$14="All",F957=Dashboard!$A$14),OR(Dashboard!$A$18="All",G957=Dashboard!$A$18),OR(Dashboard!$A$22="All",I957=Dashboard!$A$22))</f>
        <v>1</v>
      </c>
    </row>
    <row r="958" spans="1:16" ht="15.75" customHeight="1">
      <c r="A958" s="4" t="s">
        <v>1164</v>
      </c>
      <c r="B958" s="6">
        <v>45635</v>
      </c>
      <c r="C958" s="4">
        <v>2024</v>
      </c>
      <c r="D958" s="4">
        <v>12</v>
      </c>
      <c r="E958" s="4" t="s">
        <v>57</v>
      </c>
      <c r="F958" s="4" t="s">
        <v>11</v>
      </c>
      <c r="G958" s="4" t="s">
        <v>12</v>
      </c>
      <c r="H958" s="4" t="s">
        <v>124</v>
      </c>
      <c r="I958" s="4" t="s">
        <v>10</v>
      </c>
      <c r="J958" s="4" t="s">
        <v>186</v>
      </c>
      <c r="K958" s="4">
        <v>5</v>
      </c>
      <c r="L958" s="5">
        <v>177.48</v>
      </c>
      <c r="M958" s="5">
        <v>887.4</v>
      </c>
      <c r="N958" s="5">
        <v>516.45000000000005</v>
      </c>
      <c r="O958" s="5">
        <v>370.95</v>
      </c>
      <c r="P958" s="4">
        <f>--AND(OR(Dashboard!$A$10="All",C958=Dashboard!$A$10),OR(Dashboard!$A$14="All",F958=Dashboard!$A$14),OR(Dashboard!$A$18="All",G958=Dashboard!$A$18),OR(Dashboard!$A$22="All",I958=Dashboard!$A$22))</f>
        <v>1</v>
      </c>
    </row>
    <row r="959" spans="1:16" ht="15.75" customHeight="1">
      <c r="A959" s="4" t="s">
        <v>1165</v>
      </c>
      <c r="B959" s="6">
        <v>45656</v>
      </c>
      <c r="C959" s="4">
        <v>2024</v>
      </c>
      <c r="D959" s="4">
        <v>12</v>
      </c>
      <c r="E959" s="4" t="s">
        <v>57</v>
      </c>
      <c r="F959" s="4" t="s">
        <v>5</v>
      </c>
      <c r="G959" s="4" t="s">
        <v>12</v>
      </c>
      <c r="H959" s="4" t="s">
        <v>86</v>
      </c>
      <c r="I959" s="4" t="s">
        <v>10</v>
      </c>
      <c r="J959" s="4" t="s">
        <v>59</v>
      </c>
      <c r="K959" s="4">
        <v>1</v>
      </c>
      <c r="L959" s="5">
        <v>317.23</v>
      </c>
      <c r="M959" s="5">
        <v>317.23</v>
      </c>
      <c r="N959" s="5">
        <v>197.51</v>
      </c>
      <c r="O959" s="5">
        <v>119.72</v>
      </c>
      <c r="P959" s="4">
        <f>--AND(OR(Dashboard!$A$10="All",C959=Dashboard!$A$10),OR(Dashboard!$A$14="All",F959=Dashboard!$A$14),OR(Dashboard!$A$18="All",G959=Dashboard!$A$18),OR(Dashboard!$A$22="All",I959=Dashboard!$A$22))</f>
        <v>1</v>
      </c>
    </row>
    <row r="960" spans="1:16" ht="15.75" customHeight="1">
      <c r="A960" s="4" t="s">
        <v>1166</v>
      </c>
      <c r="B960" s="6">
        <v>45834</v>
      </c>
      <c r="C960" s="4">
        <v>2025</v>
      </c>
      <c r="D960" s="4">
        <v>6</v>
      </c>
      <c r="E960" s="4" t="s">
        <v>34</v>
      </c>
      <c r="F960" s="4" t="s">
        <v>11</v>
      </c>
      <c r="G960" s="4" t="s">
        <v>6</v>
      </c>
      <c r="H960" s="4" t="s">
        <v>136</v>
      </c>
      <c r="I960" s="4" t="s">
        <v>7</v>
      </c>
      <c r="J960" s="4" t="s">
        <v>393</v>
      </c>
      <c r="K960" s="4">
        <v>4</v>
      </c>
      <c r="L960" s="5">
        <v>123.26</v>
      </c>
      <c r="M960" s="5">
        <v>493.04</v>
      </c>
      <c r="N960" s="5">
        <v>327.41000000000003</v>
      </c>
      <c r="O960" s="5">
        <v>165.63</v>
      </c>
      <c r="P960" s="4">
        <f>--AND(OR(Dashboard!$A$10="All",C960=Dashboard!$A$10),OR(Dashboard!$A$14="All",F960=Dashboard!$A$14),OR(Dashboard!$A$18="All",G960=Dashboard!$A$18),OR(Dashboard!$A$22="All",I960=Dashboard!$A$22))</f>
        <v>1</v>
      </c>
    </row>
    <row r="961" spans="1:16" ht="15.75" customHeight="1">
      <c r="A961" s="4" t="s">
        <v>1167</v>
      </c>
      <c r="B961" s="6">
        <v>45558</v>
      </c>
      <c r="C961" s="4">
        <v>2024</v>
      </c>
      <c r="D961" s="4">
        <v>9</v>
      </c>
      <c r="E961" s="4" t="s">
        <v>79</v>
      </c>
      <c r="F961" s="4" t="s">
        <v>5</v>
      </c>
      <c r="G961" s="4" t="s">
        <v>12</v>
      </c>
      <c r="H961" s="4" t="s">
        <v>127</v>
      </c>
      <c r="I961" s="4" t="s">
        <v>10</v>
      </c>
      <c r="J961" s="4" t="s">
        <v>134</v>
      </c>
      <c r="K961" s="4">
        <v>3</v>
      </c>
      <c r="L961" s="5">
        <v>301.82</v>
      </c>
      <c r="M961" s="5">
        <v>905.46</v>
      </c>
      <c r="N961" s="5">
        <v>528.19000000000005</v>
      </c>
      <c r="O961" s="5">
        <v>377.27</v>
      </c>
      <c r="P961" s="4">
        <f>--AND(OR(Dashboard!$A$10="All",C961=Dashboard!$A$10),OR(Dashboard!$A$14="All",F961=Dashboard!$A$14),OR(Dashboard!$A$18="All",G961=Dashboard!$A$18),OR(Dashboard!$A$22="All",I961=Dashboard!$A$22))</f>
        <v>1</v>
      </c>
    </row>
    <row r="962" spans="1:16" ht="15.75" customHeight="1">
      <c r="A962" s="4" t="s">
        <v>1168</v>
      </c>
      <c r="B962" s="6">
        <v>45961</v>
      </c>
      <c r="C962" s="4">
        <v>2025</v>
      </c>
      <c r="D962" s="4">
        <v>10</v>
      </c>
      <c r="E962" s="4" t="s">
        <v>120</v>
      </c>
      <c r="F962" s="4" t="s">
        <v>14</v>
      </c>
      <c r="G962" s="4" t="s">
        <v>12</v>
      </c>
      <c r="H962" s="4" t="s">
        <v>86</v>
      </c>
      <c r="I962" s="4" t="s">
        <v>7</v>
      </c>
      <c r="J962" s="4" t="s">
        <v>280</v>
      </c>
      <c r="K962" s="4">
        <v>1</v>
      </c>
      <c r="L962" s="5">
        <v>315.91000000000003</v>
      </c>
      <c r="M962" s="5">
        <v>315.91000000000003</v>
      </c>
      <c r="N962" s="5">
        <v>196.86</v>
      </c>
      <c r="O962" s="5">
        <v>119.05</v>
      </c>
      <c r="P962" s="4">
        <f>--AND(OR(Dashboard!$A$10="All",C962=Dashboard!$A$10),OR(Dashboard!$A$14="All",F962=Dashboard!$A$14),OR(Dashboard!$A$18="All",G962=Dashboard!$A$18),OR(Dashboard!$A$22="All",I962=Dashboard!$A$22))</f>
        <v>1</v>
      </c>
    </row>
    <row r="963" spans="1:16" ht="15.75" customHeight="1">
      <c r="A963" s="4" t="s">
        <v>1169</v>
      </c>
      <c r="B963" s="6">
        <v>45777</v>
      </c>
      <c r="C963" s="4">
        <v>2025</v>
      </c>
      <c r="D963" s="4">
        <v>4</v>
      </c>
      <c r="E963" s="4" t="s">
        <v>106</v>
      </c>
      <c r="F963" s="4" t="s">
        <v>8</v>
      </c>
      <c r="G963" s="4" t="s">
        <v>6</v>
      </c>
      <c r="H963" s="4" t="s">
        <v>80</v>
      </c>
      <c r="I963" s="4" t="s">
        <v>7</v>
      </c>
      <c r="J963" s="4" t="s">
        <v>68</v>
      </c>
      <c r="K963" s="4">
        <v>1</v>
      </c>
      <c r="L963" s="5">
        <v>192.9</v>
      </c>
      <c r="M963" s="5">
        <v>192.9</v>
      </c>
      <c r="N963" s="5">
        <v>121.25</v>
      </c>
      <c r="O963" s="5">
        <v>71.650000000000006</v>
      </c>
      <c r="P963" s="4">
        <f>--AND(OR(Dashboard!$A$10="All",C963=Dashboard!$A$10),OR(Dashboard!$A$14="All",F963=Dashboard!$A$14),OR(Dashboard!$A$18="All",G963=Dashboard!$A$18),OR(Dashboard!$A$22="All",I963=Dashboard!$A$22))</f>
        <v>1</v>
      </c>
    </row>
    <row r="964" spans="1:16" ht="15.75" customHeight="1">
      <c r="A964" s="4" t="s">
        <v>1170</v>
      </c>
      <c r="B964" s="6">
        <v>45893</v>
      </c>
      <c r="C964" s="4">
        <v>2025</v>
      </c>
      <c r="D964" s="4">
        <v>8</v>
      </c>
      <c r="E964" s="4" t="s">
        <v>67</v>
      </c>
      <c r="F964" s="4" t="s">
        <v>5</v>
      </c>
      <c r="G964" s="4" t="s">
        <v>6</v>
      </c>
      <c r="H964" s="4" t="s">
        <v>54</v>
      </c>
      <c r="I964" s="4" t="s">
        <v>10</v>
      </c>
      <c r="J964" s="4" t="s">
        <v>94</v>
      </c>
      <c r="K964" s="4">
        <v>2</v>
      </c>
      <c r="L964" s="5">
        <v>130.78</v>
      </c>
      <c r="M964" s="5">
        <v>261.56</v>
      </c>
      <c r="N964" s="5">
        <v>179.22</v>
      </c>
      <c r="O964" s="5">
        <v>82.34</v>
      </c>
      <c r="P964" s="4">
        <f>--AND(OR(Dashboard!$A$10="All",C964=Dashboard!$A$10),OR(Dashboard!$A$14="All",F964=Dashboard!$A$14),OR(Dashboard!$A$18="All",G964=Dashboard!$A$18),OR(Dashboard!$A$22="All",I964=Dashboard!$A$22))</f>
        <v>1</v>
      </c>
    </row>
    <row r="965" spans="1:16" ht="15.75" customHeight="1">
      <c r="A965" s="4" t="s">
        <v>1171</v>
      </c>
      <c r="B965" s="6">
        <v>46010</v>
      </c>
      <c r="C965" s="4">
        <v>2025</v>
      </c>
      <c r="D965" s="4">
        <v>12</v>
      </c>
      <c r="E965" s="4" t="s">
        <v>57</v>
      </c>
      <c r="F965" s="4" t="s">
        <v>11</v>
      </c>
      <c r="G965" s="4" t="s">
        <v>9</v>
      </c>
      <c r="H965" s="4" t="s">
        <v>35</v>
      </c>
      <c r="I965" s="4" t="s">
        <v>7</v>
      </c>
      <c r="J965" s="4" t="s">
        <v>118</v>
      </c>
      <c r="K965" s="4">
        <v>2</v>
      </c>
      <c r="L965" s="5">
        <v>23.72</v>
      </c>
      <c r="M965" s="5">
        <v>47.44</v>
      </c>
      <c r="N965" s="5">
        <v>22.97</v>
      </c>
      <c r="O965" s="5">
        <v>24.47</v>
      </c>
      <c r="P965" s="4">
        <f>--AND(OR(Dashboard!$A$10="All",C965=Dashboard!$A$10),OR(Dashboard!$A$14="All",F965=Dashboard!$A$14),OR(Dashboard!$A$18="All",G965=Dashboard!$A$18),OR(Dashboard!$A$22="All",I965=Dashboard!$A$22))</f>
        <v>1</v>
      </c>
    </row>
    <row r="966" spans="1:16" ht="15.75" customHeight="1">
      <c r="A966" s="4" t="s">
        <v>1172</v>
      </c>
      <c r="B966" s="6">
        <v>45798</v>
      </c>
      <c r="C966" s="4">
        <v>2025</v>
      </c>
      <c r="D966" s="4">
        <v>5</v>
      </c>
      <c r="E966" s="4" t="s">
        <v>108</v>
      </c>
      <c r="F966" s="4" t="s">
        <v>14</v>
      </c>
      <c r="G966" s="4" t="s">
        <v>12</v>
      </c>
      <c r="H966" s="4" t="s">
        <v>124</v>
      </c>
      <c r="I966" s="4" t="s">
        <v>10</v>
      </c>
      <c r="J966" s="4" t="s">
        <v>259</v>
      </c>
      <c r="K966" s="4">
        <v>2</v>
      </c>
      <c r="L966" s="5">
        <v>303.88</v>
      </c>
      <c r="M966" s="5">
        <v>607.76</v>
      </c>
      <c r="N966" s="5">
        <v>366.85</v>
      </c>
      <c r="O966" s="5">
        <v>240.91</v>
      </c>
      <c r="P966" s="4">
        <f>--AND(OR(Dashboard!$A$10="All",C966=Dashboard!$A$10),OR(Dashboard!$A$14="All",F966=Dashboard!$A$14),OR(Dashboard!$A$18="All",G966=Dashboard!$A$18),OR(Dashboard!$A$22="All",I966=Dashboard!$A$22))</f>
        <v>1</v>
      </c>
    </row>
    <row r="967" spans="1:16" ht="15.75" customHeight="1">
      <c r="A967" s="4" t="s">
        <v>1173</v>
      </c>
      <c r="B967" s="6">
        <v>45366</v>
      </c>
      <c r="C967" s="4">
        <v>2024</v>
      </c>
      <c r="D967" s="4">
        <v>3</v>
      </c>
      <c r="E967" s="4" t="s">
        <v>100</v>
      </c>
      <c r="F967" s="4" t="s">
        <v>8</v>
      </c>
      <c r="G967" s="4" t="s">
        <v>12</v>
      </c>
      <c r="H967" s="4" t="s">
        <v>124</v>
      </c>
      <c r="I967" s="4" t="s">
        <v>10</v>
      </c>
      <c r="J967" s="4" t="s">
        <v>61</v>
      </c>
      <c r="K967" s="4">
        <v>7</v>
      </c>
      <c r="L967" s="5">
        <v>135.96</v>
      </c>
      <c r="M967" s="5">
        <v>951.72</v>
      </c>
      <c r="N967" s="5">
        <v>569.99</v>
      </c>
      <c r="O967" s="5">
        <v>381.73</v>
      </c>
      <c r="P967" s="4">
        <f>--AND(OR(Dashboard!$A$10="All",C967=Dashboard!$A$10),OR(Dashboard!$A$14="All",F967=Dashboard!$A$14),OR(Dashboard!$A$18="All",G967=Dashboard!$A$18),OR(Dashboard!$A$22="All",I967=Dashboard!$A$22))</f>
        <v>1</v>
      </c>
    </row>
    <row r="968" spans="1:16" ht="15.75" customHeight="1">
      <c r="A968" s="4" t="s">
        <v>1174</v>
      </c>
      <c r="B968" s="6">
        <v>45740</v>
      </c>
      <c r="C968" s="4">
        <v>2025</v>
      </c>
      <c r="D968" s="4">
        <v>3</v>
      </c>
      <c r="E968" s="4" t="s">
        <v>100</v>
      </c>
      <c r="F968" s="4" t="s">
        <v>8</v>
      </c>
      <c r="G968" s="4" t="s">
        <v>12</v>
      </c>
      <c r="H968" s="4" t="s">
        <v>58</v>
      </c>
      <c r="I968" s="4" t="s">
        <v>7</v>
      </c>
      <c r="J968" s="4" t="s">
        <v>128</v>
      </c>
      <c r="K968" s="4">
        <v>7</v>
      </c>
      <c r="L968" s="5">
        <v>295.45999999999998</v>
      </c>
      <c r="M968" s="5">
        <v>2068.2199999999998</v>
      </c>
      <c r="N968" s="5">
        <v>1302.26</v>
      </c>
      <c r="O968" s="5">
        <v>765.96</v>
      </c>
      <c r="P968" s="4">
        <f>--AND(OR(Dashboard!$A$10="All",C968=Dashboard!$A$10),OR(Dashboard!$A$14="All",F968=Dashboard!$A$14),OR(Dashboard!$A$18="All",G968=Dashboard!$A$18),OR(Dashboard!$A$22="All",I968=Dashboard!$A$22))</f>
        <v>1</v>
      </c>
    </row>
    <row r="969" spans="1:16" ht="15.75" customHeight="1">
      <c r="A969" s="4" t="s">
        <v>1175</v>
      </c>
      <c r="B969" s="6">
        <v>45576</v>
      </c>
      <c r="C969" s="4">
        <v>2024</v>
      </c>
      <c r="D969" s="4">
        <v>10</v>
      </c>
      <c r="E969" s="4" t="s">
        <v>120</v>
      </c>
      <c r="F969" s="4" t="s">
        <v>5</v>
      </c>
      <c r="G969" s="4" t="s">
        <v>6</v>
      </c>
      <c r="H969" s="4" t="s">
        <v>80</v>
      </c>
      <c r="I969" s="4" t="s">
        <v>7</v>
      </c>
      <c r="J969" s="4" t="s">
        <v>207</v>
      </c>
      <c r="K969" s="4">
        <v>1</v>
      </c>
      <c r="L969" s="5">
        <v>116.85</v>
      </c>
      <c r="M969" s="5">
        <v>116.85</v>
      </c>
      <c r="N969" s="5">
        <v>75.36</v>
      </c>
      <c r="O969" s="5">
        <v>41.49</v>
      </c>
      <c r="P969" s="4">
        <f>--AND(OR(Dashboard!$A$10="All",C969=Dashboard!$A$10),OR(Dashboard!$A$14="All",F969=Dashboard!$A$14),OR(Dashboard!$A$18="All",G969=Dashboard!$A$18),OR(Dashboard!$A$22="All",I969=Dashboard!$A$22))</f>
        <v>1</v>
      </c>
    </row>
    <row r="970" spans="1:16" ht="15.75" customHeight="1">
      <c r="A970" s="4" t="s">
        <v>1176</v>
      </c>
      <c r="B970" s="6">
        <v>45842</v>
      </c>
      <c r="C970" s="4">
        <v>2025</v>
      </c>
      <c r="D970" s="4">
        <v>7</v>
      </c>
      <c r="E970" s="4" t="s">
        <v>63</v>
      </c>
      <c r="F970" s="4" t="s">
        <v>8</v>
      </c>
      <c r="G970" s="4" t="s">
        <v>9</v>
      </c>
      <c r="H970" s="4" t="s">
        <v>142</v>
      </c>
      <c r="I970" s="4" t="s">
        <v>7</v>
      </c>
      <c r="J970" s="4" t="s">
        <v>455</v>
      </c>
      <c r="K970" s="4">
        <v>3</v>
      </c>
      <c r="L970" s="5">
        <v>38.61</v>
      </c>
      <c r="M970" s="5">
        <v>115.83</v>
      </c>
      <c r="N970" s="5">
        <v>57.11</v>
      </c>
      <c r="O970" s="5">
        <v>58.72</v>
      </c>
      <c r="P970" s="4">
        <f>--AND(OR(Dashboard!$A$10="All",C970=Dashboard!$A$10),OR(Dashboard!$A$14="All",F970=Dashboard!$A$14),OR(Dashboard!$A$18="All",G970=Dashboard!$A$18),OR(Dashboard!$A$22="All",I970=Dashboard!$A$22))</f>
        <v>1</v>
      </c>
    </row>
    <row r="971" spans="1:16" ht="15.75" customHeight="1">
      <c r="A971" s="4" t="s">
        <v>1177</v>
      </c>
      <c r="B971" s="6">
        <v>45674</v>
      </c>
      <c r="C971" s="4">
        <v>2025</v>
      </c>
      <c r="D971" s="4">
        <v>1</v>
      </c>
      <c r="E971" s="4" t="s">
        <v>30</v>
      </c>
      <c r="F971" s="4" t="s">
        <v>5</v>
      </c>
      <c r="G971" s="4" t="s">
        <v>9</v>
      </c>
      <c r="H971" s="4" t="s">
        <v>110</v>
      </c>
      <c r="I971" s="4" t="s">
        <v>7</v>
      </c>
      <c r="J971" s="4" t="s">
        <v>59</v>
      </c>
      <c r="K971" s="4">
        <v>5</v>
      </c>
      <c r="L971" s="5">
        <v>49.21</v>
      </c>
      <c r="M971" s="5">
        <v>246.05</v>
      </c>
      <c r="N971" s="5">
        <v>122.11</v>
      </c>
      <c r="O971" s="5">
        <v>123.94</v>
      </c>
      <c r="P971" s="4">
        <f>--AND(OR(Dashboard!$A$10="All",C971=Dashboard!$A$10),OR(Dashboard!$A$14="All",F971=Dashboard!$A$14),OR(Dashboard!$A$18="All",G971=Dashboard!$A$18),OR(Dashboard!$A$22="All",I971=Dashboard!$A$22))</f>
        <v>1</v>
      </c>
    </row>
    <row r="972" spans="1:16" ht="15.75" customHeight="1">
      <c r="A972" s="4" t="s">
        <v>1178</v>
      </c>
      <c r="B972" s="6">
        <v>45467</v>
      </c>
      <c r="C972" s="4">
        <v>2024</v>
      </c>
      <c r="D972" s="4">
        <v>6</v>
      </c>
      <c r="E972" s="4" t="s">
        <v>34</v>
      </c>
      <c r="F972" s="4" t="s">
        <v>14</v>
      </c>
      <c r="G972" s="4" t="s">
        <v>9</v>
      </c>
      <c r="H972" s="4" t="s">
        <v>110</v>
      </c>
      <c r="I972" s="4" t="s">
        <v>7</v>
      </c>
      <c r="J972" s="4" t="s">
        <v>115</v>
      </c>
      <c r="K972" s="4">
        <v>1</v>
      </c>
      <c r="L972" s="5">
        <v>56.67</v>
      </c>
      <c r="M972" s="5">
        <v>56.67</v>
      </c>
      <c r="N972" s="5">
        <v>27.91</v>
      </c>
      <c r="O972" s="5">
        <v>28.76</v>
      </c>
      <c r="P972" s="4">
        <f>--AND(OR(Dashboard!$A$10="All",C972=Dashboard!$A$10),OR(Dashboard!$A$14="All",F972=Dashboard!$A$14),OR(Dashboard!$A$18="All",G972=Dashboard!$A$18),OR(Dashboard!$A$22="All",I972=Dashboard!$A$22))</f>
        <v>1</v>
      </c>
    </row>
    <row r="973" spans="1:16" ht="15.75" customHeight="1">
      <c r="A973" s="4" t="s">
        <v>1179</v>
      </c>
      <c r="B973" s="6">
        <v>45775</v>
      </c>
      <c r="C973" s="4">
        <v>2025</v>
      </c>
      <c r="D973" s="4">
        <v>4</v>
      </c>
      <c r="E973" s="4" t="s">
        <v>106</v>
      </c>
      <c r="F973" s="4" t="s">
        <v>8</v>
      </c>
      <c r="G973" s="4" t="s">
        <v>6</v>
      </c>
      <c r="H973" s="4" t="s">
        <v>136</v>
      </c>
      <c r="I973" s="4" t="s">
        <v>7</v>
      </c>
      <c r="J973" s="4" t="s">
        <v>379</v>
      </c>
      <c r="K973" s="4">
        <v>1</v>
      </c>
      <c r="L973" s="5">
        <v>209.79</v>
      </c>
      <c r="M973" s="5">
        <v>209.79</v>
      </c>
      <c r="N973" s="5">
        <v>140.46</v>
      </c>
      <c r="O973" s="5">
        <v>69.33</v>
      </c>
      <c r="P973" s="4">
        <f>--AND(OR(Dashboard!$A$10="All",C973=Dashboard!$A$10),OR(Dashboard!$A$14="All",F973=Dashboard!$A$14),OR(Dashboard!$A$18="All",G973=Dashboard!$A$18),OR(Dashboard!$A$22="All",I973=Dashboard!$A$22))</f>
        <v>1</v>
      </c>
    </row>
    <row r="974" spans="1:16" ht="15.75" customHeight="1">
      <c r="A974" s="4" t="s">
        <v>1180</v>
      </c>
      <c r="B974" s="6">
        <v>45815</v>
      </c>
      <c r="C974" s="4">
        <v>2025</v>
      </c>
      <c r="D974" s="4">
        <v>6</v>
      </c>
      <c r="E974" s="4" t="s">
        <v>34</v>
      </c>
      <c r="F974" s="4" t="s">
        <v>5</v>
      </c>
      <c r="G974" s="4" t="s">
        <v>9</v>
      </c>
      <c r="H974" s="4" t="s">
        <v>64</v>
      </c>
      <c r="I974" s="4" t="s">
        <v>10</v>
      </c>
      <c r="J974" s="4" t="s">
        <v>379</v>
      </c>
      <c r="K974" s="4">
        <v>2</v>
      </c>
      <c r="L974" s="5">
        <v>55.88</v>
      </c>
      <c r="M974" s="5">
        <v>111.76</v>
      </c>
      <c r="N974" s="5">
        <v>55.55</v>
      </c>
      <c r="O974" s="5">
        <v>56.21</v>
      </c>
      <c r="P974" s="4">
        <f>--AND(OR(Dashboard!$A$10="All",C974=Dashboard!$A$10),OR(Dashboard!$A$14="All",F974=Dashboard!$A$14),OR(Dashboard!$A$18="All",G974=Dashboard!$A$18),OR(Dashboard!$A$22="All",I974=Dashboard!$A$22))</f>
        <v>1</v>
      </c>
    </row>
    <row r="975" spans="1:16" ht="15.75" customHeight="1">
      <c r="A975" s="4" t="s">
        <v>1181</v>
      </c>
      <c r="B975" s="6">
        <v>45810</v>
      </c>
      <c r="C975" s="4">
        <v>2025</v>
      </c>
      <c r="D975" s="4">
        <v>6</v>
      </c>
      <c r="E975" s="4" t="s">
        <v>34</v>
      </c>
      <c r="F975" s="4" t="s">
        <v>14</v>
      </c>
      <c r="G975" s="4" t="s">
        <v>12</v>
      </c>
      <c r="H975" s="4" t="s">
        <v>127</v>
      </c>
      <c r="I975" s="4" t="s">
        <v>7</v>
      </c>
      <c r="J975" s="4" t="s">
        <v>319</v>
      </c>
      <c r="K975" s="4">
        <v>1</v>
      </c>
      <c r="L975" s="5">
        <v>286.92</v>
      </c>
      <c r="M975" s="5">
        <v>286.92</v>
      </c>
      <c r="N975" s="5">
        <v>179.71</v>
      </c>
      <c r="O975" s="5">
        <v>107.21</v>
      </c>
      <c r="P975" s="4">
        <f>--AND(OR(Dashboard!$A$10="All",C975=Dashboard!$A$10),OR(Dashboard!$A$14="All",F975=Dashboard!$A$14),OR(Dashboard!$A$18="All",G975=Dashboard!$A$18),OR(Dashboard!$A$22="All",I975=Dashboard!$A$22))</f>
        <v>1</v>
      </c>
    </row>
    <row r="976" spans="1:16" ht="15.75" customHeight="1">
      <c r="A976" s="4" t="s">
        <v>1182</v>
      </c>
      <c r="B976" s="6">
        <v>45989</v>
      </c>
      <c r="C976" s="4">
        <v>2025</v>
      </c>
      <c r="D976" s="4">
        <v>11</v>
      </c>
      <c r="E976" s="4" t="s">
        <v>89</v>
      </c>
      <c r="F976" s="4" t="s">
        <v>5</v>
      </c>
      <c r="G976" s="4" t="s">
        <v>12</v>
      </c>
      <c r="H976" s="4" t="s">
        <v>127</v>
      </c>
      <c r="I976" s="4" t="s">
        <v>13</v>
      </c>
      <c r="J976" s="4" t="s">
        <v>285</v>
      </c>
      <c r="K976" s="4">
        <v>3</v>
      </c>
      <c r="L976" s="5">
        <v>311.14</v>
      </c>
      <c r="M976" s="5">
        <v>933.42</v>
      </c>
      <c r="N976" s="5">
        <v>586.12</v>
      </c>
      <c r="O976" s="5">
        <v>347.3</v>
      </c>
      <c r="P976" s="4">
        <f>--AND(OR(Dashboard!$A$10="All",C976=Dashboard!$A$10),OR(Dashboard!$A$14="All",F976=Dashboard!$A$14),OR(Dashboard!$A$18="All",G976=Dashboard!$A$18),OR(Dashboard!$A$22="All",I976=Dashboard!$A$22))</f>
        <v>1</v>
      </c>
    </row>
    <row r="977" spans="1:16" ht="15.75" customHeight="1">
      <c r="A977" s="4" t="s">
        <v>1183</v>
      </c>
      <c r="B977" s="6">
        <v>45922</v>
      </c>
      <c r="C977" s="4">
        <v>2025</v>
      </c>
      <c r="D977" s="4">
        <v>9</v>
      </c>
      <c r="E977" s="4" t="s">
        <v>79</v>
      </c>
      <c r="F977" s="4" t="s">
        <v>11</v>
      </c>
      <c r="G977" s="4" t="s">
        <v>9</v>
      </c>
      <c r="H977" s="4" t="s">
        <v>64</v>
      </c>
      <c r="I977" s="4" t="s">
        <v>7</v>
      </c>
      <c r="J977" s="4" t="s">
        <v>68</v>
      </c>
      <c r="K977" s="4">
        <v>1</v>
      </c>
      <c r="L977" s="5">
        <v>50.51</v>
      </c>
      <c r="M977" s="5">
        <v>50.51</v>
      </c>
      <c r="N977" s="5">
        <v>24.35</v>
      </c>
      <c r="O977" s="5">
        <v>26.16</v>
      </c>
      <c r="P977" s="4">
        <f>--AND(OR(Dashboard!$A$10="All",C977=Dashboard!$A$10),OR(Dashboard!$A$14="All",F977=Dashboard!$A$14),OR(Dashboard!$A$18="All",G977=Dashboard!$A$18),OR(Dashboard!$A$22="All",I977=Dashboard!$A$22))</f>
        <v>1</v>
      </c>
    </row>
    <row r="978" spans="1:16" ht="15.75" customHeight="1">
      <c r="A978" s="4" t="s">
        <v>1184</v>
      </c>
      <c r="B978" s="6">
        <v>45440</v>
      </c>
      <c r="C978" s="4">
        <v>2024</v>
      </c>
      <c r="D978" s="4">
        <v>5</v>
      </c>
      <c r="E978" s="4" t="s">
        <v>108</v>
      </c>
      <c r="F978" s="4" t="s">
        <v>5</v>
      </c>
      <c r="G978" s="4" t="s">
        <v>6</v>
      </c>
      <c r="H978" s="4" t="s">
        <v>98</v>
      </c>
      <c r="I978" s="4" t="s">
        <v>10</v>
      </c>
      <c r="J978" s="4" t="s">
        <v>235</v>
      </c>
      <c r="K978" s="4">
        <v>2</v>
      </c>
      <c r="L978" s="5">
        <v>131.05000000000001</v>
      </c>
      <c r="M978" s="5">
        <v>262.10000000000002</v>
      </c>
      <c r="N978" s="5">
        <v>170.14</v>
      </c>
      <c r="O978" s="5">
        <v>91.96</v>
      </c>
      <c r="P978" s="4">
        <f>--AND(OR(Dashboard!$A$10="All",C978=Dashboard!$A$10),OR(Dashboard!$A$14="All",F978=Dashboard!$A$14),OR(Dashboard!$A$18="All",G978=Dashboard!$A$18),OR(Dashboard!$A$22="All",I978=Dashboard!$A$22))</f>
        <v>1</v>
      </c>
    </row>
    <row r="979" spans="1:16" ht="15.75" customHeight="1">
      <c r="A979" s="4" t="s">
        <v>1185</v>
      </c>
      <c r="B979" s="6">
        <v>45755</v>
      </c>
      <c r="C979" s="4">
        <v>2025</v>
      </c>
      <c r="D979" s="4">
        <v>4</v>
      </c>
      <c r="E979" s="4" t="s">
        <v>106</v>
      </c>
      <c r="F979" s="4" t="s">
        <v>8</v>
      </c>
      <c r="G979" s="4" t="s">
        <v>12</v>
      </c>
      <c r="H979" s="4" t="s">
        <v>92</v>
      </c>
      <c r="I979" s="4" t="s">
        <v>7</v>
      </c>
      <c r="J979" s="4" t="s">
        <v>181</v>
      </c>
      <c r="K979" s="4">
        <v>3</v>
      </c>
      <c r="L979" s="5">
        <v>163.88</v>
      </c>
      <c r="M979" s="5">
        <v>491.64</v>
      </c>
      <c r="N979" s="5">
        <v>284.74</v>
      </c>
      <c r="O979" s="5">
        <v>206.9</v>
      </c>
      <c r="P979" s="4">
        <f>--AND(OR(Dashboard!$A$10="All",C979=Dashboard!$A$10),OR(Dashboard!$A$14="All",F979=Dashboard!$A$14),OR(Dashboard!$A$18="All",G979=Dashboard!$A$18),OR(Dashboard!$A$22="All",I979=Dashboard!$A$22))</f>
        <v>1</v>
      </c>
    </row>
    <row r="980" spans="1:16" ht="15.75" customHeight="1">
      <c r="A980" s="4" t="s">
        <v>1186</v>
      </c>
      <c r="B980" s="6">
        <v>45744</v>
      </c>
      <c r="C980" s="4">
        <v>2025</v>
      </c>
      <c r="D980" s="4">
        <v>3</v>
      </c>
      <c r="E980" s="4" t="s">
        <v>100</v>
      </c>
      <c r="F980" s="4" t="s">
        <v>5</v>
      </c>
      <c r="G980" s="4" t="s">
        <v>12</v>
      </c>
      <c r="H980" s="4" t="s">
        <v>92</v>
      </c>
      <c r="I980" s="4" t="s">
        <v>7</v>
      </c>
      <c r="J980" s="4" t="s">
        <v>226</v>
      </c>
      <c r="K980" s="4">
        <v>2</v>
      </c>
      <c r="L980" s="5">
        <v>188.9</v>
      </c>
      <c r="M980" s="5">
        <v>377.8</v>
      </c>
      <c r="N980" s="5">
        <v>236.91</v>
      </c>
      <c r="O980" s="5">
        <v>140.88999999999999</v>
      </c>
      <c r="P980" s="4">
        <f>--AND(OR(Dashboard!$A$10="All",C980=Dashboard!$A$10),OR(Dashboard!$A$14="All",F980=Dashboard!$A$14),OR(Dashboard!$A$18="All",G980=Dashboard!$A$18),OR(Dashboard!$A$22="All",I980=Dashboard!$A$22))</f>
        <v>1</v>
      </c>
    </row>
    <row r="981" spans="1:16" ht="15.75" customHeight="1">
      <c r="A981" s="4" t="s">
        <v>1187</v>
      </c>
      <c r="B981" s="6">
        <v>45825</v>
      </c>
      <c r="C981" s="4">
        <v>2025</v>
      </c>
      <c r="D981" s="4">
        <v>6</v>
      </c>
      <c r="E981" s="4" t="s">
        <v>34</v>
      </c>
      <c r="F981" s="4" t="s">
        <v>11</v>
      </c>
      <c r="G981" s="4" t="s">
        <v>6</v>
      </c>
      <c r="H981" s="4" t="s">
        <v>98</v>
      </c>
      <c r="I981" s="4" t="s">
        <v>7</v>
      </c>
      <c r="J981" s="4" t="s">
        <v>255</v>
      </c>
      <c r="K981" s="4">
        <v>2</v>
      </c>
      <c r="L981" s="5">
        <v>121.97</v>
      </c>
      <c r="M981" s="5">
        <v>243.94</v>
      </c>
      <c r="N981" s="5">
        <v>156.37</v>
      </c>
      <c r="O981" s="5">
        <v>87.57</v>
      </c>
      <c r="P981" s="4">
        <f>--AND(OR(Dashboard!$A$10="All",C981=Dashboard!$A$10),OR(Dashboard!$A$14="All",F981=Dashboard!$A$14),OR(Dashboard!$A$18="All",G981=Dashboard!$A$18),OR(Dashboard!$A$22="All",I981=Dashboard!$A$22))</f>
        <v>1</v>
      </c>
    </row>
    <row r="982" spans="1:16" ht="15.75" customHeight="1">
      <c r="A982" s="4" t="s">
        <v>1188</v>
      </c>
      <c r="B982" s="6">
        <v>45961</v>
      </c>
      <c r="C982" s="4">
        <v>2025</v>
      </c>
      <c r="D982" s="4">
        <v>10</v>
      </c>
      <c r="E982" s="4" t="s">
        <v>120</v>
      </c>
      <c r="F982" s="4" t="s">
        <v>5</v>
      </c>
      <c r="G982" s="4" t="s">
        <v>9</v>
      </c>
      <c r="H982" s="4" t="s">
        <v>71</v>
      </c>
      <c r="I982" s="4" t="s">
        <v>10</v>
      </c>
      <c r="J982" s="4" t="s">
        <v>485</v>
      </c>
      <c r="K982" s="4">
        <v>7</v>
      </c>
      <c r="L982" s="5">
        <v>47.97</v>
      </c>
      <c r="M982" s="5">
        <v>335.79</v>
      </c>
      <c r="N982" s="5">
        <v>162.15</v>
      </c>
      <c r="O982" s="5">
        <v>173.64</v>
      </c>
      <c r="P982" s="4">
        <f>--AND(OR(Dashboard!$A$10="All",C982=Dashboard!$A$10),OR(Dashboard!$A$14="All",F982=Dashboard!$A$14),OR(Dashboard!$A$18="All",G982=Dashboard!$A$18),OR(Dashboard!$A$22="All",I982=Dashboard!$A$22))</f>
        <v>1</v>
      </c>
    </row>
    <row r="983" spans="1:16" ht="15.75" customHeight="1">
      <c r="A983" s="4" t="s">
        <v>1189</v>
      </c>
      <c r="B983" s="6">
        <v>45955</v>
      </c>
      <c r="C983" s="4">
        <v>2025</v>
      </c>
      <c r="D983" s="4">
        <v>10</v>
      </c>
      <c r="E983" s="4" t="s">
        <v>120</v>
      </c>
      <c r="F983" s="4" t="s">
        <v>5</v>
      </c>
      <c r="G983" s="4" t="s">
        <v>6</v>
      </c>
      <c r="H983" s="4" t="s">
        <v>54</v>
      </c>
      <c r="I983" s="4" t="s">
        <v>7</v>
      </c>
      <c r="J983" s="4" t="s">
        <v>455</v>
      </c>
      <c r="K983" s="4">
        <v>1</v>
      </c>
      <c r="L983" s="5">
        <v>186.17</v>
      </c>
      <c r="M983" s="5">
        <v>186.17</v>
      </c>
      <c r="N983" s="5">
        <v>124.79</v>
      </c>
      <c r="O983" s="5">
        <v>61.38</v>
      </c>
      <c r="P983" s="4">
        <f>--AND(OR(Dashboard!$A$10="All",C983=Dashboard!$A$10),OR(Dashboard!$A$14="All",F983=Dashboard!$A$14),OR(Dashboard!$A$18="All",G983=Dashboard!$A$18),OR(Dashboard!$A$22="All",I983=Dashboard!$A$22))</f>
        <v>1</v>
      </c>
    </row>
    <row r="984" spans="1:16" ht="15.75" customHeight="1">
      <c r="A984" s="4" t="s">
        <v>1190</v>
      </c>
      <c r="B984" s="6">
        <v>45885</v>
      </c>
      <c r="C984" s="4">
        <v>2025</v>
      </c>
      <c r="D984" s="4">
        <v>8</v>
      </c>
      <c r="E984" s="4" t="s">
        <v>67</v>
      </c>
      <c r="F984" s="4" t="s">
        <v>11</v>
      </c>
      <c r="G984" s="4" t="s">
        <v>12</v>
      </c>
      <c r="H984" s="4" t="s">
        <v>86</v>
      </c>
      <c r="I984" s="4" t="s">
        <v>7</v>
      </c>
      <c r="J984" s="4" t="s">
        <v>205</v>
      </c>
      <c r="K984" s="4">
        <v>7</v>
      </c>
      <c r="L984" s="5">
        <v>164.1</v>
      </c>
      <c r="M984" s="5">
        <v>1148.7</v>
      </c>
      <c r="N984" s="5">
        <v>702.72</v>
      </c>
      <c r="O984" s="5">
        <v>445.98</v>
      </c>
      <c r="P984" s="4">
        <f>--AND(OR(Dashboard!$A$10="All",C984=Dashboard!$A$10),OR(Dashboard!$A$14="All",F984=Dashboard!$A$14),OR(Dashboard!$A$18="All",G984=Dashboard!$A$18),OR(Dashboard!$A$22="All",I984=Dashboard!$A$22))</f>
        <v>1</v>
      </c>
    </row>
    <row r="985" spans="1:16" ht="15.75" customHeight="1">
      <c r="A985" s="4" t="s">
        <v>1191</v>
      </c>
      <c r="B985" s="6">
        <v>45572</v>
      </c>
      <c r="C985" s="4">
        <v>2024</v>
      </c>
      <c r="D985" s="4">
        <v>10</v>
      </c>
      <c r="E985" s="4" t="s">
        <v>120</v>
      </c>
      <c r="F985" s="4" t="s">
        <v>8</v>
      </c>
      <c r="G985" s="4" t="s">
        <v>9</v>
      </c>
      <c r="H985" s="4" t="s">
        <v>64</v>
      </c>
      <c r="I985" s="4" t="s">
        <v>10</v>
      </c>
      <c r="J985" s="4" t="s">
        <v>216</v>
      </c>
      <c r="K985" s="4">
        <v>18</v>
      </c>
      <c r="L985" s="5">
        <v>56.46</v>
      </c>
      <c r="M985" s="5">
        <v>1016.28</v>
      </c>
      <c r="N985" s="5">
        <v>517.76</v>
      </c>
      <c r="O985" s="5">
        <v>498.52</v>
      </c>
      <c r="P985" s="4">
        <f>--AND(OR(Dashboard!$A$10="All",C985=Dashboard!$A$10),OR(Dashboard!$A$14="All",F985=Dashboard!$A$14),OR(Dashboard!$A$18="All",G985=Dashboard!$A$18),OR(Dashboard!$A$22="All",I985=Dashboard!$A$22))</f>
        <v>1</v>
      </c>
    </row>
    <row r="986" spans="1:16" ht="15.75" customHeight="1">
      <c r="A986" s="4" t="s">
        <v>1192</v>
      </c>
      <c r="B986" s="6">
        <v>45637</v>
      </c>
      <c r="C986" s="4">
        <v>2024</v>
      </c>
      <c r="D986" s="4">
        <v>12</v>
      </c>
      <c r="E986" s="4" t="s">
        <v>57</v>
      </c>
      <c r="F986" s="4" t="s">
        <v>5</v>
      </c>
      <c r="G986" s="4" t="s">
        <v>9</v>
      </c>
      <c r="H986" s="4" t="s">
        <v>71</v>
      </c>
      <c r="I986" s="4" t="s">
        <v>10</v>
      </c>
      <c r="J986" s="4" t="s">
        <v>211</v>
      </c>
      <c r="K986" s="4">
        <v>7</v>
      </c>
      <c r="L986" s="5">
        <v>51.7</v>
      </c>
      <c r="M986" s="5">
        <v>361.9</v>
      </c>
      <c r="N986" s="5">
        <v>187.64</v>
      </c>
      <c r="O986" s="5">
        <v>174.26</v>
      </c>
      <c r="P986" s="4">
        <f>--AND(OR(Dashboard!$A$10="All",C986=Dashboard!$A$10),OR(Dashboard!$A$14="All",F986=Dashboard!$A$14),OR(Dashboard!$A$18="All",G986=Dashboard!$A$18),OR(Dashboard!$A$22="All",I986=Dashboard!$A$22))</f>
        <v>1</v>
      </c>
    </row>
    <row r="987" spans="1:16" ht="15.75" customHeight="1">
      <c r="A987" s="4" t="s">
        <v>1193</v>
      </c>
      <c r="B987" s="6">
        <v>45556</v>
      </c>
      <c r="C987" s="4">
        <v>2024</v>
      </c>
      <c r="D987" s="4">
        <v>9</v>
      </c>
      <c r="E987" s="4" t="s">
        <v>79</v>
      </c>
      <c r="F987" s="4" t="s">
        <v>5</v>
      </c>
      <c r="G987" s="4" t="s">
        <v>6</v>
      </c>
      <c r="H987" s="4" t="s">
        <v>54</v>
      </c>
      <c r="I987" s="4" t="s">
        <v>7</v>
      </c>
      <c r="J987" s="4" t="s">
        <v>240</v>
      </c>
      <c r="K987" s="4">
        <v>13</v>
      </c>
      <c r="L987" s="5">
        <v>78.92</v>
      </c>
      <c r="M987" s="5">
        <v>1025.96</v>
      </c>
      <c r="N987" s="5">
        <v>695.92</v>
      </c>
      <c r="O987" s="5">
        <v>330.04</v>
      </c>
      <c r="P987" s="4">
        <f>--AND(OR(Dashboard!$A$10="All",C987=Dashboard!$A$10),OR(Dashboard!$A$14="All",F987=Dashboard!$A$14),OR(Dashboard!$A$18="All",G987=Dashboard!$A$18),OR(Dashboard!$A$22="All",I987=Dashboard!$A$22))</f>
        <v>1</v>
      </c>
    </row>
    <row r="988" spans="1:16" ht="15.75" customHeight="1">
      <c r="A988" s="4" t="s">
        <v>1194</v>
      </c>
      <c r="B988" s="6">
        <v>45776</v>
      </c>
      <c r="C988" s="4">
        <v>2025</v>
      </c>
      <c r="D988" s="4">
        <v>4</v>
      </c>
      <c r="E988" s="4" t="s">
        <v>106</v>
      </c>
      <c r="F988" s="4" t="s">
        <v>11</v>
      </c>
      <c r="G988" s="4" t="s">
        <v>6</v>
      </c>
      <c r="H988" s="4" t="s">
        <v>114</v>
      </c>
      <c r="I988" s="4" t="s">
        <v>7</v>
      </c>
      <c r="J988" s="4" t="s">
        <v>263</v>
      </c>
      <c r="K988" s="4">
        <v>6</v>
      </c>
      <c r="L988" s="5">
        <v>90.95</v>
      </c>
      <c r="M988" s="5">
        <v>545.70000000000005</v>
      </c>
      <c r="N988" s="5">
        <v>344.87</v>
      </c>
      <c r="O988" s="5">
        <v>200.83</v>
      </c>
      <c r="P988" s="4">
        <f>--AND(OR(Dashboard!$A$10="All",C988=Dashboard!$A$10),OR(Dashboard!$A$14="All",F988=Dashboard!$A$14),OR(Dashboard!$A$18="All",G988=Dashboard!$A$18),OR(Dashboard!$A$22="All",I988=Dashboard!$A$22))</f>
        <v>1</v>
      </c>
    </row>
    <row r="989" spans="1:16" ht="15.75" customHeight="1">
      <c r="A989" s="4" t="s">
        <v>1195</v>
      </c>
      <c r="B989" s="6">
        <v>45388</v>
      </c>
      <c r="C989" s="4">
        <v>2024</v>
      </c>
      <c r="D989" s="4">
        <v>4</v>
      </c>
      <c r="E989" s="4" t="s">
        <v>106</v>
      </c>
      <c r="F989" s="4" t="s">
        <v>14</v>
      </c>
      <c r="G989" s="4" t="s">
        <v>6</v>
      </c>
      <c r="H989" s="4" t="s">
        <v>136</v>
      </c>
      <c r="I989" s="4" t="s">
        <v>13</v>
      </c>
      <c r="J989" s="4" t="s">
        <v>289</v>
      </c>
      <c r="K989" s="4">
        <v>3</v>
      </c>
      <c r="L989" s="5">
        <v>154.69</v>
      </c>
      <c r="M989" s="5">
        <v>464.07</v>
      </c>
      <c r="N989" s="5">
        <v>298.83</v>
      </c>
      <c r="O989" s="5">
        <v>165.24</v>
      </c>
      <c r="P989" s="4">
        <f>--AND(OR(Dashboard!$A$10="All",C989=Dashboard!$A$10),OR(Dashboard!$A$14="All",F989=Dashboard!$A$14),OR(Dashboard!$A$18="All",G989=Dashboard!$A$18),OR(Dashboard!$A$22="All",I989=Dashboard!$A$22))</f>
        <v>1</v>
      </c>
    </row>
    <row r="990" spans="1:16" ht="15.75" customHeight="1">
      <c r="A990" s="4" t="s">
        <v>1196</v>
      </c>
      <c r="B990" s="6">
        <v>45745</v>
      </c>
      <c r="C990" s="4">
        <v>2025</v>
      </c>
      <c r="D990" s="4">
        <v>3</v>
      </c>
      <c r="E990" s="4" t="s">
        <v>100</v>
      </c>
      <c r="F990" s="4" t="s">
        <v>11</v>
      </c>
      <c r="G990" s="4" t="s">
        <v>6</v>
      </c>
      <c r="H990" s="4" t="s">
        <v>80</v>
      </c>
      <c r="I990" s="4" t="s">
        <v>7</v>
      </c>
      <c r="J990" s="4" t="s">
        <v>181</v>
      </c>
      <c r="K990" s="4">
        <v>4</v>
      </c>
      <c r="L990" s="5">
        <v>110.26</v>
      </c>
      <c r="M990" s="5">
        <v>441.04</v>
      </c>
      <c r="N990" s="5">
        <v>295.44</v>
      </c>
      <c r="O990" s="5">
        <v>145.6</v>
      </c>
      <c r="P990" s="4">
        <f>--AND(OR(Dashboard!$A$10="All",C990=Dashboard!$A$10),OR(Dashboard!$A$14="All",F990=Dashboard!$A$14),OR(Dashboard!$A$18="All",G990=Dashboard!$A$18),OR(Dashboard!$A$22="All",I990=Dashboard!$A$22))</f>
        <v>1</v>
      </c>
    </row>
    <row r="991" spans="1:16" ht="15.75" customHeight="1">
      <c r="A991" s="4" t="s">
        <v>1197</v>
      </c>
      <c r="B991" s="6">
        <v>45379</v>
      </c>
      <c r="C991" s="4">
        <v>2024</v>
      </c>
      <c r="D991" s="4">
        <v>3</v>
      </c>
      <c r="E991" s="4" t="s">
        <v>100</v>
      </c>
      <c r="F991" s="4" t="s">
        <v>5</v>
      </c>
      <c r="G991" s="4" t="s">
        <v>9</v>
      </c>
      <c r="H991" s="4" t="s">
        <v>64</v>
      </c>
      <c r="I991" s="4" t="s">
        <v>7</v>
      </c>
      <c r="J991" s="4" t="s">
        <v>170</v>
      </c>
      <c r="K991" s="4">
        <v>5</v>
      </c>
      <c r="L991" s="5">
        <v>33.04</v>
      </c>
      <c r="M991" s="5">
        <v>165.2</v>
      </c>
      <c r="N991" s="5">
        <v>79.72</v>
      </c>
      <c r="O991" s="5">
        <v>85.48</v>
      </c>
      <c r="P991" s="4">
        <f>--AND(OR(Dashboard!$A$10="All",C991=Dashboard!$A$10),OR(Dashboard!$A$14="All",F991=Dashboard!$A$14),OR(Dashboard!$A$18="All",G991=Dashboard!$A$18),OR(Dashboard!$A$22="All",I991=Dashboard!$A$22))</f>
        <v>1</v>
      </c>
    </row>
    <row r="992" spans="1:16" ht="15.75" customHeight="1">
      <c r="A992" s="4" t="s">
        <v>1198</v>
      </c>
      <c r="B992" s="6">
        <v>45860</v>
      </c>
      <c r="C992" s="4">
        <v>2025</v>
      </c>
      <c r="D992" s="4">
        <v>7</v>
      </c>
      <c r="E992" s="4" t="s">
        <v>63</v>
      </c>
      <c r="F992" s="4" t="s">
        <v>14</v>
      </c>
      <c r="G992" s="4" t="s">
        <v>9</v>
      </c>
      <c r="H992" s="4" t="s">
        <v>142</v>
      </c>
      <c r="I992" s="4" t="s">
        <v>7</v>
      </c>
      <c r="J992" s="4" t="s">
        <v>314</v>
      </c>
      <c r="K992" s="4">
        <v>6</v>
      </c>
      <c r="L992" s="5">
        <v>23.02</v>
      </c>
      <c r="M992" s="5">
        <v>138.12</v>
      </c>
      <c r="N992" s="5">
        <v>69.53</v>
      </c>
      <c r="O992" s="5">
        <v>68.59</v>
      </c>
      <c r="P992" s="4">
        <f>--AND(OR(Dashboard!$A$10="All",C992=Dashboard!$A$10),OR(Dashboard!$A$14="All",F992=Dashboard!$A$14),OR(Dashboard!$A$18="All",G992=Dashboard!$A$18),OR(Dashboard!$A$22="All",I992=Dashboard!$A$22))</f>
        <v>1</v>
      </c>
    </row>
    <row r="993" spans="1:16" ht="15.75" customHeight="1">
      <c r="A993" s="4" t="s">
        <v>1199</v>
      </c>
      <c r="B993" s="6">
        <v>45812</v>
      </c>
      <c r="C993" s="4">
        <v>2025</v>
      </c>
      <c r="D993" s="4">
        <v>6</v>
      </c>
      <c r="E993" s="4" t="s">
        <v>34</v>
      </c>
      <c r="F993" s="4" t="s">
        <v>5</v>
      </c>
      <c r="G993" s="4" t="s">
        <v>12</v>
      </c>
      <c r="H993" s="4" t="s">
        <v>92</v>
      </c>
      <c r="I993" s="4" t="s">
        <v>7</v>
      </c>
      <c r="J993" s="4" t="s">
        <v>146</v>
      </c>
      <c r="K993" s="4">
        <v>8</v>
      </c>
      <c r="L993" s="5">
        <v>243.73</v>
      </c>
      <c r="M993" s="5">
        <v>1949.84</v>
      </c>
      <c r="N993" s="5">
        <v>1216.6199999999999</v>
      </c>
      <c r="O993" s="5">
        <v>733.22</v>
      </c>
      <c r="P993" s="4">
        <f>--AND(OR(Dashboard!$A$10="All",C993=Dashboard!$A$10),OR(Dashboard!$A$14="All",F993=Dashboard!$A$14),OR(Dashboard!$A$18="All",G993=Dashboard!$A$18),OR(Dashboard!$A$22="All",I993=Dashboard!$A$22))</f>
        <v>1</v>
      </c>
    </row>
    <row r="994" spans="1:16" ht="15.75" customHeight="1">
      <c r="A994" s="4" t="s">
        <v>1200</v>
      </c>
      <c r="B994" s="6">
        <v>45433</v>
      </c>
      <c r="C994" s="4">
        <v>2024</v>
      </c>
      <c r="D994" s="4">
        <v>5</v>
      </c>
      <c r="E994" s="4" t="s">
        <v>108</v>
      </c>
      <c r="F994" s="4" t="s">
        <v>14</v>
      </c>
      <c r="G994" s="4" t="s">
        <v>12</v>
      </c>
      <c r="H994" s="4" t="s">
        <v>58</v>
      </c>
      <c r="I994" s="4" t="s">
        <v>7</v>
      </c>
      <c r="J994" s="4" t="s">
        <v>319</v>
      </c>
      <c r="K994" s="4">
        <v>6</v>
      </c>
      <c r="L994" s="5">
        <v>147.22999999999999</v>
      </c>
      <c r="M994" s="5">
        <v>883.38</v>
      </c>
      <c r="N994" s="5">
        <v>545.58000000000004</v>
      </c>
      <c r="O994" s="5">
        <v>337.8</v>
      </c>
      <c r="P994" s="4">
        <f>--AND(OR(Dashboard!$A$10="All",C994=Dashboard!$A$10),OR(Dashboard!$A$14="All",F994=Dashboard!$A$14),OR(Dashboard!$A$18="All",G994=Dashboard!$A$18),OR(Dashboard!$A$22="All",I994=Dashboard!$A$22))</f>
        <v>1</v>
      </c>
    </row>
    <row r="995" spans="1:16" ht="15.75" customHeight="1">
      <c r="A995" s="4" t="s">
        <v>1201</v>
      </c>
      <c r="B995" s="6">
        <v>45296</v>
      </c>
      <c r="C995" s="4">
        <v>2024</v>
      </c>
      <c r="D995" s="4">
        <v>1</v>
      </c>
      <c r="E995" s="4" t="s">
        <v>30</v>
      </c>
      <c r="F995" s="4" t="s">
        <v>5</v>
      </c>
      <c r="G995" s="4" t="s">
        <v>9</v>
      </c>
      <c r="H995" s="4" t="s">
        <v>142</v>
      </c>
      <c r="I995" s="4" t="s">
        <v>10</v>
      </c>
      <c r="J995" s="4" t="s">
        <v>247</v>
      </c>
      <c r="K995" s="4">
        <v>1</v>
      </c>
      <c r="L995" s="5">
        <v>37.549999999999997</v>
      </c>
      <c r="M995" s="5">
        <v>37.549999999999997</v>
      </c>
      <c r="N995" s="5">
        <v>19.03</v>
      </c>
      <c r="O995" s="5">
        <v>18.52</v>
      </c>
      <c r="P995" s="4">
        <f>--AND(OR(Dashboard!$A$10="All",C995=Dashboard!$A$10),OR(Dashboard!$A$14="All",F995=Dashboard!$A$14),OR(Dashboard!$A$18="All",G995=Dashboard!$A$18),OR(Dashboard!$A$22="All",I995=Dashboard!$A$22))</f>
        <v>1</v>
      </c>
    </row>
    <row r="996" spans="1:16" ht="15.75" customHeight="1">
      <c r="A996" s="4" t="s">
        <v>1202</v>
      </c>
      <c r="B996" s="6">
        <v>45415</v>
      </c>
      <c r="C996" s="4">
        <v>2024</v>
      </c>
      <c r="D996" s="4">
        <v>5</v>
      </c>
      <c r="E996" s="4" t="s">
        <v>108</v>
      </c>
      <c r="F996" s="4" t="s">
        <v>8</v>
      </c>
      <c r="G996" s="4" t="s">
        <v>9</v>
      </c>
      <c r="H996" s="4" t="s">
        <v>35</v>
      </c>
      <c r="I996" s="4" t="s">
        <v>7</v>
      </c>
      <c r="J996" s="4" t="s">
        <v>247</v>
      </c>
      <c r="K996" s="4">
        <v>5</v>
      </c>
      <c r="L996" s="5">
        <v>42.68</v>
      </c>
      <c r="M996" s="5">
        <v>213.4</v>
      </c>
      <c r="N996" s="5">
        <v>102.22</v>
      </c>
      <c r="O996" s="5">
        <v>111.18</v>
      </c>
      <c r="P996" s="4">
        <f>--AND(OR(Dashboard!$A$10="All",C996=Dashboard!$A$10),OR(Dashboard!$A$14="All",F996=Dashboard!$A$14),OR(Dashboard!$A$18="All",G996=Dashboard!$A$18),OR(Dashboard!$A$22="All",I996=Dashboard!$A$22))</f>
        <v>1</v>
      </c>
    </row>
    <row r="997" spans="1:16" ht="15.75" customHeight="1">
      <c r="A997" s="4" t="s">
        <v>1203</v>
      </c>
      <c r="B997" s="6">
        <v>45437</v>
      </c>
      <c r="C997" s="4">
        <v>2024</v>
      </c>
      <c r="D997" s="4">
        <v>5</v>
      </c>
      <c r="E997" s="4" t="s">
        <v>108</v>
      </c>
      <c r="F997" s="4" t="s">
        <v>5</v>
      </c>
      <c r="G997" s="4" t="s">
        <v>9</v>
      </c>
      <c r="H997" s="4" t="s">
        <v>110</v>
      </c>
      <c r="I997" s="4" t="s">
        <v>7</v>
      </c>
      <c r="J997" s="4" t="s">
        <v>170</v>
      </c>
      <c r="K997" s="4">
        <v>5</v>
      </c>
      <c r="L997" s="5">
        <v>41.82</v>
      </c>
      <c r="M997" s="5">
        <v>209.1</v>
      </c>
      <c r="N997" s="5">
        <v>103.52</v>
      </c>
      <c r="O997" s="5">
        <v>105.58</v>
      </c>
      <c r="P997" s="4">
        <f>--AND(OR(Dashboard!$A$10="All",C997=Dashboard!$A$10),OR(Dashboard!$A$14="All",F997=Dashboard!$A$14),OR(Dashboard!$A$18="All",G997=Dashboard!$A$18),OR(Dashboard!$A$22="All",I997=Dashboard!$A$22))</f>
        <v>1</v>
      </c>
    </row>
    <row r="998" spans="1:16" ht="15.75" customHeight="1">
      <c r="A998" s="4" t="s">
        <v>1204</v>
      </c>
      <c r="B998" s="6">
        <v>45823</v>
      </c>
      <c r="C998" s="4">
        <v>2025</v>
      </c>
      <c r="D998" s="4">
        <v>6</v>
      </c>
      <c r="E998" s="4" t="s">
        <v>34</v>
      </c>
      <c r="F998" s="4" t="s">
        <v>5</v>
      </c>
      <c r="G998" s="4" t="s">
        <v>12</v>
      </c>
      <c r="H998" s="4" t="s">
        <v>127</v>
      </c>
      <c r="I998" s="4" t="s">
        <v>13</v>
      </c>
      <c r="J998" s="4" t="s">
        <v>207</v>
      </c>
      <c r="K998" s="4">
        <v>6</v>
      </c>
      <c r="L998" s="5">
        <v>174.57</v>
      </c>
      <c r="M998" s="5">
        <v>1047.42</v>
      </c>
      <c r="N998" s="5">
        <v>626.27</v>
      </c>
      <c r="O998" s="5">
        <v>421.15</v>
      </c>
      <c r="P998" s="4">
        <f>--AND(OR(Dashboard!$A$10="All",C998=Dashboard!$A$10),OR(Dashboard!$A$14="All",F998=Dashboard!$A$14),OR(Dashboard!$A$18="All",G998=Dashboard!$A$18),OR(Dashboard!$A$22="All",I998=Dashboard!$A$22))</f>
        <v>1</v>
      </c>
    </row>
    <row r="999" spans="1:16" ht="15.75" customHeight="1">
      <c r="A999" s="4" t="s">
        <v>1205</v>
      </c>
      <c r="B999" s="6">
        <v>45810</v>
      </c>
      <c r="C999" s="4">
        <v>2025</v>
      </c>
      <c r="D999" s="4">
        <v>6</v>
      </c>
      <c r="E999" s="4" t="s">
        <v>34</v>
      </c>
      <c r="F999" s="4" t="s">
        <v>8</v>
      </c>
      <c r="G999" s="4" t="s">
        <v>9</v>
      </c>
      <c r="H999" s="4" t="s">
        <v>35</v>
      </c>
      <c r="I999" s="4" t="s">
        <v>10</v>
      </c>
      <c r="J999" s="4" t="s">
        <v>214</v>
      </c>
      <c r="K999" s="4">
        <v>5</v>
      </c>
      <c r="L999" s="5">
        <v>29.46</v>
      </c>
      <c r="M999" s="5">
        <v>147.30000000000001</v>
      </c>
      <c r="N999" s="5">
        <v>73.06</v>
      </c>
      <c r="O999" s="5">
        <v>74.239999999999995</v>
      </c>
      <c r="P999" s="4">
        <f>--AND(OR(Dashboard!$A$10="All",C999=Dashboard!$A$10),OR(Dashboard!$A$14="All",F999=Dashboard!$A$14),OR(Dashboard!$A$18="All",G999=Dashboard!$A$18),OR(Dashboard!$A$22="All",I999=Dashboard!$A$22))</f>
        <v>1</v>
      </c>
    </row>
    <row r="1000" spans="1:16" ht="15.75" customHeight="1">
      <c r="A1000" s="4" t="s">
        <v>1206</v>
      </c>
      <c r="B1000" s="6">
        <v>45366</v>
      </c>
      <c r="C1000" s="4">
        <v>2024</v>
      </c>
      <c r="D1000" s="4">
        <v>3</v>
      </c>
      <c r="E1000" s="4" t="s">
        <v>100</v>
      </c>
      <c r="F1000" s="4" t="s">
        <v>8</v>
      </c>
      <c r="G1000" s="4" t="s">
        <v>9</v>
      </c>
      <c r="H1000" s="4" t="s">
        <v>71</v>
      </c>
      <c r="I1000" s="4" t="s">
        <v>7</v>
      </c>
      <c r="J1000" s="4" t="s">
        <v>166</v>
      </c>
      <c r="K1000" s="4">
        <v>3</v>
      </c>
      <c r="L1000" s="5">
        <v>45.25</v>
      </c>
      <c r="M1000" s="5">
        <v>135.75</v>
      </c>
      <c r="N1000" s="5">
        <v>70.98</v>
      </c>
      <c r="O1000" s="5">
        <v>64.77</v>
      </c>
      <c r="P1000" s="4">
        <f>--AND(OR(Dashboard!$A$10="All",C1000=Dashboard!$A$10),OR(Dashboard!$A$14="All",F1000=Dashboard!$A$14),OR(Dashboard!$A$18="All",G1000=Dashboard!$A$18),OR(Dashboard!$A$22="All",I1000=Dashboard!$A$22))</f>
        <v>1</v>
      </c>
    </row>
    <row r="1001" spans="1:16" ht="15.75" customHeight="1">
      <c r="A1001" s="4" t="s">
        <v>1207</v>
      </c>
      <c r="B1001" s="6">
        <v>45957</v>
      </c>
      <c r="C1001" s="4">
        <v>2025</v>
      </c>
      <c r="D1001" s="4">
        <v>10</v>
      </c>
      <c r="E1001" s="4" t="s">
        <v>120</v>
      </c>
      <c r="F1001" s="4" t="s">
        <v>11</v>
      </c>
      <c r="G1001" s="4" t="s">
        <v>9</v>
      </c>
      <c r="H1001" s="4" t="s">
        <v>142</v>
      </c>
      <c r="I1001" s="4" t="s">
        <v>10</v>
      </c>
      <c r="J1001" s="4" t="s">
        <v>292</v>
      </c>
      <c r="K1001" s="4">
        <v>6</v>
      </c>
      <c r="L1001" s="5">
        <v>37.11</v>
      </c>
      <c r="M1001" s="5">
        <v>222.66</v>
      </c>
      <c r="N1001" s="5">
        <v>106.9</v>
      </c>
      <c r="O1001" s="5">
        <v>115.76</v>
      </c>
      <c r="P1001" s="4">
        <f>--AND(OR(Dashboard!$A$10="All",C1001=Dashboard!$A$10),OR(Dashboard!$A$14="All",F1001=Dashboard!$A$14),OR(Dashboard!$A$18="All",G1001=Dashboard!$A$18),OR(Dashboard!$A$22="All",I1001=Dashboard!$A$22))</f>
        <v>1</v>
      </c>
    </row>
    <row r="1002" spans="1:16" ht="15.75" customHeight="1">
      <c r="A1002" s="4" t="s">
        <v>1208</v>
      </c>
      <c r="B1002" s="6">
        <v>45800</v>
      </c>
      <c r="C1002" s="4">
        <v>2025</v>
      </c>
      <c r="D1002" s="4">
        <v>5</v>
      </c>
      <c r="E1002" s="4" t="s">
        <v>108</v>
      </c>
      <c r="F1002" s="4" t="s">
        <v>5</v>
      </c>
      <c r="G1002" s="4" t="s">
        <v>6</v>
      </c>
      <c r="H1002" s="4" t="s">
        <v>114</v>
      </c>
      <c r="I1002" s="4" t="s">
        <v>10</v>
      </c>
      <c r="J1002" s="4" t="s">
        <v>55</v>
      </c>
      <c r="K1002" s="4">
        <v>1</v>
      </c>
      <c r="L1002" s="5">
        <v>165.43</v>
      </c>
      <c r="M1002" s="5">
        <v>165.43</v>
      </c>
      <c r="N1002" s="5">
        <v>114.17</v>
      </c>
      <c r="O1002" s="5">
        <v>51.26</v>
      </c>
      <c r="P1002" s="4">
        <f>--AND(OR(Dashboard!$A$10="All",C1002=Dashboard!$A$10),OR(Dashboard!$A$14="All",F1002=Dashboard!$A$14),OR(Dashboard!$A$18="All",G1002=Dashboard!$A$18),OR(Dashboard!$A$22="All",I1002=Dashboard!$A$22))</f>
        <v>1</v>
      </c>
    </row>
    <row r="1003" spans="1:16" ht="15.75" customHeight="1">
      <c r="A1003" s="4" t="s">
        <v>1209</v>
      </c>
      <c r="B1003" s="6">
        <v>45894</v>
      </c>
      <c r="C1003" s="4">
        <v>2025</v>
      </c>
      <c r="D1003" s="4">
        <v>8</v>
      </c>
      <c r="E1003" s="4" t="s">
        <v>67</v>
      </c>
      <c r="F1003" s="4" t="s">
        <v>5</v>
      </c>
      <c r="G1003" s="4" t="s">
        <v>6</v>
      </c>
      <c r="H1003" s="4" t="s">
        <v>54</v>
      </c>
      <c r="I1003" s="4" t="s">
        <v>7</v>
      </c>
      <c r="J1003" s="4" t="s">
        <v>164</v>
      </c>
      <c r="K1003" s="4">
        <v>1</v>
      </c>
      <c r="L1003" s="5">
        <v>124.25</v>
      </c>
      <c r="M1003" s="5">
        <v>124.25</v>
      </c>
      <c r="N1003" s="5">
        <v>78.78</v>
      </c>
      <c r="O1003" s="5">
        <v>45.47</v>
      </c>
      <c r="P1003" s="4">
        <f>--AND(OR(Dashboard!$A$10="All",C1003=Dashboard!$A$10),OR(Dashboard!$A$14="All",F1003=Dashboard!$A$14),OR(Dashboard!$A$18="All",G1003=Dashboard!$A$18),OR(Dashboard!$A$22="All",I1003=Dashboard!$A$22))</f>
        <v>1</v>
      </c>
    </row>
    <row r="1004" spans="1:16" ht="15.75" customHeight="1">
      <c r="A1004" s="4" t="s">
        <v>1210</v>
      </c>
      <c r="B1004" s="6">
        <v>45463</v>
      </c>
      <c r="C1004" s="4">
        <v>2024</v>
      </c>
      <c r="D1004" s="4">
        <v>6</v>
      </c>
      <c r="E1004" s="4" t="s">
        <v>34</v>
      </c>
      <c r="F1004" s="4" t="s">
        <v>11</v>
      </c>
      <c r="G1004" s="4" t="s">
        <v>6</v>
      </c>
      <c r="H1004" s="4" t="s">
        <v>136</v>
      </c>
      <c r="I1004" s="4" t="s">
        <v>10</v>
      </c>
      <c r="J1004" s="4" t="s">
        <v>125</v>
      </c>
      <c r="K1004" s="4">
        <v>4</v>
      </c>
      <c r="L1004" s="5">
        <v>124.31</v>
      </c>
      <c r="M1004" s="5">
        <v>497.24</v>
      </c>
      <c r="N1004" s="5">
        <v>313.97000000000003</v>
      </c>
      <c r="O1004" s="5">
        <v>183.27</v>
      </c>
      <c r="P1004" s="4">
        <f>--AND(OR(Dashboard!$A$10="All",C1004=Dashboard!$A$10),OR(Dashboard!$A$14="All",F1004=Dashboard!$A$14),OR(Dashboard!$A$18="All",G1004=Dashboard!$A$18),OR(Dashboard!$A$22="All",I1004=Dashboard!$A$22))</f>
        <v>1</v>
      </c>
    </row>
    <row r="1005" spans="1:16" ht="15.75" customHeight="1">
      <c r="A1005" s="4" t="s">
        <v>1211</v>
      </c>
      <c r="B1005" s="6">
        <v>45930</v>
      </c>
      <c r="C1005" s="4">
        <v>2025</v>
      </c>
      <c r="D1005" s="4">
        <v>9</v>
      </c>
      <c r="E1005" s="4" t="s">
        <v>79</v>
      </c>
      <c r="F1005" s="4" t="s">
        <v>11</v>
      </c>
      <c r="G1005" s="4" t="s">
        <v>6</v>
      </c>
      <c r="H1005" s="4" t="s">
        <v>80</v>
      </c>
      <c r="I1005" s="4" t="s">
        <v>7</v>
      </c>
      <c r="J1005" s="4" t="s">
        <v>532</v>
      </c>
      <c r="K1005" s="4">
        <v>1</v>
      </c>
      <c r="L1005" s="5">
        <v>175.95</v>
      </c>
      <c r="M1005" s="5">
        <v>175.95</v>
      </c>
      <c r="N1005" s="5">
        <v>114.09</v>
      </c>
      <c r="O1005" s="5">
        <v>61.86</v>
      </c>
      <c r="P1005" s="4">
        <f>--AND(OR(Dashboard!$A$10="All",C1005=Dashboard!$A$10),OR(Dashboard!$A$14="All",F1005=Dashboard!$A$14),OR(Dashboard!$A$18="All",G1005=Dashboard!$A$18),OR(Dashboard!$A$22="All",I1005=Dashboard!$A$22))</f>
        <v>1</v>
      </c>
    </row>
    <row r="1006" spans="1:16" ht="15.75" customHeight="1">
      <c r="A1006" s="4" t="s">
        <v>1212</v>
      </c>
      <c r="B1006" s="6">
        <v>45604</v>
      </c>
      <c r="C1006" s="4">
        <v>2024</v>
      </c>
      <c r="D1006" s="4">
        <v>11</v>
      </c>
      <c r="E1006" s="4" t="s">
        <v>89</v>
      </c>
      <c r="F1006" s="4" t="s">
        <v>5</v>
      </c>
      <c r="G1006" s="4" t="s">
        <v>12</v>
      </c>
      <c r="H1006" s="4" t="s">
        <v>92</v>
      </c>
      <c r="I1006" s="4" t="s">
        <v>7</v>
      </c>
      <c r="J1006" s="4" t="s">
        <v>81</v>
      </c>
      <c r="K1006" s="4">
        <v>4</v>
      </c>
      <c r="L1006" s="5">
        <v>117.74</v>
      </c>
      <c r="M1006" s="5">
        <v>470.96</v>
      </c>
      <c r="N1006" s="5">
        <v>281.67</v>
      </c>
      <c r="O1006" s="5">
        <v>189.29</v>
      </c>
      <c r="P1006" s="4">
        <f>--AND(OR(Dashboard!$A$10="All",C1006=Dashboard!$A$10),OR(Dashboard!$A$14="All",F1006=Dashboard!$A$14),OR(Dashboard!$A$18="All",G1006=Dashboard!$A$18),OR(Dashboard!$A$22="All",I1006=Dashboard!$A$22))</f>
        <v>1</v>
      </c>
    </row>
    <row r="1007" spans="1:16" ht="15.75" customHeight="1">
      <c r="A1007" s="4" t="s">
        <v>1213</v>
      </c>
      <c r="B1007" s="6">
        <v>46000</v>
      </c>
      <c r="C1007" s="4">
        <v>2025</v>
      </c>
      <c r="D1007" s="4">
        <v>12</v>
      </c>
      <c r="E1007" s="4" t="s">
        <v>57</v>
      </c>
      <c r="F1007" s="4" t="s">
        <v>5</v>
      </c>
      <c r="G1007" s="4" t="s">
        <v>6</v>
      </c>
      <c r="H1007" s="4" t="s">
        <v>98</v>
      </c>
      <c r="I1007" s="4" t="s">
        <v>10</v>
      </c>
      <c r="J1007" s="4" t="s">
        <v>170</v>
      </c>
      <c r="K1007" s="4">
        <v>2</v>
      </c>
      <c r="L1007" s="5">
        <v>103.67</v>
      </c>
      <c r="M1007" s="5">
        <v>207.34</v>
      </c>
      <c r="N1007" s="5">
        <v>142.47999999999999</v>
      </c>
      <c r="O1007" s="5">
        <v>64.86</v>
      </c>
      <c r="P1007" s="4">
        <f>--AND(OR(Dashboard!$A$10="All",C1007=Dashboard!$A$10),OR(Dashboard!$A$14="All",F1007=Dashboard!$A$14),OR(Dashboard!$A$18="All",G1007=Dashboard!$A$18),OR(Dashboard!$A$22="All",I1007=Dashboard!$A$22))</f>
        <v>1</v>
      </c>
    </row>
    <row r="1008" spans="1:16" ht="15.75" customHeight="1">
      <c r="A1008" s="4" t="s">
        <v>1214</v>
      </c>
      <c r="B1008" s="6">
        <v>45927</v>
      </c>
      <c r="C1008" s="4">
        <v>2025</v>
      </c>
      <c r="D1008" s="4">
        <v>9</v>
      </c>
      <c r="E1008" s="4" t="s">
        <v>79</v>
      </c>
      <c r="F1008" s="4" t="s">
        <v>11</v>
      </c>
      <c r="G1008" s="4" t="s">
        <v>6</v>
      </c>
      <c r="H1008" s="4" t="s">
        <v>114</v>
      </c>
      <c r="I1008" s="4" t="s">
        <v>13</v>
      </c>
      <c r="J1008" s="4" t="s">
        <v>189</v>
      </c>
      <c r="K1008" s="4">
        <v>5</v>
      </c>
      <c r="L1008" s="5">
        <v>188.09</v>
      </c>
      <c r="M1008" s="5">
        <v>940.45</v>
      </c>
      <c r="N1008" s="5">
        <v>599.76</v>
      </c>
      <c r="O1008" s="5">
        <v>340.69</v>
      </c>
      <c r="P1008" s="4">
        <f>--AND(OR(Dashboard!$A$10="All",C1008=Dashboard!$A$10),OR(Dashboard!$A$14="All",F1008=Dashboard!$A$14),OR(Dashboard!$A$18="All",G1008=Dashboard!$A$18),OR(Dashboard!$A$22="All",I1008=Dashboard!$A$22))</f>
        <v>1</v>
      </c>
    </row>
    <row r="1009" spans="1:16" ht="15.75" customHeight="1">
      <c r="A1009" s="4" t="s">
        <v>1215</v>
      </c>
      <c r="B1009" s="6">
        <v>45493</v>
      </c>
      <c r="C1009" s="4">
        <v>2024</v>
      </c>
      <c r="D1009" s="4">
        <v>7</v>
      </c>
      <c r="E1009" s="4" t="s">
        <v>63</v>
      </c>
      <c r="F1009" s="4" t="s">
        <v>5</v>
      </c>
      <c r="G1009" s="4" t="s">
        <v>12</v>
      </c>
      <c r="H1009" s="4" t="s">
        <v>127</v>
      </c>
      <c r="I1009" s="4" t="s">
        <v>7</v>
      </c>
      <c r="J1009" s="4" t="s">
        <v>149</v>
      </c>
      <c r="K1009" s="4">
        <v>1</v>
      </c>
      <c r="L1009" s="5">
        <v>254.46</v>
      </c>
      <c r="M1009" s="5">
        <v>254.46</v>
      </c>
      <c r="N1009" s="5">
        <v>147.28</v>
      </c>
      <c r="O1009" s="5">
        <v>107.18</v>
      </c>
      <c r="P1009" s="4">
        <f>--AND(OR(Dashboard!$A$10="All",C1009=Dashboard!$A$10),OR(Dashboard!$A$14="All",F1009=Dashboard!$A$14),OR(Dashboard!$A$18="All",G1009=Dashboard!$A$18),OR(Dashboard!$A$22="All",I1009=Dashboard!$A$22))</f>
        <v>1</v>
      </c>
    </row>
    <row r="1010" spans="1:16" ht="15.75" customHeight="1">
      <c r="A1010" s="4" t="s">
        <v>1216</v>
      </c>
      <c r="B1010" s="6">
        <v>45794</v>
      </c>
      <c r="C1010" s="4">
        <v>2025</v>
      </c>
      <c r="D1010" s="4">
        <v>5</v>
      </c>
      <c r="E1010" s="4" t="s">
        <v>108</v>
      </c>
      <c r="F1010" s="4" t="s">
        <v>14</v>
      </c>
      <c r="G1010" s="4" t="s">
        <v>12</v>
      </c>
      <c r="H1010" s="4" t="s">
        <v>127</v>
      </c>
      <c r="I1010" s="4" t="s">
        <v>7</v>
      </c>
      <c r="J1010" s="4" t="s">
        <v>261</v>
      </c>
      <c r="K1010" s="4">
        <v>1</v>
      </c>
      <c r="L1010" s="5">
        <v>168.63</v>
      </c>
      <c r="M1010" s="5">
        <v>168.63</v>
      </c>
      <c r="N1010" s="5">
        <v>97.69</v>
      </c>
      <c r="O1010" s="5">
        <v>70.94</v>
      </c>
      <c r="P1010" s="4">
        <f>--AND(OR(Dashboard!$A$10="All",C1010=Dashboard!$A$10),OR(Dashboard!$A$14="All",F1010=Dashboard!$A$14),OR(Dashboard!$A$18="All",G1010=Dashboard!$A$18),OR(Dashboard!$A$22="All",I1010=Dashboard!$A$22))</f>
        <v>1</v>
      </c>
    </row>
    <row r="1011" spans="1:16" ht="15.75" customHeight="1">
      <c r="A1011" s="4" t="s">
        <v>1217</v>
      </c>
      <c r="B1011" s="6">
        <v>45861</v>
      </c>
      <c r="C1011" s="4">
        <v>2025</v>
      </c>
      <c r="D1011" s="4">
        <v>7</v>
      </c>
      <c r="E1011" s="4" t="s">
        <v>63</v>
      </c>
      <c r="F1011" s="4" t="s">
        <v>5</v>
      </c>
      <c r="G1011" s="4" t="s">
        <v>9</v>
      </c>
      <c r="H1011" s="4" t="s">
        <v>35</v>
      </c>
      <c r="I1011" s="4" t="s">
        <v>7</v>
      </c>
      <c r="J1011" s="4" t="s">
        <v>321</v>
      </c>
      <c r="K1011" s="4">
        <v>2</v>
      </c>
      <c r="L1011" s="5">
        <v>67.45</v>
      </c>
      <c r="M1011" s="5">
        <v>134.9</v>
      </c>
      <c r="N1011" s="5">
        <v>65.489999999999995</v>
      </c>
      <c r="O1011" s="5">
        <v>69.41</v>
      </c>
      <c r="P1011" s="4">
        <f>--AND(OR(Dashboard!$A$10="All",C1011=Dashboard!$A$10),OR(Dashboard!$A$14="All",F1011=Dashboard!$A$14),OR(Dashboard!$A$18="All",G1011=Dashboard!$A$18),OR(Dashboard!$A$22="All",I1011=Dashboard!$A$22))</f>
        <v>1</v>
      </c>
    </row>
    <row r="1012" spans="1:16" ht="15.75" customHeight="1">
      <c r="A1012" s="4" t="s">
        <v>1218</v>
      </c>
      <c r="B1012" s="6">
        <v>45294</v>
      </c>
      <c r="C1012" s="4">
        <v>2024</v>
      </c>
      <c r="D1012" s="4">
        <v>1</v>
      </c>
      <c r="E1012" s="4" t="s">
        <v>30</v>
      </c>
      <c r="F1012" s="4" t="s">
        <v>14</v>
      </c>
      <c r="G1012" s="4" t="s">
        <v>6</v>
      </c>
      <c r="H1012" s="4" t="s">
        <v>54</v>
      </c>
      <c r="I1012" s="4" t="s">
        <v>7</v>
      </c>
      <c r="J1012" s="4" t="s">
        <v>417</v>
      </c>
      <c r="K1012" s="4">
        <v>3</v>
      </c>
      <c r="L1012" s="5">
        <v>202.38</v>
      </c>
      <c r="M1012" s="5">
        <v>607.14</v>
      </c>
      <c r="N1012" s="5">
        <v>420.62</v>
      </c>
      <c r="O1012" s="5">
        <v>186.52</v>
      </c>
      <c r="P1012" s="4">
        <f>--AND(OR(Dashboard!$A$10="All",C1012=Dashboard!$A$10),OR(Dashboard!$A$14="All",F1012=Dashboard!$A$14),OR(Dashboard!$A$18="All",G1012=Dashboard!$A$18),OR(Dashboard!$A$22="All",I1012=Dashboard!$A$22))</f>
        <v>1</v>
      </c>
    </row>
    <row r="1013" spans="1:16" ht="15.75" customHeight="1">
      <c r="A1013" s="4" t="s">
        <v>1219</v>
      </c>
      <c r="B1013" s="6">
        <v>45468</v>
      </c>
      <c r="C1013" s="4">
        <v>2024</v>
      </c>
      <c r="D1013" s="4">
        <v>6</v>
      </c>
      <c r="E1013" s="4" t="s">
        <v>34</v>
      </c>
      <c r="F1013" s="4" t="s">
        <v>8</v>
      </c>
      <c r="G1013" s="4" t="s">
        <v>12</v>
      </c>
      <c r="H1013" s="4" t="s">
        <v>86</v>
      </c>
      <c r="I1013" s="4" t="s">
        <v>7</v>
      </c>
      <c r="J1013" s="4" t="s">
        <v>381</v>
      </c>
      <c r="K1013" s="4">
        <v>4</v>
      </c>
      <c r="L1013" s="5">
        <v>254.96</v>
      </c>
      <c r="M1013" s="5">
        <v>1019.84</v>
      </c>
      <c r="N1013" s="5">
        <v>593.94000000000005</v>
      </c>
      <c r="O1013" s="5">
        <v>425.9</v>
      </c>
      <c r="P1013" s="4">
        <f>--AND(OR(Dashboard!$A$10="All",C1013=Dashboard!$A$10),OR(Dashboard!$A$14="All",F1013=Dashboard!$A$14),OR(Dashboard!$A$18="All",G1013=Dashboard!$A$18),OR(Dashboard!$A$22="All",I1013=Dashboard!$A$22))</f>
        <v>1</v>
      </c>
    </row>
    <row r="1014" spans="1:16" ht="15.75" customHeight="1">
      <c r="A1014" s="4" t="s">
        <v>1220</v>
      </c>
      <c r="B1014" s="6">
        <v>45381</v>
      </c>
      <c r="C1014" s="4">
        <v>2024</v>
      </c>
      <c r="D1014" s="4">
        <v>3</v>
      </c>
      <c r="E1014" s="4" t="s">
        <v>100</v>
      </c>
      <c r="F1014" s="4" t="s">
        <v>5</v>
      </c>
      <c r="G1014" s="4" t="s">
        <v>6</v>
      </c>
      <c r="H1014" s="4" t="s">
        <v>80</v>
      </c>
      <c r="I1014" s="4" t="s">
        <v>7</v>
      </c>
      <c r="J1014" s="4" t="s">
        <v>99</v>
      </c>
      <c r="K1014" s="4">
        <v>2</v>
      </c>
      <c r="L1014" s="5">
        <v>205.14</v>
      </c>
      <c r="M1014" s="5">
        <v>410.28</v>
      </c>
      <c r="N1014" s="5">
        <v>276.55</v>
      </c>
      <c r="O1014" s="5">
        <v>133.72999999999999</v>
      </c>
      <c r="P1014" s="4">
        <f>--AND(OR(Dashboard!$A$10="All",C1014=Dashboard!$A$10),OR(Dashboard!$A$14="All",F1014=Dashboard!$A$14),OR(Dashboard!$A$18="All",G1014=Dashboard!$A$18),OR(Dashboard!$A$22="All",I1014=Dashboard!$A$22))</f>
        <v>1</v>
      </c>
    </row>
    <row r="1015" spans="1:16" ht="15.75" customHeight="1">
      <c r="A1015" s="4" t="s">
        <v>1221</v>
      </c>
      <c r="B1015" s="6">
        <v>45401</v>
      </c>
      <c r="C1015" s="4">
        <v>2024</v>
      </c>
      <c r="D1015" s="4">
        <v>4</v>
      </c>
      <c r="E1015" s="4" t="s">
        <v>106</v>
      </c>
      <c r="F1015" s="4" t="s">
        <v>14</v>
      </c>
      <c r="G1015" s="4" t="s">
        <v>12</v>
      </c>
      <c r="H1015" s="4" t="s">
        <v>58</v>
      </c>
      <c r="I1015" s="4" t="s">
        <v>10</v>
      </c>
      <c r="J1015" s="4" t="s">
        <v>81</v>
      </c>
      <c r="K1015" s="4">
        <v>1</v>
      </c>
      <c r="L1015" s="5">
        <v>140.65</v>
      </c>
      <c r="M1015" s="5">
        <v>140.65</v>
      </c>
      <c r="N1015" s="5">
        <v>85.27</v>
      </c>
      <c r="O1015" s="5">
        <v>55.38</v>
      </c>
      <c r="P1015" s="4">
        <f>--AND(OR(Dashboard!$A$10="All",C1015=Dashboard!$A$10),OR(Dashboard!$A$14="All",F1015=Dashboard!$A$14),OR(Dashboard!$A$18="All",G1015=Dashboard!$A$18),OR(Dashboard!$A$22="All",I1015=Dashboard!$A$22))</f>
        <v>1</v>
      </c>
    </row>
    <row r="1016" spans="1:16" ht="15.75" customHeight="1">
      <c r="A1016" s="4" t="s">
        <v>1222</v>
      </c>
      <c r="B1016" s="6">
        <v>45827</v>
      </c>
      <c r="C1016" s="4">
        <v>2025</v>
      </c>
      <c r="D1016" s="4">
        <v>6</v>
      </c>
      <c r="E1016" s="4" t="s">
        <v>34</v>
      </c>
      <c r="F1016" s="4" t="s">
        <v>8</v>
      </c>
      <c r="G1016" s="4" t="s">
        <v>6</v>
      </c>
      <c r="H1016" s="4" t="s">
        <v>114</v>
      </c>
      <c r="I1016" s="4" t="s">
        <v>10</v>
      </c>
      <c r="J1016" s="4" t="s">
        <v>485</v>
      </c>
      <c r="K1016" s="4">
        <v>11</v>
      </c>
      <c r="L1016" s="5">
        <v>109.52</v>
      </c>
      <c r="M1016" s="5">
        <v>1204.72</v>
      </c>
      <c r="N1016" s="5">
        <v>789.64</v>
      </c>
      <c r="O1016" s="5">
        <v>415.08</v>
      </c>
      <c r="P1016" s="4">
        <f>--AND(OR(Dashboard!$A$10="All",C1016=Dashboard!$A$10),OR(Dashboard!$A$14="All",F1016=Dashboard!$A$14),OR(Dashboard!$A$18="All",G1016=Dashboard!$A$18),OR(Dashboard!$A$22="All",I1016=Dashboard!$A$22))</f>
        <v>1</v>
      </c>
    </row>
    <row r="1017" spans="1:16" ht="15.75" customHeight="1">
      <c r="A1017" s="4" t="s">
        <v>1223</v>
      </c>
      <c r="B1017" s="6">
        <v>45654</v>
      </c>
      <c r="C1017" s="4">
        <v>2024</v>
      </c>
      <c r="D1017" s="4">
        <v>12</v>
      </c>
      <c r="E1017" s="4" t="s">
        <v>57</v>
      </c>
      <c r="F1017" s="4" t="s">
        <v>8</v>
      </c>
      <c r="G1017" s="4" t="s">
        <v>6</v>
      </c>
      <c r="H1017" s="4" t="s">
        <v>98</v>
      </c>
      <c r="I1017" s="4" t="s">
        <v>7</v>
      </c>
      <c r="J1017" s="4" t="s">
        <v>268</v>
      </c>
      <c r="K1017" s="4">
        <v>3</v>
      </c>
      <c r="L1017" s="5">
        <v>106.18</v>
      </c>
      <c r="M1017" s="5">
        <v>318.54000000000002</v>
      </c>
      <c r="N1017" s="5">
        <v>201.35</v>
      </c>
      <c r="O1017" s="5">
        <v>117.19</v>
      </c>
      <c r="P1017" s="4">
        <f>--AND(OR(Dashboard!$A$10="All",C1017=Dashboard!$A$10),OR(Dashboard!$A$14="All",F1017=Dashboard!$A$14),OR(Dashboard!$A$18="All",G1017=Dashboard!$A$18),OR(Dashboard!$A$22="All",I1017=Dashboard!$A$22))</f>
        <v>1</v>
      </c>
    </row>
    <row r="1018" spans="1:16" ht="15.75" customHeight="1">
      <c r="A1018" s="4" t="s">
        <v>1224</v>
      </c>
      <c r="B1018" s="6">
        <v>45626</v>
      </c>
      <c r="C1018" s="4">
        <v>2024</v>
      </c>
      <c r="D1018" s="4">
        <v>11</v>
      </c>
      <c r="E1018" s="4" t="s">
        <v>89</v>
      </c>
      <c r="F1018" s="4" t="s">
        <v>5</v>
      </c>
      <c r="G1018" s="4" t="s">
        <v>6</v>
      </c>
      <c r="H1018" s="4" t="s">
        <v>98</v>
      </c>
      <c r="I1018" s="4" t="s">
        <v>7</v>
      </c>
      <c r="J1018" s="4" t="s">
        <v>72</v>
      </c>
      <c r="K1018" s="4">
        <v>2</v>
      </c>
      <c r="L1018" s="5">
        <v>220.16</v>
      </c>
      <c r="M1018" s="5">
        <v>440.32</v>
      </c>
      <c r="N1018" s="5">
        <v>276.89</v>
      </c>
      <c r="O1018" s="5">
        <v>163.43</v>
      </c>
      <c r="P1018" s="4">
        <f>--AND(OR(Dashboard!$A$10="All",C1018=Dashboard!$A$10),OR(Dashboard!$A$14="All",F1018=Dashboard!$A$14),OR(Dashboard!$A$18="All",G1018=Dashboard!$A$18),OR(Dashboard!$A$22="All",I1018=Dashboard!$A$22))</f>
        <v>1</v>
      </c>
    </row>
    <row r="1019" spans="1:16" ht="15.75" customHeight="1">
      <c r="A1019" s="4" t="s">
        <v>1225</v>
      </c>
      <c r="B1019" s="6">
        <v>45682</v>
      </c>
      <c r="C1019" s="4">
        <v>2025</v>
      </c>
      <c r="D1019" s="4">
        <v>1</v>
      </c>
      <c r="E1019" s="4" t="s">
        <v>30</v>
      </c>
      <c r="F1019" s="4" t="s">
        <v>8</v>
      </c>
      <c r="G1019" s="4" t="s">
        <v>9</v>
      </c>
      <c r="H1019" s="4" t="s">
        <v>64</v>
      </c>
      <c r="I1019" s="4" t="s">
        <v>7</v>
      </c>
      <c r="J1019" s="4" t="s">
        <v>81</v>
      </c>
      <c r="K1019" s="4">
        <v>1</v>
      </c>
      <c r="L1019" s="5">
        <v>48.3</v>
      </c>
      <c r="M1019" s="5">
        <v>48.3</v>
      </c>
      <c r="N1019" s="5">
        <v>23.54</v>
      </c>
      <c r="O1019" s="5">
        <v>24.76</v>
      </c>
      <c r="P1019" s="4">
        <f>--AND(OR(Dashboard!$A$10="All",C1019=Dashboard!$A$10),OR(Dashboard!$A$14="All",F1019=Dashboard!$A$14),OR(Dashboard!$A$18="All",G1019=Dashboard!$A$18),OR(Dashboard!$A$22="All",I1019=Dashboard!$A$22))</f>
        <v>1</v>
      </c>
    </row>
    <row r="1020" spans="1:16" ht="15.75" customHeight="1">
      <c r="A1020" s="4" t="s">
        <v>1226</v>
      </c>
      <c r="B1020" s="6">
        <v>45343</v>
      </c>
      <c r="C1020" s="4">
        <v>2024</v>
      </c>
      <c r="D1020" s="4">
        <v>2</v>
      </c>
      <c r="E1020" s="4" t="s">
        <v>70</v>
      </c>
      <c r="F1020" s="4" t="s">
        <v>5</v>
      </c>
      <c r="G1020" s="4" t="s">
        <v>6</v>
      </c>
      <c r="H1020" s="4" t="s">
        <v>114</v>
      </c>
      <c r="I1020" s="4" t="s">
        <v>7</v>
      </c>
      <c r="J1020" s="4" t="s">
        <v>131</v>
      </c>
      <c r="K1020" s="4">
        <v>1</v>
      </c>
      <c r="L1020" s="5">
        <v>122.72</v>
      </c>
      <c r="M1020" s="5">
        <v>122.72</v>
      </c>
      <c r="N1020" s="5">
        <v>79.58</v>
      </c>
      <c r="O1020" s="5">
        <v>43.14</v>
      </c>
      <c r="P1020" s="4">
        <f>--AND(OR(Dashboard!$A$10="All",C1020=Dashboard!$A$10),OR(Dashboard!$A$14="All",F1020=Dashboard!$A$14),OR(Dashboard!$A$18="All",G1020=Dashboard!$A$18),OR(Dashboard!$A$22="All",I1020=Dashboard!$A$22))</f>
        <v>1</v>
      </c>
    </row>
    <row r="1021" spans="1:16" ht="15.75" customHeight="1">
      <c r="A1021" s="4" t="s">
        <v>1227</v>
      </c>
      <c r="B1021" s="6">
        <v>45405</v>
      </c>
      <c r="C1021" s="4">
        <v>2024</v>
      </c>
      <c r="D1021" s="4">
        <v>4</v>
      </c>
      <c r="E1021" s="4" t="s">
        <v>106</v>
      </c>
      <c r="F1021" s="4" t="s">
        <v>11</v>
      </c>
      <c r="G1021" s="4" t="s">
        <v>6</v>
      </c>
      <c r="H1021" s="4" t="s">
        <v>98</v>
      </c>
      <c r="I1021" s="4" t="s">
        <v>7</v>
      </c>
      <c r="J1021" s="4" t="s">
        <v>314</v>
      </c>
      <c r="K1021" s="4">
        <v>1</v>
      </c>
      <c r="L1021" s="5">
        <v>96.37</v>
      </c>
      <c r="M1021" s="5">
        <v>96.37</v>
      </c>
      <c r="N1021" s="5">
        <v>66.11</v>
      </c>
      <c r="O1021" s="5">
        <v>30.26</v>
      </c>
      <c r="P1021" s="4">
        <f>--AND(OR(Dashboard!$A$10="All",C1021=Dashboard!$A$10),OR(Dashboard!$A$14="All",F1021=Dashboard!$A$14),OR(Dashboard!$A$18="All",G1021=Dashboard!$A$18),OR(Dashboard!$A$22="All",I1021=Dashboard!$A$22))</f>
        <v>1</v>
      </c>
    </row>
    <row r="1022" spans="1:16" ht="15.75" customHeight="1">
      <c r="A1022" s="4" t="s">
        <v>1228</v>
      </c>
      <c r="B1022" s="6">
        <v>45379</v>
      </c>
      <c r="C1022" s="4">
        <v>2024</v>
      </c>
      <c r="D1022" s="4">
        <v>3</v>
      </c>
      <c r="E1022" s="4" t="s">
        <v>100</v>
      </c>
      <c r="F1022" s="4" t="s">
        <v>14</v>
      </c>
      <c r="G1022" s="4" t="s">
        <v>12</v>
      </c>
      <c r="H1022" s="4" t="s">
        <v>58</v>
      </c>
      <c r="I1022" s="4" t="s">
        <v>7</v>
      </c>
      <c r="J1022" s="4" t="s">
        <v>230</v>
      </c>
      <c r="K1022" s="4">
        <v>6</v>
      </c>
      <c r="L1022" s="5">
        <v>271.63</v>
      </c>
      <c r="M1022" s="5">
        <v>1629.78</v>
      </c>
      <c r="N1022" s="5">
        <v>983.95</v>
      </c>
      <c r="O1022" s="5">
        <v>645.83000000000004</v>
      </c>
      <c r="P1022" s="4">
        <f>--AND(OR(Dashboard!$A$10="All",C1022=Dashboard!$A$10),OR(Dashboard!$A$14="All",F1022=Dashboard!$A$14),OR(Dashboard!$A$18="All",G1022=Dashboard!$A$18),OR(Dashboard!$A$22="All",I1022=Dashboard!$A$22))</f>
        <v>1</v>
      </c>
    </row>
    <row r="1023" spans="1:16" ht="15.75" customHeight="1">
      <c r="A1023" s="4" t="s">
        <v>1229</v>
      </c>
      <c r="B1023" s="6">
        <v>46008</v>
      </c>
      <c r="C1023" s="4">
        <v>2025</v>
      </c>
      <c r="D1023" s="4">
        <v>12</v>
      </c>
      <c r="E1023" s="4" t="s">
        <v>57</v>
      </c>
      <c r="F1023" s="4" t="s">
        <v>5</v>
      </c>
      <c r="G1023" s="4" t="s">
        <v>6</v>
      </c>
      <c r="H1023" s="4" t="s">
        <v>136</v>
      </c>
      <c r="I1023" s="4" t="s">
        <v>7</v>
      </c>
      <c r="J1023" s="4" t="s">
        <v>402</v>
      </c>
      <c r="K1023" s="4">
        <v>3</v>
      </c>
      <c r="L1023" s="5">
        <v>134.84</v>
      </c>
      <c r="M1023" s="5">
        <v>404.52</v>
      </c>
      <c r="N1023" s="5">
        <v>256.8</v>
      </c>
      <c r="O1023" s="5">
        <v>147.72</v>
      </c>
      <c r="P1023" s="4">
        <f>--AND(OR(Dashboard!$A$10="All",C1023=Dashboard!$A$10),OR(Dashboard!$A$14="All",F1023=Dashboard!$A$14),OR(Dashboard!$A$18="All",G1023=Dashboard!$A$18),OR(Dashboard!$A$22="All",I1023=Dashboard!$A$22))</f>
        <v>1</v>
      </c>
    </row>
    <row r="1024" spans="1:16" ht="15.75" customHeight="1">
      <c r="A1024" s="4" t="s">
        <v>1230</v>
      </c>
      <c r="B1024" s="6">
        <v>45422</v>
      </c>
      <c r="C1024" s="4">
        <v>2024</v>
      </c>
      <c r="D1024" s="4">
        <v>5</v>
      </c>
      <c r="E1024" s="4" t="s">
        <v>108</v>
      </c>
      <c r="F1024" s="4" t="s">
        <v>11</v>
      </c>
      <c r="G1024" s="4" t="s">
        <v>9</v>
      </c>
      <c r="H1024" s="4" t="s">
        <v>110</v>
      </c>
      <c r="I1024" s="4" t="s">
        <v>7</v>
      </c>
      <c r="J1024" s="4" t="s">
        <v>276</v>
      </c>
      <c r="K1024" s="4">
        <v>7</v>
      </c>
      <c r="L1024" s="5">
        <v>28.28</v>
      </c>
      <c r="M1024" s="5">
        <v>197.96</v>
      </c>
      <c r="N1024" s="5">
        <v>96.31</v>
      </c>
      <c r="O1024" s="5">
        <v>101.65</v>
      </c>
      <c r="P1024" s="4">
        <f>--AND(OR(Dashboard!$A$10="All",C1024=Dashboard!$A$10),OR(Dashboard!$A$14="All",F1024=Dashboard!$A$14),OR(Dashboard!$A$18="All",G1024=Dashboard!$A$18),OR(Dashboard!$A$22="All",I1024=Dashboard!$A$22))</f>
        <v>1</v>
      </c>
    </row>
    <row r="1025" spans="1:16" ht="15.75" customHeight="1">
      <c r="A1025" s="4" t="s">
        <v>1231</v>
      </c>
      <c r="B1025" s="6">
        <v>45295</v>
      </c>
      <c r="C1025" s="4">
        <v>2024</v>
      </c>
      <c r="D1025" s="4">
        <v>1</v>
      </c>
      <c r="E1025" s="4" t="s">
        <v>30</v>
      </c>
      <c r="F1025" s="4" t="s">
        <v>11</v>
      </c>
      <c r="G1025" s="4" t="s">
        <v>12</v>
      </c>
      <c r="H1025" s="4" t="s">
        <v>92</v>
      </c>
      <c r="I1025" s="4" t="s">
        <v>7</v>
      </c>
      <c r="J1025" s="4" t="s">
        <v>72</v>
      </c>
      <c r="K1025" s="4">
        <v>1</v>
      </c>
      <c r="L1025" s="5">
        <v>233.08</v>
      </c>
      <c r="M1025" s="5">
        <v>233.08</v>
      </c>
      <c r="N1025" s="5">
        <v>146.04</v>
      </c>
      <c r="O1025" s="5">
        <v>87.04</v>
      </c>
      <c r="P1025" s="4">
        <f>--AND(OR(Dashboard!$A$10="All",C1025=Dashboard!$A$10),OR(Dashboard!$A$14="All",F1025=Dashboard!$A$14),OR(Dashboard!$A$18="All",G1025=Dashboard!$A$18),OR(Dashboard!$A$22="All",I1025=Dashboard!$A$22))</f>
        <v>1</v>
      </c>
    </row>
    <row r="1026" spans="1:16" ht="15.75" customHeight="1">
      <c r="A1026" s="4" t="s">
        <v>1232</v>
      </c>
      <c r="B1026" s="6">
        <v>45987</v>
      </c>
      <c r="C1026" s="4">
        <v>2025</v>
      </c>
      <c r="D1026" s="4">
        <v>11</v>
      </c>
      <c r="E1026" s="4" t="s">
        <v>89</v>
      </c>
      <c r="F1026" s="4" t="s">
        <v>8</v>
      </c>
      <c r="G1026" s="4" t="s">
        <v>6</v>
      </c>
      <c r="H1026" s="4" t="s">
        <v>80</v>
      </c>
      <c r="I1026" s="4" t="s">
        <v>7</v>
      </c>
      <c r="J1026" s="4" t="s">
        <v>333</v>
      </c>
      <c r="K1026" s="4">
        <v>1</v>
      </c>
      <c r="L1026" s="5">
        <v>203.53</v>
      </c>
      <c r="M1026" s="5">
        <v>203.53</v>
      </c>
      <c r="N1026" s="5">
        <v>133.12</v>
      </c>
      <c r="O1026" s="5">
        <v>70.41</v>
      </c>
      <c r="P1026" s="4">
        <f>--AND(OR(Dashboard!$A$10="All",C1026=Dashboard!$A$10),OR(Dashboard!$A$14="All",F1026=Dashboard!$A$14),OR(Dashboard!$A$18="All",G1026=Dashboard!$A$18),OR(Dashboard!$A$22="All",I1026=Dashboard!$A$22))</f>
        <v>1</v>
      </c>
    </row>
    <row r="1027" spans="1:16" ht="15.75" customHeight="1">
      <c r="A1027" s="4" t="s">
        <v>1233</v>
      </c>
      <c r="B1027" s="6">
        <v>45901</v>
      </c>
      <c r="C1027" s="4">
        <v>2025</v>
      </c>
      <c r="D1027" s="4">
        <v>9</v>
      </c>
      <c r="E1027" s="4" t="s">
        <v>79</v>
      </c>
      <c r="F1027" s="4" t="s">
        <v>5</v>
      </c>
      <c r="G1027" s="4" t="s">
        <v>9</v>
      </c>
      <c r="H1027" s="4" t="s">
        <v>64</v>
      </c>
      <c r="I1027" s="4" t="s">
        <v>13</v>
      </c>
      <c r="J1027" s="4" t="s">
        <v>319</v>
      </c>
      <c r="K1027" s="4">
        <v>2</v>
      </c>
      <c r="L1027" s="5">
        <v>23.83</v>
      </c>
      <c r="M1027" s="5">
        <v>47.66</v>
      </c>
      <c r="N1027" s="5">
        <v>22.92</v>
      </c>
      <c r="O1027" s="5">
        <v>24.74</v>
      </c>
      <c r="P1027" s="4">
        <f>--AND(OR(Dashboard!$A$10="All",C1027=Dashboard!$A$10),OR(Dashboard!$A$14="All",F1027=Dashboard!$A$14),OR(Dashboard!$A$18="All",G1027=Dashboard!$A$18),OR(Dashboard!$A$22="All",I1027=Dashboard!$A$22))</f>
        <v>1</v>
      </c>
    </row>
    <row r="1028" spans="1:16" ht="15.75" customHeight="1">
      <c r="A1028" s="4" t="s">
        <v>1234</v>
      </c>
      <c r="B1028" s="6">
        <v>45732</v>
      </c>
      <c r="C1028" s="4">
        <v>2025</v>
      </c>
      <c r="D1028" s="4">
        <v>3</v>
      </c>
      <c r="E1028" s="4" t="s">
        <v>100</v>
      </c>
      <c r="F1028" s="4" t="s">
        <v>5</v>
      </c>
      <c r="G1028" s="4" t="s">
        <v>9</v>
      </c>
      <c r="H1028" s="4" t="s">
        <v>110</v>
      </c>
      <c r="I1028" s="4" t="s">
        <v>13</v>
      </c>
      <c r="J1028" s="4" t="s">
        <v>311</v>
      </c>
      <c r="K1028" s="4">
        <v>1</v>
      </c>
      <c r="L1028" s="5">
        <v>41.21</v>
      </c>
      <c r="M1028" s="5">
        <v>41.21</v>
      </c>
      <c r="N1028" s="5">
        <v>21.45</v>
      </c>
      <c r="O1028" s="5">
        <v>19.760000000000002</v>
      </c>
      <c r="P1028" s="4">
        <f>--AND(OR(Dashboard!$A$10="All",C1028=Dashboard!$A$10),OR(Dashboard!$A$14="All",F1028=Dashboard!$A$14),OR(Dashboard!$A$18="All",G1028=Dashboard!$A$18),OR(Dashboard!$A$22="All",I1028=Dashboard!$A$22))</f>
        <v>1</v>
      </c>
    </row>
    <row r="1029" spans="1:16" ht="15.75" customHeight="1">
      <c r="A1029" s="4" t="s">
        <v>1235</v>
      </c>
      <c r="B1029" s="6">
        <v>45897</v>
      </c>
      <c r="C1029" s="4">
        <v>2025</v>
      </c>
      <c r="D1029" s="4">
        <v>8</v>
      </c>
      <c r="E1029" s="4" t="s">
        <v>67</v>
      </c>
      <c r="F1029" s="4" t="s">
        <v>8</v>
      </c>
      <c r="G1029" s="4" t="s">
        <v>12</v>
      </c>
      <c r="H1029" s="4" t="s">
        <v>86</v>
      </c>
      <c r="I1029" s="4" t="s">
        <v>13</v>
      </c>
      <c r="J1029" s="4" t="s">
        <v>247</v>
      </c>
      <c r="K1029" s="4">
        <v>1</v>
      </c>
      <c r="L1029" s="5">
        <v>191.29</v>
      </c>
      <c r="M1029" s="5">
        <v>191.29</v>
      </c>
      <c r="N1029" s="5">
        <v>112.79</v>
      </c>
      <c r="O1029" s="5">
        <v>78.5</v>
      </c>
      <c r="P1029" s="4">
        <f>--AND(OR(Dashboard!$A$10="All",C1029=Dashboard!$A$10),OR(Dashboard!$A$14="All",F1029=Dashboard!$A$14),OR(Dashboard!$A$18="All",G1029=Dashboard!$A$18),OR(Dashboard!$A$22="All",I1029=Dashboard!$A$22))</f>
        <v>1</v>
      </c>
    </row>
    <row r="1030" spans="1:16" ht="15.75" customHeight="1">
      <c r="A1030" s="4" t="s">
        <v>1236</v>
      </c>
      <c r="B1030" s="6">
        <v>45989</v>
      </c>
      <c r="C1030" s="4">
        <v>2025</v>
      </c>
      <c r="D1030" s="4">
        <v>11</v>
      </c>
      <c r="E1030" s="4" t="s">
        <v>89</v>
      </c>
      <c r="F1030" s="4" t="s">
        <v>8</v>
      </c>
      <c r="G1030" s="4" t="s">
        <v>6</v>
      </c>
      <c r="H1030" s="4" t="s">
        <v>98</v>
      </c>
      <c r="I1030" s="4" t="s">
        <v>10</v>
      </c>
      <c r="J1030" s="4" t="s">
        <v>417</v>
      </c>
      <c r="K1030" s="4">
        <v>7</v>
      </c>
      <c r="L1030" s="5">
        <v>77.319999999999993</v>
      </c>
      <c r="M1030" s="5">
        <v>541.24</v>
      </c>
      <c r="N1030" s="5">
        <v>358.67</v>
      </c>
      <c r="O1030" s="5">
        <v>182.57</v>
      </c>
      <c r="P1030" s="4">
        <f>--AND(OR(Dashboard!$A$10="All",C1030=Dashboard!$A$10),OR(Dashboard!$A$14="All",F1030=Dashboard!$A$14),OR(Dashboard!$A$18="All",G1030=Dashboard!$A$18),OR(Dashboard!$A$22="All",I1030=Dashboard!$A$22))</f>
        <v>1</v>
      </c>
    </row>
    <row r="1031" spans="1:16" ht="15.75" customHeight="1">
      <c r="A1031" s="4" t="s">
        <v>1237</v>
      </c>
      <c r="B1031" s="6">
        <v>45840</v>
      </c>
      <c r="C1031" s="4">
        <v>2025</v>
      </c>
      <c r="D1031" s="4">
        <v>7</v>
      </c>
      <c r="E1031" s="4" t="s">
        <v>63</v>
      </c>
      <c r="F1031" s="4" t="s">
        <v>5</v>
      </c>
      <c r="G1031" s="4" t="s">
        <v>12</v>
      </c>
      <c r="H1031" s="4" t="s">
        <v>124</v>
      </c>
      <c r="I1031" s="4" t="s">
        <v>10</v>
      </c>
      <c r="J1031" s="4" t="s">
        <v>162</v>
      </c>
      <c r="K1031" s="4">
        <v>1</v>
      </c>
      <c r="L1031" s="5">
        <v>202.88</v>
      </c>
      <c r="M1031" s="5">
        <v>202.88</v>
      </c>
      <c r="N1031" s="5">
        <v>116.19</v>
      </c>
      <c r="O1031" s="5">
        <v>86.69</v>
      </c>
      <c r="P1031" s="4">
        <f>--AND(OR(Dashboard!$A$10="All",C1031=Dashboard!$A$10),OR(Dashboard!$A$14="All",F1031=Dashboard!$A$14),OR(Dashboard!$A$18="All",G1031=Dashboard!$A$18),OR(Dashboard!$A$22="All",I1031=Dashboard!$A$22))</f>
        <v>1</v>
      </c>
    </row>
    <row r="1032" spans="1:16" ht="15.75" customHeight="1">
      <c r="A1032" s="4" t="s">
        <v>1238</v>
      </c>
      <c r="B1032" s="6">
        <v>45352</v>
      </c>
      <c r="C1032" s="4">
        <v>2024</v>
      </c>
      <c r="D1032" s="4">
        <v>3</v>
      </c>
      <c r="E1032" s="4" t="s">
        <v>100</v>
      </c>
      <c r="F1032" s="4" t="s">
        <v>11</v>
      </c>
      <c r="G1032" s="4" t="s">
        <v>6</v>
      </c>
      <c r="H1032" s="4" t="s">
        <v>80</v>
      </c>
      <c r="I1032" s="4" t="s">
        <v>7</v>
      </c>
      <c r="J1032" s="4" t="s">
        <v>285</v>
      </c>
      <c r="K1032" s="4">
        <v>2</v>
      </c>
      <c r="L1032" s="5">
        <v>209.3</v>
      </c>
      <c r="M1032" s="5">
        <v>418.6</v>
      </c>
      <c r="N1032" s="5">
        <v>274.58</v>
      </c>
      <c r="O1032" s="5">
        <v>144.02000000000001</v>
      </c>
      <c r="P1032" s="4">
        <f>--AND(OR(Dashboard!$A$10="All",C1032=Dashboard!$A$10),OR(Dashboard!$A$14="All",F1032=Dashboard!$A$14),OR(Dashboard!$A$18="All",G1032=Dashboard!$A$18),OR(Dashboard!$A$22="All",I1032=Dashboard!$A$22))</f>
        <v>1</v>
      </c>
    </row>
    <row r="1033" spans="1:16" ht="15.75" customHeight="1">
      <c r="A1033" s="4" t="s">
        <v>1239</v>
      </c>
      <c r="B1033" s="6">
        <v>45995</v>
      </c>
      <c r="C1033" s="4">
        <v>2025</v>
      </c>
      <c r="D1033" s="4">
        <v>12</v>
      </c>
      <c r="E1033" s="4" t="s">
        <v>57</v>
      </c>
      <c r="F1033" s="4" t="s">
        <v>5</v>
      </c>
      <c r="G1033" s="4" t="s">
        <v>12</v>
      </c>
      <c r="H1033" s="4" t="s">
        <v>124</v>
      </c>
      <c r="I1033" s="4" t="s">
        <v>7</v>
      </c>
      <c r="J1033" s="4" t="s">
        <v>402</v>
      </c>
      <c r="K1033" s="4">
        <v>3</v>
      </c>
      <c r="L1033" s="5">
        <v>120.13</v>
      </c>
      <c r="M1033" s="5">
        <v>360.39</v>
      </c>
      <c r="N1033" s="5">
        <v>219.27</v>
      </c>
      <c r="O1033" s="5">
        <v>141.12</v>
      </c>
      <c r="P1033" s="4">
        <f>--AND(OR(Dashboard!$A$10="All",C1033=Dashboard!$A$10),OR(Dashboard!$A$14="All",F1033=Dashboard!$A$14),OR(Dashboard!$A$18="All",G1033=Dashboard!$A$18),OR(Dashboard!$A$22="All",I1033=Dashboard!$A$22))</f>
        <v>1</v>
      </c>
    </row>
    <row r="1034" spans="1:16" ht="15.75" customHeight="1">
      <c r="A1034" s="4" t="s">
        <v>1240</v>
      </c>
      <c r="B1034" s="6">
        <v>45830</v>
      </c>
      <c r="C1034" s="4">
        <v>2025</v>
      </c>
      <c r="D1034" s="4">
        <v>6</v>
      </c>
      <c r="E1034" s="4" t="s">
        <v>34</v>
      </c>
      <c r="F1034" s="4" t="s">
        <v>5</v>
      </c>
      <c r="G1034" s="4" t="s">
        <v>9</v>
      </c>
      <c r="H1034" s="4" t="s">
        <v>35</v>
      </c>
      <c r="I1034" s="4" t="s">
        <v>7</v>
      </c>
      <c r="J1034" s="4" t="s">
        <v>174</v>
      </c>
      <c r="K1034" s="4">
        <v>13</v>
      </c>
      <c r="L1034" s="5">
        <v>43.94</v>
      </c>
      <c r="M1034" s="5">
        <v>571.22</v>
      </c>
      <c r="N1034" s="5">
        <v>282.31</v>
      </c>
      <c r="O1034" s="5">
        <v>288.91000000000003</v>
      </c>
      <c r="P1034" s="4">
        <f>--AND(OR(Dashboard!$A$10="All",C1034=Dashboard!$A$10),OR(Dashboard!$A$14="All",F1034=Dashboard!$A$14),OR(Dashboard!$A$18="All",G1034=Dashboard!$A$18),OR(Dashboard!$A$22="All",I1034=Dashboard!$A$22))</f>
        <v>1</v>
      </c>
    </row>
    <row r="1035" spans="1:16" ht="15.75" customHeight="1">
      <c r="A1035" s="4" t="s">
        <v>1241</v>
      </c>
      <c r="B1035" s="6">
        <v>46022</v>
      </c>
      <c r="C1035" s="4">
        <v>2025</v>
      </c>
      <c r="D1035" s="4">
        <v>12</v>
      </c>
      <c r="E1035" s="4" t="s">
        <v>57</v>
      </c>
      <c r="F1035" s="4" t="s">
        <v>5</v>
      </c>
      <c r="G1035" s="4" t="s">
        <v>9</v>
      </c>
      <c r="H1035" s="4" t="s">
        <v>110</v>
      </c>
      <c r="I1035" s="4" t="s">
        <v>13</v>
      </c>
      <c r="J1035" s="4" t="s">
        <v>214</v>
      </c>
      <c r="K1035" s="4">
        <v>4</v>
      </c>
      <c r="L1035" s="5">
        <v>49.05</v>
      </c>
      <c r="M1035" s="5">
        <v>196.2</v>
      </c>
      <c r="N1035" s="5">
        <v>94.52</v>
      </c>
      <c r="O1035" s="5">
        <v>101.68</v>
      </c>
      <c r="P1035" s="4">
        <f>--AND(OR(Dashboard!$A$10="All",C1035=Dashboard!$A$10),OR(Dashboard!$A$14="All",F1035=Dashboard!$A$14),OR(Dashboard!$A$18="All",G1035=Dashboard!$A$18),OR(Dashboard!$A$22="All",I1035=Dashboard!$A$22))</f>
        <v>1</v>
      </c>
    </row>
    <row r="1036" spans="1:16" ht="15.75" customHeight="1">
      <c r="A1036" s="4" t="s">
        <v>1242</v>
      </c>
      <c r="B1036" s="6">
        <v>45328</v>
      </c>
      <c r="C1036" s="4">
        <v>2024</v>
      </c>
      <c r="D1036" s="4">
        <v>2</v>
      </c>
      <c r="E1036" s="4" t="s">
        <v>70</v>
      </c>
      <c r="F1036" s="4" t="s">
        <v>8</v>
      </c>
      <c r="G1036" s="4" t="s">
        <v>9</v>
      </c>
      <c r="H1036" s="4" t="s">
        <v>142</v>
      </c>
      <c r="I1036" s="4" t="s">
        <v>7</v>
      </c>
      <c r="J1036" s="4" t="s">
        <v>65</v>
      </c>
      <c r="K1036" s="4">
        <v>4</v>
      </c>
      <c r="L1036" s="5">
        <v>45.72</v>
      </c>
      <c r="M1036" s="5">
        <v>182.88</v>
      </c>
      <c r="N1036" s="5">
        <v>95.53</v>
      </c>
      <c r="O1036" s="5">
        <v>87.35</v>
      </c>
      <c r="P1036" s="4">
        <f>--AND(OR(Dashboard!$A$10="All",C1036=Dashboard!$A$10),OR(Dashboard!$A$14="All",F1036=Dashboard!$A$14),OR(Dashboard!$A$18="All",G1036=Dashboard!$A$18),OR(Dashboard!$A$22="All",I1036=Dashboard!$A$22))</f>
        <v>1</v>
      </c>
    </row>
    <row r="1037" spans="1:16" ht="15.75" customHeight="1">
      <c r="A1037" s="4" t="s">
        <v>1243</v>
      </c>
      <c r="B1037" s="6">
        <v>45586</v>
      </c>
      <c r="C1037" s="4">
        <v>2024</v>
      </c>
      <c r="D1037" s="4">
        <v>10</v>
      </c>
      <c r="E1037" s="4" t="s">
        <v>120</v>
      </c>
      <c r="F1037" s="4" t="s">
        <v>8</v>
      </c>
      <c r="G1037" s="4" t="s">
        <v>12</v>
      </c>
      <c r="H1037" s="4" t="s">
        <v>124</v>
      </c>
      <c r="I1037" s="4" t="s">
        <v>10</v>
      </c>
      <c r="J1037" s="4" t="s">
        <v>402</v>
      </c>
      <c r="K1037" s="4">
        <v>4</v>
      </c>
      <c r="L1037" s="5">
        <v>268.66000000000003</v>
      </c>
      <c r="M1037" s="5">
        <v>1074.6400000000001</v>
      </c>
      <c r="N1037" s="5">
        <v>627.32000000000005</v>
      </c>
      <c r="O1037" s="5">
        <v>447.32</v>
      </c>
      <c r="P1037" s="4">
        <f>--AND(OR(Dashboard!$A$10="All",C1037=Dashboard!$A$10),OR(Dashboard!$A$14="All",F1037=Dashboard!$A$14),OR(Dashboard!$A$18="All",G1037=Dashboard!$A$18),OR(Dashboard!$A$22="All",I1037=Dashboard!$A$22))</f>
        <v>1</v>
      </c>
    </row>
    <row r="1038" spans="1:16" ht="15.75" customHeight="1">
      <c r="A1038" s="4" t="s">
        <v>1244</v>
      </c>
      <c r="B1038" s="6">
        <v>45861</v>
      </c>
      <c r="C1038" s="4">
        <v>2025</v>
      </c>
      <c r="D1038" s="4">
        <v>7</v>
      </c>
      <c r="E1038" s="4" t="s">
        <v>63</v>
      </c>
      <c r="F1038" s="4" t="s">
        <v>5</v>
      </c>
      <c r="G1038" s="4" t="s">
        <v>12</v>
      </c>
      <c r="H1038" s="4" t="s">
        <v>127</v>
      </c>
      <c r="I1038" s="4" t="s">
        <v>7</v>
      </c>
      <c r="J1038" s="4" t="s">
        <v>379</v>
      </c>
      <c r="K1038" s="4">
        <v>3</v>
      </c>
      <c r="L1038" s="5">
        <v>130.61000000000001</v>
      </c>
      <c r="M1038" s="5">
        <v>391.83</v>
      </c>
      <c r="N1038" s="5">
        <v>234.05</v>
      </c>
      <c r="O1038" s="5">
        <v>157.78</v>
      </c>
      <c r="P1038" s="4">
        <f>--AND(OR(Dashboard!$A$10="All",C1038=Dashboard!$A$10),OR(Dashboard!$A$14="All",F1038=Dashboard!$A$14),OR(Dashboard!$A$18="All",G1038=Dashboard!$A$18),OR(Dashboard!$A$22="All",I1038=Dashboard!$A$22))</f>
        <v>1</v>
      </c>
    </row>
    <row r="1039" spans="1:16" ht="15.75" customHeight="1">
      <c r="A1039" s="4" t="s">
        <v>1245</v>
      </c>
      <c r="B1039" s="6">
        <v>45729</v>
      </c>
      <c r="C1039" s="4">
        <v>2025</v>
      </c>
      <c r="D1039" s="4">
        <v>3</v>
      </c>
      <c r="E1039" s="4" t="s">
        <v>100</v>
      </c>
      <c r="F1039" s="4" t="s">
        <v>5</v>
      </c>
      <c r="G1039" s="4" t="s">
        <v>12</v>
      </c>
      <c r="H1039" s="4" t="s">
        <v>92</v>
      </c>
      <c r="I1039" s="4" t="s">
        <v>7</v>
      </c>
      <c r="J1039" s="4" t="s">
        <v>393</v>
      </c>
      <c r="K1039" s="4">
        <v>5</v>
      </c>
      <c r="L1039" s="5">
        <v>315.93</v>
      </c>
      <c r="M1039" s="5">
        <v>1579.65</v>
      </c>
      <c r="N1039" s="5">
        <v>948.74</v>
      </c>
      <c r="O1039" s="5">
        <v>630.91</v>
      </c>
      <c r="P1039" s="4">
        <f>--AND(OR(Dashboard!$A$10="All",C1039=Dashboard!$A$10),OR(Dashboard!$A$14="All",F1039=Dashboard!$A$14),OR(Dashboard!$A$18="All",G1039=Dashboard!$A$18),OR(Dashboard!$A$22="All",I1039=Dashboard!$A$22))</f>
        <v>1</v>
      </c>
    </row>
    <row r="1040" spans="1:16" ht="15.75" customHeight="1">
      <c r="A1040" s="4" t="s">
        <v>1246</v>
      </c>
      <c r="B1040" s="6">
        <v>45329</v>
      </c>
      <c r="C1040" s="4">
        <v>2024</v>
      </c>
      <c r="D1040" s="4">
        <v>2</v>
      </c>
      <c r="E1040" s="4" t="s">
        <v>70</v>
      </c>
      <c r="F1040" s="4" t="s">
        <v>14</v>
      </c>
      <c r="G1040" s="4" t="s">
        <v>9</v>
      </c>
      <c r="H1040" s="4" t="s">
        <v>110</v>
      </c>
      <c r="I1040" s="4" t="s">
        <v>13</v>
      </c>
      <c r="J1040" s="4" t="s">
        <v>191</v>
      </c>
      <c r="K1040" s="4">
        <v>1</v>
      </c>
      <c r="L1040" s="5">
        <v>29.56</v>
      </c>
      <c r="M1040" s="5">
        <v>29.56</v>
      </c>
      <c r="N1040" s="5">
        <v>14.54</v>
      </c>
      <c r="O1040" s="5">
        <v>15.02</v>
      </c>
      <c r="P1040" s="4">
        <f>--AND(OR(Dashboard!$A$10="All",C1040=Dashboard!$A$10),OR(Dashboard!$A$14="All",F1040=Dashboard!$A$14),OR(Dashboard!$A$18="All",G1040=Dashboard!$A$18),OR(Dashboard!$A$22="All",I1040=Dashboard!$A$22))</f>
        <v>1</v>
      </c>
    </row>
    <row r="1041" spans="1:16" ht="15.75" customHeight="1">
      <c r="A1041" s="4" t="s">
        <v>1247</v>
      </c>
      <c r="B1041" s="6">
        <v>45954</v>
      </c>
      <c r="C1041" s="4">
        <v>2025</v>
      </c>
      <c r="D1041" s="4">
        <v>10</v>
      </c>
      <c r="E1041" s="4" t="s">
        <v>120</v>
      </c>
      <c r="F1041" s="4" t="s">
        <v>5</v>
      </c>
      <c r="G1041" s="4" t="s">
        <v>6</v>
      </c>
      <c r="H1041" s="4" t="s">
        <v>80</v>
      </c>
      <c r="I1041" s="4" t="s">
        <v>10</v>
      </c>
      <c r="J1041" s="4" t="s">
        <v>381</v>
      </c>
      <c r="K1041" s="4">
        <v>2</v>
      </c>
      <c r="L1041" s="5">
        <v>144.53</v>
      </c>
      <c r="M1041" s="5">
        <v>289.06</v>
      </c>
      <c r="N1041" s="5">
        <v>191.23</v>
      </c>
      <c r="O1041" s="5">
        <v>97.83</v>
      </c>
      <c r="P1041" s="4">
        <f>--AND(OR(Dashboard!$A$10="All",C1041=Dashboard!$A$10),OR(Dashboard!$A$14="All",F1041=Dashboard!$A$14),OR(Dashboard!$A$18="All",G1041=Dashboard!$A$18),OR(Dashboard!$A$22="All",I1041=Dashboard!$A$22))</f>
        <v>1</v>
      </c>
    </row>
    <row r="1042" spans="1:16" ht="15.75" customHeight="1">
      <c r="A1042" s="4" t="s">
        <v>1248</v>
      </c>
      <c r="B1042" s="6">
        <v>45674</v>
      </c>
      <c r="C1042" s="4">
        <v>2025</v>
      </c>
      <c r="D1042" s="4">
        <v>1</v>
      </c>
      <c r="E1042" s="4" t="s">
        <v>30</v>
      </c>
      <c r="F1042" s="4" t="s">
        <v>5</v>
      </c>
      <c r="G1042" s="4" t="s">
        <v>12</v>
      </c>
      <c r="H1042" s="4" t="s">
        <v>124</v>
      </c>
      <c r="I1042" s="4" t="s">
        <v>7</v>
      </c>
      <c r="J1042" s="4" t="s">
        <v>166</v>
      </c>
      <c r="K1042" s="4">
        <v>3</v>
      </c>
      <c r="L1042" s="5">
        <v>217.91</v>
      </c>
      <c r="M1042" s="5">
        <v>653.73</v>
      </c>
      <c r="N1042" s="5">
        <v>384.14</v>
      </c>
      <c r="O1042" s="5">
        <v>269.58999999999997</v>
      </c>
      <c r="P1042" s="4">
        <f>--AND(OR(Dashboard!$A$10="All",C1042=Dashboard!$A$10),OR(Dashboard!$A$14="All",F1042=Dashboard!$A$14),OR(Dashboard!$A$18="All",G1042=Dashboard!$A$18),OR(Dashboard!$A$22="All",I1042=Dashboard!$A$22))</f>
        <v>1</v>
      </c>
    </row>
    <row r="1043" spans="1:16" ht="15.75" customHeight="1">
      <c r="A1043" s="4" t="s">
        <v>1249</v>
      </c>
      <c r="B1043" s="6">
        <v>45332</v>
      </c>
      <c r="C1043" s="4">
        <v>2024</v>
      </c>
      <c r="D1043" s="4">
        <v>2</v>
      </c>
      <c r="E1043" s="4" t="s">
        <v>70</v>
      </c>
      <c r="F1043" s="4" t="s">
        <v>11</v>
      </c>
      <c r="G1043" s="4" t="s">
        <v>12</v>
      </c>
      <c r="H1043" s="4" t="s">
        <v>58</v>
      </c>
      <c r="I1043" s="4" t="s">
        <v>7</v>
      </c>
      <c r="J1043" s="4" t="s">
        <v>146</v>
      </c>
      <c r="K1043" s="4">
        <v>2</v>
      </c>
      <c r="L1043" s="5">
        <v>139.07</v>
      </c>
      <c r="M1043" s="5">
        <v>278.14</v>
      </c>
      <c r="N1043" s="5">
        <v>174.81</v>
      </c>
      <c r="O1043" s="5">
        <v>103.33</v>
      </c>
      <c r="P1043" s="4">
        <f>--AND(OR(Dashboard!$A$10="All",C1043=Dashboard!$A$10),OR(Dashboard!$A$14="All",F1043=Dashboard!$A$14),OR(Dashboard!$A$18="All",G1043=Dashboard!$A$18),OR(Dashboard!$A$22="All",I1043=Dashboard!$A$22))</f>
        <v>1</v>
      </c>
    </row>
    <row r="1044" spans="1:16" ht="15.75" customHeight="1">
      <c r="A1044" s="4" t="s">
        <v>1250</v>
      </c>
      <c r="B1044" s="6">
        <v>45875</v>
      </c>
      <c r="C1044" s="4">
        <v>2025</v>
      </c>
      <c r="D1044" s="4">
        <v>8</v>
      </c>
      <c r="E1044" s="4" t="s">
        <v>67</v>
      </c>
      <c r="F1044" s="4" t="s">
        <v>5</v>
      </c>
      <c r="G1044" s="4" t="s">
        <v>12</v>
      </c>
      <c r="H1044" s="4" t="s">
        <v>58</v>
      </c>
      <c r="I1044" s="4" t="s">
        <v>10</v>
      </c>
      <c r="J1044" s="4" t="s">
        <v>259</v>
      </c>
      <c r="K1044" s="4">
        <v>2</v>
      </c>
      <c r="L1044" s="5">
        <v>177.62</v>
      </c>
      <c r="M1044" s="5">
        <v>355.24</v>
      </c>
      <c r="N1044" s="5">
        <v>223.74</v>
      </c>
      <c r="O1044" s="5">
        <v>131.5</v>
      </c>
      <c r="P1044" s="4">
        <f>--AND(OR(Dashboard!$A$10="All",C1044=Dashboard!$A$10),OR(Dashboard!$A$14="All",F1044=Dashboard!$A$14),OR(Dashboard!$A$18="All",G1044=Dashboard!$A$18),OR(Dashboard!$A$22="All",I1044=Dashboard!$A$22))</f>
        <v>1</v>
      </c>
    </row>
    <row r="1045" spans="1:16" ht="15.75" customHeight="1">
      <c r="A1045" s="4" t="s">
        <v>1251</v>
      </c>
      <c r="B1045" s="6">
        <v>46022</v>
      </c>
      <c r="C1045" s="4">
        <v>2025</v>
      </c>
      <c r="D1045" s="4">
        <v>12</v>
      </c>
      <c r="E1045" s="4" t="s">
        <v>57</v>
      </c>
      <c r="F1045" s="4" t="s">
        <v>5</v>
      </c>
      <c r="G1045" s="4" t="s">
        <v>9</v>
      </c>
      <c r="H1045" s="4" t="s">
        <v>110</v>
      </c>
      <c r="I1045" s="4" t="s">
        <v>7</v>
      </c>
      <c r="J1045" s="4" t="s">
        <v>115</v>
      </c>
      <c r="K1045" s="4">
        <v>1</v>
      </c>
      <c r="L1045" s="5">
        <v>66.459999999999994</v>
      </c>
      <c r="M1045" s="5">
        <v>66.459999999999994</v>
      </c>
      <c r="N1045" s="5">
        <v>33.04</v>
      </c>
      <c r="O1045" s="5">
        <v>33.42</v>
      </c>
      <c r="P1045" s="4">
        <f>--AND(OR(Dashboard!$A$10="All",C1045=Dashboard!$A$10),OR(Dashboard!$A$14="All",F1045=Dashboard!$A$14),OR(Dashboard!$A$18="All",G1045=Dashboard!$A$18),OR(Dashboard!$A$22="All",I1045=Dashboard!$A$22))</f>
        <v>1</v>
      </c>
    </row>
    <row r="1046" spans="1:16" ht="15.75" customHeight="1">
      <c r="A1046" s="4" t="s">
        <v>1252</v>
      </c>
      <c r="B1046" s="6">
        <v>45496</v>
      </c>
      <c r="C1046" s="4">
        <v>2024</v>
      </c>
      <c r="D1046" s="4">
        <v>7</v>
      </c>
      <c r="E1046" s="4" t="s">
        <v>63</v>
      </c>
      <c r="F1046" s="4" t="s">
        <v>14</v>
      </c>
      <c r="G1046" s="4" t="s">
        <v>9</v>
      </c>
      <c r="H1046" s="4" t="s">
        <v>110</v>
      </c>
      <c r="I1046" s="4" t="s">
        <v>7</v>
      </c>
      <c r="J1046" s="4" t="s">
        <v>379</v>
      </c>
      <c r="K1046" s="4">
        <v>3</v>
      </c>
      <c r="L1046" s="5">
        <v>51.11</v>
      </c>
      <c r="M1046" s="5">
        <v>153.33000000000001</v>
      </c>
      <c r="N1046" s="5">
        <v>78.58</v>
      </c>
      <c r="O1046" s="5">
        <v>74.75</v>
      </c>
      <c r="P1046" s="4">
        <f>--AND(OR(Dashboard!$A$10="All",C1046=Dashboard!$A$10),OR(Dashboard!$A$14="All",F1046=Dashboard!$A$14),OR(Dashboard!$A$18="All",G1046=Dashboard!$A$18),OR(Dashboard!$A$22="All",I1046=Dashboard!$A$22))</f>
        <v>1</v>
      </c>
    </row>
    <row r="1047" spans="1:16" ht="15.75" customHeight="1">
      <c r="A1047" s="4" t="s">
        <v>1253</v>
      </c>
      <c r="B1047" s="6">
        <v>45988</v>
      </c>
      <c r="C1047" s="4">
        <v>2025</v>
      </c>
      <c r="D1047" s="4">
        <v>11</v>
      </c>
      <c r="E1047" s="4" t="s">
        <v>89</v>
      </c>
      <c r="F1047" s="4" t="s">
        <v>5</v>
      </c>
      <c r="G1047" s="4" t="s">
        <v>9</v>
      </c>
      <c r="H1047" s="4" t="s">
        <v>71</v>
      </c>
      <c r="I1047" s="4" t="s">
        <v>13</v>
      </c>
      <c r="J1047" s="4" t="s">
        <v>235</v>
      </c>
      <c r="K1047" s="4">
        <v>1</v>
      </c>
      <c r="L1047" s="5">
        <v>55.18</v>
      </c>
      <c r="M1047" s="5">
        <v>55.18</v>
      </c>
      <c r="N1047" s="5">
        <v>28.77</v>
      </c>
      <c r="O1047" s="5">
        <v>26.41</v>
      </c>
      <c r="P1047" s="4">
        <f>--AND(OR(Dashboard!$A$10="All",C1047=Dashboard!$A$10),OR(Dashboard!$A$14="All",F1047=Dashboard!$A$14),OR(Dashboard!$A$18="All",G1047=Dashboard!$A$18),OR(Dashboard!$A$22="All",I1047=Dashboard!$A$22))</f>
        <v>1</v>
      </c>
    </row>
    <row r="1048" spans="1:16" ht="15.75" customHeight="1">
      <c r="A1048" s="4" t="s">
        <v>1254</v>
      </c>
      <c r="B1048" s="6">
        <v>46008</v>
      </c>
      <c r="C1048" s="4">
        <v>2025</v>
      </c>
      <c r="D1048" s="4">
        <v>12</v>
      </c>
      <c r="E1048" s="4" t="s">
        <v>57</v>
      </c>
      <c r="F1048" s="4" t="s">
        <v>5</v>
      </c>
      <c r="G1048" s="4" t="s">
        <v>9</v>
      </c>
      <c r="H1048" s="4" t="s">
        <v>71</v>
      </c>
      <c r="I1048" s="4" t="s">
        <v>7</v>
      </c>
      <c r="J1048" s="4" t="s">
        <v>87</v>
      </c>
      <c r="K1048" s="4">
        <v>7</v>
      </c>
      <c r="L1048" s="5">
        <v>56.62</v>
      </c>
      <c r="M1048" s="5">
        <v>396.34</v>
      </c>
      <c r="N1048" s="5">
        <v>207.31</v>
      </c>
      <c r="O1048" s="5">
        <v>189.03</v>
      </c>
      <c r="P1048" s="4">
        <f>--AND(OR(Dashboard!$A$10="All",C1048=Dashboard!$A$10),OR(Dashboard!$A$14="All",F1048=Dashboard!$A$14),OR(Dashboard!$A$18="All",G1048=Dashboard!$A$18),OR(Dashboard!$A$22="All",I1048=Dashboard!$A$22))</f>
        <v>1</v>
      </c>
    </row>
    <row r="1049" spans="1:16" ht="15.75" customHeight="1">
      <c r="A1049" s="4" t="s">
        <v>1255</v>
      </c>
      <c r="B1049" s="6">
        <v>45301</v>
      </c>
      <c r="C1049" s="4">
        <v>2024</v>
      </c>
      <c r="D1049" s="4">
        <v>1</v>
      </c>
      <c r="E1049" s="4" t="s">
        <v>30</v>
      </c>
      <c r="F1049" s="4" t="s">
        <v>5</v>
      </c>
      <c r="G1049" s="4" t="s">
        <v>12</v>
      </c>
      <c r="H1049" s="4" t="s">
        <v>92</v>
      </c>
      <c r="I1049" s="4" t="s">
        <v>10</v>
      </c>
      <c r="J1049" s="4" t="s">
        <v>226</v>
      </c>
      <c r="K1049" s="4">
        <v>1</v>
      </c>
      <c r="L1049" s="5">
        <v>203.17</v>
      </c>
      <c r="M1049" s="5">
        <v>203.17</v>
      </c>
      <c r="N1049" s="5">
        <v>123</v>
      </c>
      <c r="O1049" s="5">
        <v>80.17</v>
      </c>
      <c r="P1049" s="4">
        <f>--AND(OR(Dashboard!$A$10="All",C1049=Dashboard!$A$10),OR(Dashboard!$A$14="All",F1049=Dashboard!$A$14),OR(Dashboard!$A$18="All",G1049=Dashboard!$A$18),OR(Dashboard!$A$22="All",I1049=Dashboard!$A$22))</f>
        <v>1</v>
      </c>
    </row>
    <row r="1050" spans="1:16" ht="15.75" customHeight="1">
      <c r="A1050" s="4" t="s">
        <v>1256</v>
      </c>
      <c r="B1050" s="6">
        <v>45553</v>
      </c>
      <c r="C1050" s="4">
        <v>2024</v>
      </c>
      <c r="D1050" s="4">
        <v>9</v>
      </c>
      <c r="E1050" s="4" t="s">
        <v>79</v>
      </c>
      <c r="F1050" s="4" t="s">
        <v>5</v>
      </c>
      <c r="G1050" s="4" t="s">
        <v>12</v>
      </c>
      <c r="H1050" s="4" t="s">
        <v>92</v>
      </c>
      <c r="I1050" s="4" t="s">
        <v>10</v>
      </c>
      <c r="J1050" s="4" t="s">
        <v>232</v>
      </c>
      <c r="K1050" s="4">
        <v>3</v>
      </c>
      <c r="L1050" s="5">
        <v>135.71</v>
      </c>
      <c r="M1050" s="5">
        <v>407.13</v>
      </c>
      <c r="N1050" s="5">
        <v>236.99</v>
      </c>
      <c r="O1050" s="5">
        <v>170.14</v>
      </c>
      <c r="P1050" s="4">
        <f>--AND(OR(Dashboard!$A$10="All",C1050=Dashboard!$A$10),OR(Dashboard!$A$14="All",F1050=Dashboard!$A$14),OR(Dashboard!$A$18="All",G1050=Dashboard!$A$18),OR(Dashboard!$A$22="All",I1050=Dashboard!$A$22))</f>
        <v>1</v>
      </c>
    </row>
    <row r="1051" spans="1:16" ht="15.75" customHeight="1">
      <c r="A1051" s="4" t="s">
        <v>1257</v>
      </c>
      <c r="B1051" s="6">
        <v>45737</v>
      </c>
      <c r="C1051" s="4">
        <v>2025</v>
      </c>
      <c r="D1051" s="4">
        <v>3</v>
      </c>
      <c r="E1051" s="4" t="s">
        <v>100</v>
      </c>
      <c r="F1051" s="4" t="s">
        <v>5</v>
      </c>
      <c r="G1051" s="4" t="s">
        <v>12</v>
      </c>
      <c r="H1051" s="4" t="s">
        <v>127</v>
      </c>
      <c r="I1051" s="4" t="s">
        <v>7</v>
      </c>
      <c r="J1051" s="4" t="s">
        <v>94</v>
      </c>
      <c r="K1051" s="4">
        <v>1</v>
      </c>
      <c r="L1051" s="5">
        <v>281.17</v>
      </c>
      <c r="M1051" s="5">
        <v>281.17</v>
      </c>
      <c r="N1051" s="5">
        <v>174.3</v>
      </c>
      <c r="O1051" s="5">
        <v>106.87</v>
      </c>
      <c r="P1051" s="4">
        <f>--AND(OR(Dashboard!$A$10="All",C1051=Dashboard!$A$10),OR(Dashboard!$A$14="All",F1051=Dashboard!$A$14),OR(Dashboard!$A$18="All",G1051=Dashboard!$A$18),OR(Dashboard!$A$22="All",I1051=Dashboard!$A$22))</f>
        <v>1</v>
      </c>
    </row>
    <row r="1052" spans="1:16" ht="15.75" customHeight="1">
      <c r="A1052" s="4" t="s">
        <v>1258</v>
      </c>
      <c r="B1052" s="6">
        <v>45523</v>
      </c>
      <c r="C1052" s="4">
        <v>2024</v>
      </c>
      <c r="D1052" s="4">
        <v>8</v>
      </c>
      <c r="E1052" s="4" t="s">
        <v>67</v>
      </c>
      <c r="F1052" s="4" t="s">
        <v>8</v>
      </c>
      <c r="G1052" s="4" t="s">
        <v>12</v>
      </c>
      <c r="H1052" s="4" t="s">
        <v>58</v>
      </c>
      <c r="I1052" s="4" t="s">
        <v>7</v>
      </c>
      <c r="J1052" s="4" t="s">
        <v>257</v>
      </c>
      <c r="K1052" s="4">
        <v>5</v>
      </c>
      <c r="L1052" s="5">
        <v>293.54000000000002</v>
      </c>
      <c r="M1052" s="5">
        <v>1467.7</v>
      </c>
      <c r="N1052" s="5">
        <v>844.28</v>
      </c>
      <c r="O1052" s="5">
        <v>623.41999999999996</v>
      </c>
      <c r="P1052" s="4">
        <f>--AND(OR(Dashboard!$A$10="All",C1052=Dashboard!$A$10),OR(Dashboard!$A$14="All",F1052=Dashboard!$A$14),OR(Dashboard!$A$18="All",G1052=Dashboard!$A$18),OR(Dashboard!$A$22="All",I1052=Dashboard!$A$22))</f>
        <v>1</v>
      </c>
    </row>
    <row r="1053" spans="1:16" ht="15.75" customHeight="1">
      <c r="A1053" s="4" t="s">
        <v>1259</v>
      </c>
      <c r="B1053" s="6">
        <v>45830</v>
      </c>
      <c r="C1053" s="4">
        <v>2025</v>
      </c>
      <c r="D1053" s="4">
        <v>6</v>
      </c>
      <c r="E1053" s="4" t="s">
        <v>34</v>
      </c>
      <c r="F1053" s="4" t="s">
        <v>5</v>
      </c>
      <c r="G1053" s="4" t="s">
        <v>9</v>
      </c>
      <c r="H1053" s="4" t="s">
        <v>64</v>
      </c>
      <c r="I1053" s="4" t="s">
        <v>10</v>
      </c>
      <c r="J1053" s="4" t="s">
        <v>125</v>
      </c>
      <c r="K1053" s="4">
        <v>8</v>
      </c>
      <c r="L1053" s="5">
        <v>62.79</v>
      </c>
      <c r="M1053" s="5">
        <v>502.32</v>
      </c>
      <c r="N1053" s="5">
        <v>259.63</v>
      </c>
      <c r="O1053" s="5">
        <v>242.69</v>
      </c>
      <c r="P1053" s="4">
        <f>--AND(OR(Dashboard!$A$10="All",C1053=Dashboard!$A$10),OR(Dashboard!$A$14="All",F1053=Dashboard!$A$14),OR(Dashboard!$A$18="All",G1053=Dashboard!$A$18),OR(Dashboard!$A$22="All",I1053=Dashboard!$A$22))</f>
        <v>1</v>
      </c>
    </row>
    <row r="1054" spans="1:16" ht="15.75" customHeight="1">
      <c r="A1054" s="4" t="s">
        <v>1260</v>
      </c>
      <c r="B1054" s="6">
        <v>45494</v>
      </c>
      <c r="C1054" s="4">
        <v>2024</v>
      </c>
      <c r="D1054" s="4">
        <v>7</v>
      </c>
      <c r="E1054" s="4" t="s">
        <v>63</v>
      </c>
      <c r="F1054" s="4" t="s">
        <v>11</v>
      </c>
      <c r="G1054" s="4" t="s">
        <v>6</v>
      </c>
      <c r="H1054" s="4" t="s">
        <v>80</v>
      </c>
      <c r="I1054" s="4" t="s">
        <v>7</v>
      </c>
      <c r="J1054" s="4" t="s">
        <v>301</v>
      </c>
      <c r="K1054" s="4">
        <v>5</v>
      </c>
      <c r="L1054" s="5">
        <v>180.23</v>
      </c>
      <c r="M1054" s="5">
        <v>901.15</v>
      </c>
      <c r="N1054" s="5">
        <v>596.77</v>
      </c>
      <c r="O1054" s="5">
        <v>304.38</v>
      </c>
      <c r="P1054" s="4">
        <f>--AND(OR(Dashboard!$A$10="All",C1054=Dashboard!$A$10),OR(Dashboard!$A$14="All",F1054=Dashboard!$A$14),OR(Dashboard!$A$18="All",G1054=Dashboard!$A$18),OR(Dashboard!$A$22="All",I1054=Dashboard!$A$22))</f>
        <v>1</v>
      </c>
    </row>
    <row r="1055" spans="1:16" ht="15.75" customHeight="1">
      <c r="A1055" s="4" t="s">
        <v>1261</v>
      </c>
      <c r="B1055" s="6">
        <v>45898</v>
      </c>
      <c r="C1055" s="4">
        <v>2025</v>
      </c>
      <c r="D1055" s="4">
        <v>8</v>
      </c>
      <c r="E1055" s="4" t="s">
        <v>67</v>
      </c>
      <c r="F1055" s="4" t="s">
        <v>8</v>
      </c>
      <c r="G1055" s="4" t="s">
        <v>6</v>
      </c>
      <c r="H1055" s="4" t="s">
        <v>114</v>
      </c>
      <c r="I1055" s="4" t="s">
        <v>7</v>
      </c>
      <c r="J1055" s="4" t="s">
        <v>205</v>
      </c>
      <c r="K1055" s="4">
        <v>1</v>
      </c>
      <c r="L1055" s="5">
        <v>176.64</v>
      </c>
      <c r="M1055" s="5">
        <v>176.64</v>
      </c>
      <c r="N1055" s="5">
        <v>115.58</v>
      </c>
      <c r="O1055" s="5">
        <v>61.06</v>
      </c>
      <c r="P1055" s="4">
        <f>--AND(OR(Dashboard!$A$10="All",C1055=Dashboard!$A$10),OR(Dashboard!$A$14="All",F1055=Dashboard!$A$14),OR(Dashboard!$A$18="All",G1055=Dashboard!$A$18),OR(Dashboard!$A$22="All",I1055=Dashboard!$A$22))</f>
        <v>1</v>
      </c>
    </row>
    <row r="1056" spans="1:16" ht="15.75" customHeight="1">
      <c r="A1056" s="4" t="s">
        <v>1262</v>
      </c>
      <c r="B1056" s="6">
        <v>45389</v>
      </c>
      <c r="C1056" s="4">
        <v>2024</v>
      </c>
      <c r="D1056" s="4">
        <v>4</v>
      </c>
      <c r="E1056" s="4" t="s">
        <v>106</v>
      </c>
      <c r="F1056" s="4" t="s">
        <v>5</v>
      </c>
      <c r="G1056" s="4" t="s">
        <v>9</v>
      </c>
      <c r="H1056" s="4" t="s">
        <v>35</v>
      </c>
      <c r="I1056" s="4" t="s">
        <v>10</v>
      </c>
      <c r="J1056" s="4" t="s">
        <v>65</v>
      </c>
      <c r="K1056" s="4">
        <v>1</v>
      </c>
      <c r="L1056" s="5">
        <v>25.87</v>
      </c>
      <c r="M1056" s="5">
        <v>25.87</v>
      </c>
      <c r="N1056" s="5">
        <v>13.35</v>
      </c>
      <c r="O1056" s="5">
        <v>12.52</v>
      </c>
      <c r="P1056" s="4">
        <f>--AND(OR(Dashboard!$A$10="All",C1056=Dashboard!$A$10),OR(Dashboard!$A$14="All",F1056=Dashboard!$A$14),OR(Dashboard!$A$18="All",G1056=Dashboard!$A$18),OR(Dashboard!$A$22="All",I1056=Dashboard!$A$22))</f>
        <v>1</v>
      </c>
    </row>
    <row r="1057" spans="1:16" ht="15.75" customHeight="1">
      <c r="A1057" s="4" t="s">
        <v>1263</v>
      </c>
      <c r="B1057" s="6">
        <v>45956</v>
      </c>
      <c r="C1057" s="4">
        <v>2025</v>
      </c>
      <c r="D1057" s="4">
        <v>10</v>
      </c>
      <c r="E1057" s="4" t="s">
        <v>120</v>
      </c>
      <c r="F1057" s="4" t="s">
        <v>11</v>
      </c>
      <c r="G1057" s="4" t="s">
        <v>6</v>
      </c>
      <c r="H1057" s="4" t="s">
        <v>114</v>
      </c>
      <c r="I1057" s="4" t="s">
        <v>7</v>
      </c>
      <c r="J1057" s="4" t="s">
        <v>301</v>
      </c>
      <c r="K1057" s="4">
        <v>1</v>
      </c>
      <c r="L1057" s="5">
        <v>109.31</v>
      </c>
      <c r="M1057" s="5">
        <v>109.31</v>
      </c>
      <c r="N1057" s="5">
        <v>71.22</v>
      </c>
      <c r="O1057" s="5">
        <v>38.090000000000003</v>
      </c>
      <c r="P1057" s="4">
        <f>--AND(OR(Dashboard!$A$10="All",C1057=Dashboard!$A$10),OR(Dashboard!$A$14="All",F1057=Dashboard!$A$14),OR(Dashboard!$A$18="All",G1057=Dashboard!$A$18),OR(Dashboard!$A$22="All",I1057=Dashboard!$A$22))</f>
        <v>1</v>
      </c>
    </row>
    <row r="1058" spans="1:16" ht="15.75" customHeight="1">
      <c r="A1058" s="4" t="s">
        <v>1264</v>
      </c>
      <c r="B1058" s="6">
        <v>45732</v>
      </c>
      <c r="C1058" s="4">
        <v>2025</v>
      </c>
      <c r="D1058" s="4">
        <v>3</v>
      </c>
      <c r="E1058" s="4" t="s">
        <v>100</v>
      </c>
      <c r="F1058" s="4" t="s">
        <v>5</v>
      </c>
      <c r="G1058" s="4" t="s">
        <v>12</v>
      </c>
      <c r="H1058" s="4" t="s">
        <v>127</v>
      </c>
      <c r="I1058" s="4" t="s">
        <v>7</v>
      </c>
      <c r="J1058" s="4" t="s">
        <v>393</v>
      </c>
      <c r="K1058" s="4">
        <v>2</v>
      </c>
      <c r="L1058" s="5">
        <v>234.15</v>
      </c>
      <c r="M1058" s="5">
        <v>468.3</v>
      </c>
      <c r="N1058" s="5">
        <v>267.10000000000002</v>
      </c>
      <c r="O1058" s="5">
        <v>201.2</v>
      </c>
      <c r="P1058" s="4">
        <f>--AND(OR(Dashboard!$A$10="All",C1058=Dashboard!$A$10),OR(Dashboard!$A$14="All",F1058=Dashboard!$A$14),OR(Dashboard!$A$18="All",G1058=Dashboard!$A$18),OR(Dashboard!$A$22="All",I1058=Dashboard!$A$22))</f>
        <v>1</v>
      </c>
    </row>
    <row r="1059" spans="1:16" ht="15.75" customHeight="1">
      <c r="A1059" s="4" t="s">
        <v>1265</v>
      </c>
      <c r="B1059" s="6">
        <v>45670</v>
      </c>
      <c r="C1059" s="4">
        <v>2025</v>
      </c>
      <c r="D1059" s="4">
        <v>1</v>
      </c>
      <c r="E1059" s="4" t="s">
        <v>30</v>
      </c>
      <c r="F1059" s="4" t="s">
        <v>14</v>
      </c>
      <c r="G1059" s="4" t="s">
        <v>12</v>
      </c>
      <c r="H1059" s="4" t="s">
        <v>127</v>
      </c>
      <c r="I1059" s="4" t="s">
        <v>10</v>
      </c>
      <c r="J1059" s="4" t="s">
        <v>297</v>
      </c>
      <c r="K1059" s="4">
        <v>3</v>
      </c>
      <c r="L1059" s="5">
        <v>230.66</v>
      </c>
      <c r="M1059" s="5">
        <v>691.98</v>
      </c>
      <c r="N1059" s="5">
        <v>402.28</v>
      </c>
      <c r="O1059" s="5">
        <v>289.7</v>
      </c>
      <c r="P1059" s="4">
        <f>--AND(OR(Dashboard!$A$10="All",C1059=Dashboard!$A$10),OR(Dashboard!$A$14="All",F1059=Dashboard!$A$14),OR(Dashboard!$A$18="All",G1059=Dashboard!$A$18),OR(Dashboard!$A$22="All",I1059=Dashboard!$A$22))</f>
        <v>1</v>
      </c>
    </row>
    <row r="1060" spans="1:16" ht="15.75" customHeight="1">
      <c r="A1060" s="4" t="s">
        <v>1266</v>
      </c>
      <c r="B1060" s="6">
        <v>45806</v>
      </c>
      <c r="C1060" s="4">
        <v>2025</v>
      </c>
      <c r="D1060" s="4">
        <v>5</v>
      </c>
      <c r="E1060" s="4" t="s">
        <v>108</v>
      </c>
      <c r="F1060" s="4" t="s">
        <v>5</v>
      </c>
      <c r="G1060" s="4" t="s">
        <v>9</v>
      </c>
      <c r="H1060" s="4" t="s">
        <v>35</v>
      </c>
      <c r="I1060" s="4" t="s">
        <v>13</v>
      </c>
      <c r="J1060" s="4" t="s">
        <v>230</v>
      </c>
      <c r="K1060" s="4">
        <v>2</v>
      </c>
      <c r="L1060" s="5">
        <v>56.97</v>
      </c>
      <c r="M1060" s="5">
        <v>113.94</v>
      </c>
      <c r="N1060" s="5">
        <v>55.85</v>
      </c>
      <c r="O1060" s="5">
        <v>58.09</v>
      </c>
      <c r="P1060" s="4">
        <f>--AND(OR(Dashboard!$A$10="All",C1060=Dashboard!$A$10),OR(Dashboard!$A$14="All",F1060=Dashboard!$A$14),OR(Dashboard!$A$18="All",G1060=Dashboard!$A$18),OR(Dashboard!$A$22="All",I1060=Dashboard!$A$22))</f>
        <v>1</v>
      </c>
    </row>
    <row r="1061" spans="1:16" ht="15.75" customHeight="1">
      <c r="A1061" s="4" t="s">
        <v>1267</v>
      </c>
      <c r="B1061" s="6">
        <v>45668</v>
      </c>
      <c r="C1061" s="4">
        <v>2025</v>
      </c>
      <c r="D1061" s="4">
        <v>1</v>
      </c>
      <c r="E1061" s="4" t="s">
        <v>30</v>
      </c>
      <c r="F1061" s="4" t="s">
        <v>8</v>
      </c>
      <c r="G1061" s="4" t="s">
        <v>9</v>
      </c>
      <c r="H1061" s="4" t="s">
        <v>142</v>
      </c>
      <c r="I1061" s="4" t="s">
        <v>7</v>
      </c>
      <c r="J1061" s="4" t="s">
        <v>297</v>
      </c>
      <c r="K1061" s="4">
        <v>7</v>
      </c>
      <c r="L1061" s="5">
        <v>22.75</v>
      </c>
      <c r="M1061" s="5">
        <v>159.25</v>
      </c>
      <c r="N1061" s="5">
        <v>76.760000000000005</v>
      </c>
      <c r="O1061" s="5">
        <v>82.49</v>
      </c>
      <c r="P1061" s="4">
        <f>--AND(OR(Dashboard!$A$10="All",C1061=Dashboard!$A$10),OR(Dashboard!$A$14="All",F1061=Dashboard!$A$14),OR(Dashboard!$A$18="All",G1061=Dashboard!$A$18),OR(Dashboard!$A$22="All",I1061=Dashboard!$A$22))</f>
        <v>1</v>
      </c>
    </row>
    <row r="1062" spans="1:16" ht="15.75" customHeight="1">
      <c r="A1062" s="4" t="s">
        <v>1268</v>
      </c>
      <c r="B1062" s="6">
        <v>45666</v>
      </c>
      <c r="C1062" s="4">
        <v>2025</v>
      </c>
      <c r="D1062" s="4">
        <v>1</v>
      </c>
      <c r="E1062" s="4" t="s">
        <v>30</v>
      </c>
      <c r="F1062" s="4" t="s">
        <v>5</v>
      </c>
      <c r="G1062" s="4" t="s">
        <v>12</v>
      </c>
      <c r="H1062" s="4" t="s">
        <v>127</v>
      </c>
      <c r="I1062" s="4" t="s">
        <v>10</v>
      </c>
      <c r="J1062" s="4" t="s">
        <v>170</v>
      </c>
      <c r="K1062" s="4">
        <v>3</v>
      </c>
      <c r="L1062" s="5">
        <v>124.12</v>
      </c>
      <c r="M1062" s="5">
        <v>372.36</v>
      </c>
      <c r="N1062" s="5">
        <v>219.82</v>
      </c>
      <c r="O1062" s="5">
        <v>152.54</v>
      </c>
      <c r="P1062" s="4">
        <f>--AND(OR(Dashboard!$A$10="All",C1062=Dashboard!$A$10),OR(Dashboard!$A$14="All",F1062=Dashboard!$A$14),OR(Dashboard!$A$18="All",G1062=Dashboard!$A$18),OR(Dashboard!$A$22="All",I1062=Dashboard!$A$22))</f>
        <v>1</v>
      </c>
    </row>
    <row r="1063" spans="1:16" ht="15.75" customHeight="1">
      <c r="A1063" s="4" t="s">
        <v>1269</v>
      </c>
      <c r="B1063" s="6">
        <v>45991</v>
      </c>
      <c r="C1063" s="4">
        <v>2025</v>
      </c>
      <c r="D1063" s="4">
        <v>11</v>
      </c>
      <c r="E1063" s="4" t="s">
        <v>89</v>
      </c>
      <c r="F1063" s="4" t="s">
        <v>5</v>
      </c>
      <c r="G1063" s="4" t="s">
        <v>6</v>
      </c>
      <c r="H1063" s="4" t="s">
        <v>98</v>
      </c>
      <c r="I1063" s="4" t="s">
        <v>7</v>
      </c>
      <c r="J1063" s="4" t="s">
        <v>319</v>
      </c>
      <c r="K1063" s="4">
        <v>2</v>
      </c>
      <c r="L1063" s="5">
        <v>177.04</v>
      </c>
      <c r="M1063" s="5">
        <v>354.08</v>
      </c>
      <c r="N1063" s="5">
        <v>225.4</v>
      </c>
      <c r="O1063" s="5">
        <v>128.68</v>
      </c>
      <c r="P1063" s="4">
        <f>--AND(OR(Dashboard!$A$10="All",C1063=Dashboard!$A$10),OR(Dashboard!$A$14="All",F1063=Dashboard!$A$14),OR(Dashboard!$A$18="All",G1063=Dashboard!$A$18),OR(Dashboard!$A$22="All",I1063=Dashboard!$A$22))</f>
        <v>1</v>
      </c>
    </row>
    <row r="1064" spans="1:16" ht="15.75" customHeight="1">
      <c r="A1064" s="4" t="s">
        <v>1270</v>
      </c>
      <c r="B1064" s="6">
        <v>45834</v>
      </c>
      <c r="C1064" s="4">
        <v>2025</v>
      </c>
      <c r="D1064" s="4">
        <v>6</v>
      </c>
      <c r="E1064" s="4" t="s">
        <v>34</v>
      </c>
      <c r="F1064" s="4" t="s">
        <v>14</v>
      </c>
      <c r="G1064" s="4" t="s">
        <v>12</v>
      </c>
      <c r="H1064" s="4" t="s">
        <v>58</v>
      </c>
      <c r="I1064" s="4" t="s">
        <v>7</v>
      </c>
      <c r="J1064" s="4" t="s">
        <v>292</v>
      </c>
      <c r="K1064" s="4">
        <v>4</v>
      </c>
      <c r="L1064" s="5">
        <v>313.22000000000003</v>
      </c>
      <c r="M1064" s="5">
        <v>1252.8800000000001</v>
      </c>
      <c r="N1064" s="5">
        <v>786.54</v>
      </c>
      <c r="O1064" s="5">
        <v>466.34</v>
      </c>
      <c r="P1064" s="4">
        <f>--AND(OR(Dashboard!$A$10="All",C1064=Dashboard!$A$10),OR(Dashboard!$A$14="All",F1064=Dashboard!$A$14),OR(Dashboard!$A$18="All",G1064=Dashboard!$A$18),OR(Dashboard!$A$22="All",I1064=Dashboard!$A$22))</f>
        <v>1</v>
      </c>
    </row>
    <row r="1065" spans="1:16" ht="15.75" customHeight="1">
      <c r="A1065" s="4" t="s">
        <v>1271</v>
      </c>
      <c r="B1065" s="6">
        <v>45517</v>
      </c>
      <c r="C1065" s="4">
        <v>2024</v>
      </c>
      <c r="D1065" s="4">
        <v>8</v>
      </c>
      <c r="E1065" s="4" t="s">
        <v>67</v>
      </c>
      <c r="F1065" s="4" t="s">
        <v>14</v>
      </c>
      <c r="G1065" s="4" t="s">
        <v>6</v>
      </c>
      <c r="H1065" s="4" t="s">
        <v>80</v>
      </c>
      <c r="I1065" s="4" t="s">
        <v>7</v>
      </c>
      <c r="J1065" s="4" t="s">
        <v>346</v>
      </c>
      <c r="K1065" s="4">
        <v>5</v>
      </c>
      <c r="L1065" s="5">
        <v>195.11</v>
      </c>
      <c r="M1065" s="5">
        <v>975.55</v>
      </c>
      <c r="N1065" s="5">
        <v>619.75</v>
      </c>
      <c r="O1065" s="5">
        <v>355.8</v>
      </c>
      <c r="P1065" s="4">
        <f>--AND(OR(Dashboard!$A$10="All",C1065=Dashboard!$A$10),OR(Dashboard!$A$14="All",F1065=Dashboard!$A$14),OR(Dashboard!$A$18="All",G1065=Dashboard!$A$18),OR(Dashboard!$A$22="All",I1065=Dashboard!$A$22))</f>
        <v>1</v>
      </c>
    </row>
    <row r="1066" spans="1:16" ht="15.75" customHeight="1">
      <c r="A1066" s="4" t="s">
        <v>1272</v>
      </c>
      <c r="B1066" s="6">
        <v>45793</v>
      </c>
      <c r="C1066" s="4">
        <v>2025</v>
      </c>
      <c r="D1066" s="4">
        <v>5</v>
      </c>
      <c r="E1066" s="4" t="s">
        <v>108</v>
      </c>
      <c r="F1066" s="4" t="s">
        <v>5</v>
      </c>
      <c r="G1066" s="4" t="s">
        <v>6</v>
      </c>
      <c r="H1066" s="4" t="s">
        <v>98</v>
      </c>
      <c r="I1066" s="4" t="s">
        <v>13</v>
      </c>
      <c r="J1066" s="4" t="s">
        <v>381</v>
      </c>
      <c r="K1066" s="4">
        <v>7</v>
      </c>
      <c r="L1066" s="5">
        <v>221.08</v>
      </c>
      <c r="M1066" s="5">
        <v>1547.56</v>
      </c>
      <c r="N1066" s="5">
        <v>1044.22</v>
      </c>
      <c r="O1066" s="5">
        <v>503.34</v>
      </c>
      <c r="P1066" s="4">
        <f>--AND(OR(Dashboard!$A$10="All",C1066=Dashboard!$A$10),OR(Dashboard!$A$14="All",F1066=Dashboard!$A$14),OR(Dashboard!$A$18="All",G1066=Dashboard!$A$18),OR(Dashboard!$A$22="All",I1066=Dashboard!$A$22))</f>
        <v>1</v>
      </c>
    </row>
    <row r="1067" spans="1:16" ht="15.75" customHeight="1">
      <c r="A1067" s="4" t="s">
        <v>1273</v>
      </c>
      <c r="B1067" s="6">
        <v>45306</v>
      </c>
      <c r="C1067" s="4">
        <v>2024</v>
      </c>
      <c r="D1067" s="4">
        <v>1</v>
      </c>
      <c r="E1067" s="4" t="s">
        <v>30</v>
      </c>
      <c r="F1067" s="4" t="s">
        <v>5</v>
      </c>
      <c r="G1067" s="4" t="s">
        <v>6</v>
      </c>
      <c r="H1067" s="4" t="s">
        <v>80</v>
      </c>
      <c r="I1067" s="4" t="s">
        <v>7</v>
      </c>
      <c r="J1067" s="4" t="s">
        <v>333</v>
      </c>
      <c r="K1067" s="4">
        <v>2</v>
      </c>
      <c r="L1067" s="5">
        <v>75.95</v>
      </c>
      <c r="M1067" s="5">
        <v>151.9</v>
      </c>
      <c r="N1067" s="5">
        <v>105.14</v>
      </c>
      <c r="O1067" s="5">
        <v>46.76</v>
      </c>
      <c r="P1067" s="4">
        <f>--AND(OR(Dashboard!$A$10="All",C1067=Dashboard!$A$10),OR(Dashboard!$A$14="All",F1067=Dashboard!$A$14),OR(Dashboard!$A$18="All",G1067=Dashboard!$A$18),OR(Dashboard!$A$22="All",I1067=Dashboard!$A$22))</f>
        <v>1</v>
      </c>
    </row>
    <row r="1068" spans="1:16" ht="15.75" customHeight="1">
      <c r="A1068" s="4" t="s">
        <v>1274</v>
      </c>
      <c r="B1068" s="6">
        <v>45466</v>
      </c>
      <c r="C1068" s="4">
        <v>2024</v>
      </c>
      <c r="D1068" s="4">
        <v>6</v>
      </c>
      <c r="E1068" s="4" t="s">
        <v>34</v>
      </c>
      <c r="F1068" s="4" t="s">
        <v>8</v>
      </c>
      <c r="G1068" s="4" t="s">
        <v>6</v>
      </c>
      <c r="H1068" s="4" t="s">
        <v>98</v>
      </c>
      <c r="I1068" s="4" t="s">
        <v>13</v>
      </c>
      <c r="J1068" s="4" t="s">
        <v>314</v>
      </c>
      <c r="K1068" s="4">
        <v>1</v>
      </c>
      <c r="L1068" s="5">
        <v>199.67</v>
      </c>
      <c r="M1068" s="5">
        <v>199.67</v>
      </c>
      <c r="N1068" s="5">
        <v>126.56</v>
      </c>
      <c r="O1068" s="5">
        <v>73.11</v>
      </c>
      <c r="P1068" s="4">
        <f>--AND(OR(Dashboard!$A$10="All",C1068=Dashboard!$A$10),OR(Dashboard!$A$14="All",F1068=Dashboard!$A$14),OR(Dashboard!$A$18="All",G1068=Dashboard!$A$18),OR(Dashboard!$A$22="All",I1068=Dashboard!$A$22))</f>
        <v>1</v>
      </c>
    </row>
    <row r="1069" spans="1:16" ht="15.75" customHeight="1">
      <c r="A1069" s="4" t="s">
        <v>1275</v>
      </c>
      <c r="B1069" s="6">
        <v>45421</v>
      </c>
      <c r="C1069" s="4">
        <v>2024</v>
      </c>
      <c r="D1069" s="4">
        <v>5</v>
      </c>
      <c r="E1069" s="4" t="s">
        <v>108</v>
      </c>
      <c r="F1069" s="4" t="s">
        <v>8</v>
      </c>
      <c r="G1069" s="4" t="s">
        <v>12</v>
      </c>
      <c r="H1069" s="4" t="s">
        <v>92</v>
      </c>
      <c r="I1069" s="4" t="s">
        <v>7</v>
      </c>
      <c r="J1069" s="4" t="s">
        <v>162</v>
      </c>
      <c r="K1069" s="4">
        <v>5</v>
      </c>
      <c r="L1069" s="5">
        <v>158.82</v>
      </c>
      <c r="M1069" s="5">
        <v>794.1</v>
      </c>
      <c r="N1069" s="5">
        <v>477.31</v>
      </c>
      <c r="O1069" s="5">
        <v>316.79000000000002</v>
      </c>
      <c r="P1069" s="4">
        <f>--AND(OR(Dashboard!$A$10="All",C1069=Dashboard!$A$10),OR(Dashboard!$A$14="All",F1069=Dashboard!$A$14),OR(Dashboard!$A$18="All",G1069=Dashboard!$A$18),OR(Dashboard!$A$22="All",I1069=Dashboard!$A$22))</f>
        <v>1</v>
      </c>
    </row>
    <row r="1070" spans="1:16" ht="15.75" customHeight="1">
      <c r="A1070" s="4" t="s">
        <v>1276</v>
      </c>
      <c r="B1070" s="6">
        <v>45904</v>
      </c>
      <c r="C1070" s="4">
        <v>2025</v>
      </c>
      <c r="D1070" s="4">
        <v>9</v>
      </c>
      <c r="E1070" s="4" t="s">
        <v>79</v>
      </c>
      <c r="F1070" s="4" t="s">
        <v>8</v>
      </c>
      <c r="G1070" s="4" t="s">
        <v>6</v>
      </c>
      <c r="H1070" s="4" t="s">
        <v>54</v>
      </c>
      <c r="I1070" s="4" t="s">
        <v>7</v>
      </c>
      <c r="J1070" s="4" t="s">
        <v>87</v>
      </c>
      <c r="K1070" s="4">
        <v>4</v>
      </c>
      <c r="L1070" s="5">
        <v>220.4</v>
      </c>
      <c r="M1070" s="5">
        <v>881.6</v>
      </c>
      <c r="N1070" s="5">
        <v>554.53</v>
      </c>
      <c r="O1070" s="5">
        <v>327.07</v>
      </c>
      <c r="P1070" s="4">
        <f>--AND(OR(Dashboard!$A$10="All",C1070=Dashboard!$A$10),OR(Dashboard!$A$14="All",F1070=Dashboard!$A$14),OR(Dashboard!$A$18="All",G1070=Dashboard!$A$18),OR(Dashboard!$A$22="All",I1070=Dashboard!$A$22))</f>
        <v>1</v>
      </c>
    </row>
    <row r="1071" spans="1:16" ht="15.75" customHeight="1">
      <c r="A1071" s="4" t="s">
        <v>1277</v>
      </c>
      <c r="B1071" s="6">
        <v>45906</v>
      </c>
      <c r="C1071" s="4">
        <v>2025</v>
      </c>
      <c r="D1071" s="4">
        <v>9</v>
      </c>
      <c r="E1071" s="4" t="s">
        <v>79</v>
      </c>
      <c r="F1071" s="4" t="s">
        <v>5</v>
      </c>
      <c r="G1071" s="4" t="s">
        <v>9</v>
      </c>
      <c r="H1071" s="4" t="s">
        <v>64</v>
      </c>
      <c r="I1071" s="4" t="s">
        <v>7</v>
      </c>
      <c r="J1071" s="4" t="s">
        <v>360</v>
      </c>
      <c r="K1071" s="4">
        <v>2</v>
      </c>
      <c r="L1071" s="5">
        <v>48.88</v>
      </c>
      <c r="M1071" s="5">
        <v>97.76</v>
      </c>
      <c r="N1071" s="5">
        <v>50.11</v>
      </c>
      <c r="O1071" s="5">
        <v>47.65</v>
      </c>
      <c r="P1071" s="4">
        <f>--AND(OR(Dashboard!$A$10="All",C1071=Dashboard!$A$10),OR(Dashboard!$A$14="All",F1071=Dashboard!$A$14),OR(Dashboard!$A$18="All",G1071=Dashboard!$A$18),OR(Dashboard!$A$22="All",I1071=Dashboard!$A$22))</f>
        <v>1</v>
      </c>
    </row>
    <row r="1072" spans="1:16" ht="15.75" customHeight="1">
      <c r="A1072" s="4" t="s">
        <v>1278</v>
      </c>
      <c r="B1072" s="6">
        <v>45714</v>
      </c>
      <c r="C1072" s="4">
        <v>2025</v>
      </c>
      <c r="D1072" s="4">
        <v>2</v>
      </c>
      <c r="E1072" s="4" t="s">
        <v>70</v>
      </c>
      <c r="F1072" s="4" t="s">
        <v>5</v>
      </c>
      <c r="G1072" s="4" t="s">
        <v>9</v>
      </c>
      <c r="H1072" s="4" t="s">
        <v>35</v>
      </c>
      <c r="I1072" s="4" t="s">
        <v>7</v>
      </c>
      <c r="J1072" s="4" t="s">
        <v>159</v>
      </c>
      <c r="K1072" s="4">
        <v>1</v>
      </c>
      <c r="L1072" s="5">
        <v>64.48</v>
      </c>
      <c r="M1072" s="5">
        <v>64.48</v>
      </c>
      <c r="N1072" s="5">
        <v>33.61</v>
      </c>
      <c r="O1072" s="5">
        <v>30.87</v>
      </c>
      <c r="P1072" s="4">
        <f>--AND(OR(Dashboard!$A$10="All",C1072=Dashboard!$A$10),OR(Dashboard!$A$14="All",F1072=Dashboard!$A$14),OR(Dashboard!$A$18="All",G1072=Dashboard!$A$18),OR(Dashboard!$A$22="All",I1072=Dashboard!$A$22))</f>
        <v>1</v>
      </c>
    </row>
    <row r="1073" spans="1:16" ht="15.75" customHeight="1">
      <c r="A1073" s="4" t="s">
        <v>1279</v>
      </c>
      <c r="B1073" s="6">
        <v>45755</v>
      </c>
      <c r="C1073" s="4">
        <v>2025</v>
      </c>
      <c r="D1073" s="4">
        <v>4</v>
      </c>
      <c r="E1073" s="4" t="s">
        <v>106</v>
      </c>
      <c r="F1073" s="4" t="s">
        <v>5</v>
      </c>
      <c r="G1073" s="4" t="s">
        <v>6</v>
      </c>
      <c r="H1073" s="4" t="s">
        <v>114</v>
      </c>
      <c r="I1073" s="4" t="s">
        <v>7</v>
      </c>
      <c r="J1073" s="4" t="s">
        <v>144</v>
      </c>
      <c r="K1073" s="4">
        <v>4</v>
      </c>
      <c r="L1073" s="5">
        <v>137.27000000000001</v>
      </c>
      <c r="M1073" s="5">
        <v>549.08000000000004</v>
      </c>
      <c r="N1073" s="5">
        <v>351.66</v>
      </c>
      <c r="O1073" s="5">
        <v>197.42</v>
      </c>
      <c r="P1073" s="4">
        <f>--AND(OR(Dashboard!$A$10="All",C1073=Dashboard!$A$10),OR(Dashboard!$A$14="All",F1073=Dashboard!$A$14),OR(Dashboard!$A$18="All",G1073=Dashboard!$A$18),OR(Dashboard!$A$22="All",I1073=Dashboard!$A$22))</f>
        <v>1</v>
      </c>
    </row>
    <row r="1074" spans="1:16" ht="15.75" customHeight="1">
      <c r="A1074" s="4" t="s">
        <v>1280</v>
      </c>
      <c r="B1074" s="6">
        <v>45731</v>
      </c>
      <c r="C1074" s="4">
        <v>2025</v>
      </c>
      <c r="D1074" s="4">
        <v>3</v>
      </c>
      <c r="E1074" s="4" t="s">
        <v>100</v>
      </c>
      <c r="F1074" s="4" t="s">
        <v>8</v>
      </c>
      <c r="G1074" s="4" t="s">
        <v>12</v>
      </c>
      <c r="H1074" s="4" t="s">
        <v>58</v>
      </c>
      <c r="I1074" s="4" t="s">
        <v>7</v>
      </c>
      <c r="J1074" s="4" t="s">
        <v>111</v>
      </c>
      <c r="K1074" s="4">
        <v>14</v>
      </c>
      <c r="L1074" s="5">
        <v>253.19</v>
      </c>
      <c r="M1074" s="5">
        <v>3544.66</v>
      </c>
      <c r="N1074" s="5">
        <v>2098.58</v>
      </c>
      <c r="O1074" s="5">
        <v>1446.08</v>
      </c>
      <c r="P1074" s="4">
        <f>--AND(OR(Dashboard!$A$10="All",C1074=Dashboard!$A$10),OR(Dashboard!$A$14="All",F1074=Dashboard!$A$14),OR(Dashboard!$A$18="All",G1074=Dashboard!$A$18),OR(Dashboard!$A$22="All",I1074=Dashboard!$A$22))</f>
        <v>1</v>
      </c>
    </row>
    <row r="1075" spans="1:16" ht="15.75" customHeight="1">
      <c r="A1075" s="4" t="s">
        <v>1281</v>
      </c>
      <c r="B1075" s="6">
        <v>45886</v>
      </c>
      <c r="C1075" s="4">
        <v>2025</v>
      </c>
      <c r="D1075" s="4">
        <v>8</v>
      </c>
      <c r="E1075" s="4" t="s">
        <v>67</v>
      </c>
      <c r="F1075" s="4" t="s">
        <v>5</v>
      </c>
      <c r="G1075" s="4" t="s">
        <v>9</v>
      </c>
      <c r="H1075" s="4" t="s">
        <v>110</v>
      </c>
      <c r="I1075" s="4" t="s">
        <v>7</v>
      </c>
      <c r="J1075" s="4" t="s">
        <v>528</v>
      </c>
      <c r="K1075" s="4">
        <v>3</v>
      </c>
      <c r="L1075" s="5">
        <v>67.3</v>
      </c>
      <c r="M1075" s="5">
        <v>201.9</v>
      </c>
      <c r="N1075" s="5">
        <v>96.49</v>
      </c>
      <c r="O1075" s="5">
        <v>105.41</v>
      </c>
      <c r="P1075" s="4">
        <f>--AND(OR(Dashboard!$A$10="All",C1075=Dashboard!$A$10),OR(Dashboard!$A$14="All",F1075=Dashboard!$A$14),OR(Dashboard!$A$18="All",G1075=Dashboard!$A$18),OR(Dashboard!$A$22="All",I1075=Dashboard!$A$22))</f>
        <v>1</v>
      </c>
    </row>
    <row r="1076" spans="1:16" ht="15.75" customHeight="1">
      <c r="A1076" s="4" t="s">
        <v>1282</v>
      </c>
      <c r="B1076" s="6">
        <v>45499</v>
      </c>
      <c r="C1076" s="4">
        <v>2024</v>
      </c>
      <c r="D1076" s="4">
        <v>7</v>
      </c>
      <c r="E1076" s="4" t="s">
        <v>63</v>
      </c>
      <c r="F1076" s="4" t="s">
        <v>5</v>
      </c>
      <c r="G1076" s="4" t="s">
        <v>6</v>
      </c>
      <c r="H1076" s="4" t="s">
        <v>54</v>
      </c>
      <c r="I1076" s="4" t="s">
        <v>10</v>
      </c>
      <c r="J1076" s="4" t="s">
        <v>348</v>
      </c>
      <c r="K1076" s="4">
        <v>6</v>
      </c>
      <c r="L1076" s="5">
        <v>82.72</v>
      </c>
      <c r="M1076" s="5">
        <v>496.32</v>
      </c>
      <c r="N1076" s="5">
        <v>342.14</v>
      </c>
      <c r="O1076" s="5">
        <v>154.18</v>
      </c>
      <c r="P1076" s="4">
        <f>--AND(OR(Dashboard!$A$10="All",C1076=Dashboard!$A$10),OR(Dashboard!$A$14="All",F1076=Dashboard!$A$14),OR(Dashboard!$A$18="All",G1076=Dashboard!$A$18),OR(Dashboard!$A$22="All",I1076=Dashboard!$A$22))</f>
        <v>1</v>
      </c>
    </row>
    <row r="1077" spans="1:16" ht="15.75" customHeight="1">
      <c r="A1077" s="4" t="s">
        <v>1283</v>
      </c>
      <c r="B1077" s="6">
        <v>45814</v>
      </c>
      <c r="C1077" s="4">
        <v>2025</v>
      </c>
      <c r="D1077" s="4">
        <v>6</v>
      </c>
      <c r="E1077" s="4" t="s">
        <v>34</v>
      </c>
      <c r="F1077" s="4" t="s">
        <v>14</v>
      </c>
      <c r="G1077" s="4" t="s">
        <v>9</v>
      </c>
      <c r="H1077" s="4" t="s">
        <v>71</v>
      </c>
      <c r="I1077" s="4" t="s">
        <v>7</v>
      </c>
      <c r="J1077" s="4" t="s">
        <v>263</v>
      </c>
      <c r="K1077" s="4">
        <v>5</v>
      </c>
      <c r="L1077" s="5">
        <v>49.58</v>
      </c>
      <c r="M1077" s="5">
        <v>247.9</v>
      </c>
      <c r="N1077" s="5">
        <v>125.44</v>
      </c>
      <c r="O1077" s="5">
        <v>122.46</v>
      </c>
      <c r="P1077" s="4">
        <f>--AND(OR(Dashboard!$A$10="All",C1077=Dashboard!$A$10),OR(Dashboard!$A$14="All",F1077=Dashboard!$A$14),OR(Dashboard!$A$18="All",G1077=Dashboard!$A$18),OR(Dashboard!$A$22="All",I1077=Dashboard!$A$22))</f>
        <v>1</v>
      </c>
    </row>
    <row r="1078" spans="1:16" ht="15.75" customHeight="1">
      <c r="A1078" s="4" t="s">
        <v>1284</v>
      </c>
      <c r="B1078" s="6">
        <v>45816</v>
      </c>
      <c r="C1078" s="4">
        <v>2025</v>
      </c>
      <c r="D1078" s="4">
        <v>6</v>
      </c>
      <c r="E1078" s="4" t="s">
        <v>34</v>
      </c>
      <c r="F1078" s="4" t="s">
        <v>8</v>
      </c>
      <c r="G1078" s="4" t="s">
        <v>6</v>
      </c>
      <c r="H1078" s="4" t="s">
        <v>98</v>
      </c>
      <c r="I1078" s="4" t="s">
        <v>10</v>
      </c>
      <c r="J1078" s="4" t="s">
        <v>485</v>
      </c>
      <c r="K1078" s="4">
        <v>1</v>
      </c>
      <c r="L1078" s="5">
        <v>86.79</v>
      </c>
      <c r="M1078" s="5">
        <v>86.79</v>
      </c>
      <c r="N1078" s="5">
        <v>58.83</v>
      </c>
      <c r="O1078" s="5">
        <v>27.96</v>
      </c>
      <c r="P1078" s="4">
        <f>--AND(OR(Dashboard!$A$10="All",C1078=Dashboard!$A$10),OR(Dashboard!$A$14="All",F1078=Dashboard!$A$14),OR(Dashboard!$A$18="All",G1078=Dashboard!$A$18),OR(Dashboard!$A$22="All",I1078=Dashboard!$A$22))</f>
        <v>1</v>
      </c>
    </row>
    <row r="1079" spans="1:16" ht="15.75" customHeight="1">
      <c r="A1079" s="4" t="s">
        <v>1285</v>
      </c>
      <c r="B1079" s="6">
        <v>45672</v>
      </c>
      <c r="C1079" s="4">
        <v>2025</v>
      </c>
      <c r="D1079" s="4">
        <v>1</v>
      </c>
      <c r="E1079" s="4" t="s">
        <v>30</v>
      </c>
      <c r="F1079" s="4" t="s">
        <v>11</v>
      </c>
      <c r="G1079" s="4" t="s">
        <v>9</v>
      </c>
      <c r="H1079" s="4" t="s">
        <v>35</v>
      </c>
      <c r="I1079" s="4" t="s">
        <v>10</v>
      </c>
      <c r="J1079" s="4" t="s">
        <v>232</v>
      </c>
      <c r="K1079" s="4">
        <v>2</v>
      </c>
      <c r="L1079" s="5">
        <v>66.540000000000006</v>
      </c>
      <c r="M1079" s="5">
        <v>133.08000000000001</v>
      </c>
      <c r="N1079" s="5">
        <v>65.900000000000006</v>
      </c>
      <c r="O1079" s="5">
        <v>67.180000000000007</v>
      </c>
      <c r="P1079" s="4">
        <f>--AND(OR(Dashboard!$A$10="All",C1079=Dashboard!$A$10),OR(Dashboard!$A$14="All",F1079=Dashboard!$A$14),OR(Dashboard!$A$18="All",G1079=Dashboard!$A$18),OR(Dashboard!$A$22="All",I1079=Dashboard!$A$22))</f>
        <v>1</v>
      </c>
    </row>
    <row r="1080" spans="1:16" ht="15.75" customHeight="1">
      <c r="A1080" s="4" t="s">
        <v>1286</v>
      </c>
      <c r="B1080" s="6">
        <v>45714</v>
      </c>
      <c r="C1080" s="4">
        <v>2025</v>
      </c>
      <c r="D1080" s="4">
        <v>2</v>
      </c>
      <c r="E1080" s="4" t="s">
        <v>70</v>
      </c>
      <c r="F1080" s="4" t="s">
        <v>5</v>
      </c>
      <c r="G1080" s="4" t="s">
        <v>6</v>
      </c>
      <c r="H1080" s="4" t="s">
        <v>114</v>
      </c>
      <c r="I1080" s="4" t="s">
        <v>10</v>
      </c>
      <c r="J1080" s="4" t="s">
        <v>280</v>
      </c>
      <c r="K1080" s="4">
        <v>3</v>
      </c>
      <c r="L1080" s="5">
        <v>203.5</v>
      </c>
      <c r="M1080" s="5">
        <v>610.5</v>
      </c>
      <c r="N1080" s="5">
        <v>393.95</v>
      </c>
      <c r="O1080" s="5">
        <v>216.55</v>
      </c>
      <c r="P1080" s="4">
        <f>--AND(OR(Dashboard!$A$10="All",C1080=Dashboard!$A$10),OR(Dashboard!$A$14="All",F1080=Dashboard!$A$14),OR(Dashboard!$A$18="All",G1080=Dashboard!$A$18),OR(Dashboard!$A$22="All",I1080=Dashboard!$A$22))</f>
        <v>1</v>
      </c>
    </row>
    <row r="1081" spans="1:16" ht="15.75" customHeight="1">
      <c r="A1081" s="4" t="s">
        <v>1287</v>
      </c>
      <c r="B1081" s="6">
        <v>45773</v>
      </c>
      <c r="C1081" s="4">
        <v>2025</v>
      </c>
      <c r="D1081" s="4">
        <v>4</v>
      </c>
      <c r="E1081" s="4" t="s">
        <v>106</v>
      </c>
      <c r="F1081" s="4" t="s">
        <v>8</v>
      </c>
      <c r="G1081" s="4" t="s">
        <v>12</v>
      </c>
      <c r="H1081" s="4" t="s">
        <v>124</v>
      </c>
      <c r="I1081" s="4" t="s">
        <v>7</v>
      </c>
      <c r="J1081" s="4" t="s">
        <v>87</v>
      </c>
      <c r="K1081" s="4">
        <v>19</v>
      </c>
      <c r="L1081" s="5">
        <v>143.4</v>
      </c>
      <c r="M1081" s="5">
        <v>2724.6</v>
      </c>
      <c r="N1081" s="5">
        <v>1698.69</v>
      </c>
      <c r="O1081" s="5">
        <v>1025.9100000000001</v>
      </c>
      <c r="P1081" s="4">
        <f>--AND(OR(Dashboard!$A$10="All",C1081=Dashboard!$A$10),OR(Dashboard!$A$14="All",F1081=Dashboard!$A$14),OR(Dashboard!$A$18="All",G1081=Dashboard!$A$18),OR(Dashboard!$A$22="All",I1081=Dashboard!$A$22))</f>
        <v>1</v>
      </c>
    </row>
    <row r="1082" spans="1:16" ht="15.75" customHeight="1">
      <c r="A1082" s="4" t="s">
        <v>1288</v>
      </c>
      <c r="B1082" s="6">
        <v>45974</v>
      </c>
      <c r="C1082" s="4">
        <v>2025</v>
      </c>
      <c r="D1082" s="4">
        <v>11</v>
      </c>
      <c r="E1082" s="4" t="s">
        <v>89</v>
      </c>
      <c r="F1082" s="4" t="s">
        <v>14</v>
      </c>
      <c r="G1082" s="4" t="s">
        <v>12</v>
      </c>
      <c r="H1082" s="4" t="s">
        <v>92</v>
      </c>
      <c r="I1082" s="4" t="s">
        <v>7</v>
      </c>
      <c r="J1082" s="4" t="s">
        <v>226</v>
      </c>
      <c r="K1082" s="4">
        <v>3</v>
      </c>
      <c r="L1082" s="5">
        <v>152.11000000000001</v>
      </c>
      <c r="M1082" s="5">
        <v>456.33</v>
      </c>
      <c r="N1082" s="5">
        <v>275.06</v>
      </c>
      <c r="O1082" s="5">
        <v>181.27</v>
      </c>
      <c r="P1082" s="4">
        <f>--AND(OR(Dashboard!$A$10="All",C1082=Dashboard!$A$10),OR(Dashboard!$A$14="All",F1082=Dashboard!$A$14),OR(Dashboard!$A$18="All",G1082=Dashboard!$A$18),OR(Dashboard!$A$22="All",I1082=Dashboard!$A$22))</f>
        <v>1</v>
      </c>
    </row>
    <row r="1083" spans="1:16" ht="15.75" customHeight="1">
      <c r="A1083" s="4" t="s">
        <v>1289</v>
      </c>
      <c r="B1083" s="6">
        <v>45890</v>
      </c>
      <c r="C1083" s="4">
        <v>2025</v>
      </c>
      <c r="D1083" s="4">
        <v>8</v>
      </c>
      <c r="E1083" s="4" t="s">
        <v>67</v>
      </c>
      <c r="F1083" s="4" t="s">
        <v>8</v>
      </c>
      <c r="G1083" s="4" t="s">
        <v>12</v>
      </c>
      <c r="H1083" s="4" t="s">
        <v>127</v>
      </c>
      <c r="I1083" s="4" t="s">
        <v>10</v>
      </c>
      <c r="J1083" s="4" t="s">
        <v>348</v>
      </c>
      <c r="K1083" s="4">
        <v>5</v>
      </c>
      <c r="L1083" s="5">
        <v>280.04000000000002</v>
      </c>
      <c r="M1083" s="5">
        <v>1400.2</v>
      </c>
      <c r="N1083" s="5">
        <v>859.61</v>
      </c>
      <c r="O1083" s="5">
        <v>540.59</v>
      </c>
      <c r="P1083" s="4">
        <f>--AND(OR(Dashboard!$A$10="All",C1083=Dashboard!$A$10),OR(Dashboard!$A$14="All",F1083=Dashboard!$A$14),OR(Dashboard!$A$18="All",G1083=Dashboard!$A$18),OR(Dashboard!$A$22="All",I1083=Dashboard!$A$22))</f>
        <v>1</v>
      </c>
    </row>
    <row r="1084" spans="1:16" ht="15.75" customHeight="1">
      <c r="A1084" s="4" t="s">
        <v>1290</v>
      </c>
      <c r="B1084" s="6">
        <v>45771</v>
      </c>
      <c r="C1084" s="4">
        <v>2025</v>
      </c>
      <c r="D1084" s="4">
        <v>4</v>
      </c>
      <c r="E1084" s="4" t="s">
        <v>106</v>
      </c>
      <c r="F1084" s="4" t="s">
        <v>5</v>
      </c>
      <c r="G1084" s="4" t="s">
        <v>12</v>
      </c>
      <c r="H1084" s="4" t="s">
        <v>127</v>
      </c>
      <c r="I1084" s="4" t="s">
        <v>10</v>
      </c>
      <c r="J1084" s="4" t="s">
        <v>336</v>
      </c>
      <c r="K1084" s="4">
        <v>4</v>
      </c>
      <c r="L1084" s="5">
        <v>180.5</v>
      </c>
      <c r="M1084" s="5">
        <v>722</v>
      </c>
      <c r="N1084" s="5">
        <v>433.57</v>
      </c>
      <c r="O1084" s="5">
        <v>288.43</v>
      </c>
      <c r="P1084" s="4">
        <f>--AND(OR(Dashboard!$A$10="All",C1084=Dashboard!$A$10),OR(Dashboard!$A$14="All",F1084=Dashboard!$A$14),OR(Dashboard!$A$18="All",G1084=Dashboard!$A$18),OR(Dashboard!$A$22="All",I1084=Dashboard!$A$22))</f>
        <v>1</v>
      </c>
    </row>
    <row r="1085" spans="1:16" ht="15.75" customHeight="1">
      <c r="A1085" s="4" t="s">
        <v>1291</v>
      </c>
      <c r="B1085" s="6">
        <v>45802</v>
      </c>
      <c r="C1085" s="4">
        <v>2025</v>
      </c>
      <c r="D1085" s="4">
        <v>5</v>
      </c>
      <c r="E1085" s="4" t="s">
        <v>108</v>
      </c>
      <c r="F1085" s="4" t="s">
        <v>11</v>
      </c>
      <c r="G1085" s="4" t="s">
        <v>9</v>
      </c>
      <c r="H1085" s="4" t="s">
        <v>35</v>
      </c>
      <c r="I1085" s="4" t="s">
        <v>13</v>
      </c>
      <c r="J1085" s="4" t="s">
        <v>532</v>
      </c>
      <c r="K1085" s="4">
        <v>6</v>
      </c>
      <c r="L1085" s="5">
        <v>51.3</v>
      </c>
      <c r="M1085" s="5">
        <v>307.8</v>
      </c>
      <c r="N1085" s="5">
        <v>153.72</v>
      </c>
      <c r="O1085" s="5">
        <v>154.08000000000001</v>
      </c>
      <c r="P1085" s="4">
        <f>--AND(OR(Dashboard!$A$10="All",C1085=Dashboard!$A$10),OR(Dashboard!$A$14="All",F1085=Dashboard!$A$14),OR(Dashboard!$A$18="All",G1085=Dashboard!$A$18),OR(Dashboard!$A$22="All",I1085=Dashboard!$A$22))</f>
        <v>1</v>
      </c>
    </row>
    <row r="1086" spans="1:16" ht="15.75" customHeight="1">
      <c r="A1086" s="4" t="s">
        <v>1292</v>
      </c>
      <c r="B1086" s="6">
        <v>45968</v>
      </c>
      <c r="C1086" s="4">
        <v>2025</v>
      </c>
      <c r="D1086" s="4">
        <v>11</v>
      </c>
      <c r="E1086" s="4" t="s">
        <v>89</v>
      </c>
      <c r="F1086" s="4" t="s">
        <v>8</v>
      </c>
      <c r="G1086" s="4" t="s">
        <v>6</v>
      </c>
      <c r="H1086" s="4" t="s">
        <v>114</v>
      </c>
      <c r="I1086" s="4" t="s">
        <v>7</v>
      </c>
      <c r="J1086" s="4" t="s">
        <v>68</v>
      </c>
      <c r="K1086" s="4">
        <v>8</v>
      </c>
      <c r="L1086" s="5">
        <v>139.80000000000001</v>
      </c>
      <c r="M1086" s="5">
        <v>1118.4000000000001</v>
      </c>
      <c r="N1086" s="5">
        <v>713.85</v>
      </c>
      <c r="O1086" s="5">
        <v>404.55</v>
      </c>
      <c r="P1086" s="4">
        <f>--AND(OR(Dashboard!$A$10="All",C1086=Dashboard!$A$10),OR(Dashboard!$A$14="All",F1086=Dashboard!$A$14),OR(Dashboard!$A$18="All",G1086=Dashboard!$A$18),OR(Dashboard!$A$22="All",I1086=Dashboard!$A$22))</f>
        <v>1</v>
      </c>
    </row>
    <row r="1087" spans="1:16" ht="15.75" customHeight="1">
      <c r="A1087" s="4" t="s">
        <v>1293</v>
      </c>
      <c r="B1087" s="6">
        <v>45409</v>
      </c>
      <c r="C1087" s="4">
        <v>2024</v>
      </c>
      <c r="D1087" s="4">
        <v>4</v>
      </c>
      <c r="E1087" s="4" t="s">
        <v>106</v>
      </c>
      <c r="F1087" s="4" t="s">
        <v>11</v>
      </c>
      <c r="G1087" s="4" t="s">
        <v>9</v>
      </c>
      <c r="H1087" s="4" t="s">
        <v>71</v>
      </c>
      <c r="I1087" s="4" t="s">
        <v>7</v>
      </c>
      <c r="J1087" s="4" t="s">
        <v>37</v>
      </c>
      <c r="K1087" s="4">
        <v>1</v>
      </c>
      <c r="L1087" s="5">
        <v>32</v>
      </c>
      <c r="M1087" s="5">
        <v>32</v>
      </c>
      <c r="N1087" s="5">
        <v>15.43</v>
      </c>
      <c r="O1087" s="5">
        <v>16.57</v>
      </c>
      <c r="P1087" s="4">
        <f>--AND(OR(Dashboard!$A$10="All",C1087=Dashboard!$A$10),OR(Dashboard!$A$14="All",F1087=Dashboard!$A$14),OR(Dashboard!$A$18="All",G1087=Dashboard!$A$18),OR(Dashboard!$A$22="All",I1087=Dashboard!$A$22))</f>
        <v>1</v>
      </c>
    </row>
    <row r="1088" spans="1:16" ht="15.75" customHeight="1">
      <c r="A1088" s="4" t="s">
        <v>1294</v>
      </c>
      <c r="B1088" s="6">
        <v>45394</v>
      </c>
      <c r="C1088" s="4">
        <v>2024</v>
      </c>
      <c r="D1088" s="4">
        <v>4</v>
      </c>
      <c r="E1088" s="4" t="s">
        <v>106</v>
      </c>
      <c r="F1088" s="4" t="s">
        <v>14</v>
      </c>
      <c r="G1088" s="4" t="s">
        <v>6</v>
      </c>
      <c r="H1088" s="4" t="s">
        <v>98</v>
      </c>
      <c r="I1088" s="4" t="s">
        <v>7</v>
      </c>
      <c r="J1088" s="4" t="s">
        <v>280</v>
      </c>
      <c r="K1088" s="4">
        <v>1</v>
      </c>
      <c r="L1088" s="5">
        <v>220.2</v>
      </c>
      <c r="M1088" s="5">
        <v>220.2</v>
      </c>
      <c r="N1088" s="5">
        <v>151.08000000000001</v>
      </c>
      <c r="O1088" s="5">
        <v>69.12</v>
      </c>
      <c r="P1088" s="4">
        <f>--AND(OR(Dashboard!$A$10="All",C1088=Dashboard!$A$10),OR(Dashboard!$A$14="All",F1088=Dashboard!$A$14),OR(Dashboard!$A$18="All",G1088=Dashboard!$A$18),OR(Dashboard!$A$22="All",I1088=Dashboard!$A$22))</f>
        <v>1</v>
      </c>
    </row>
    <row r="1089" spans="1:16" ht="15.75" customHeight="1">
      <c r="A1089" s="4" t="s">
        <v>1295</v>
      </c>
      <c r="B1089" s="6">
        <v>45684</v>
      </c>
      <c r="C1089" s="4">
        <v>2025</v>
      </c>
      <c r="D1089" s="4">
        <v>1</v>
      </c>
      <c r="E1089" s="4" t="s">
        <v>30</v>
      </c>
      <c r="F1089" s="4" t="s">
        <v>11</v>
      </c>
      <c r="G1089" s="4" t="s">
        <v>12</v>
      </c>
      <c r="H1089" s="4" t="s">
        <v>58</v>
      </c>
      <c r="I1089" s="4" t="s">
        <v>10</v>
      </c>
      <c r="J1089" s="4" t="s">
        <v>289</v>
      </c>
      <c r="K1089" s="4">
        <v>1</v>
      </c>
      <c r="L1089" s="5">
        <v>221.35</v>
      </c>
      <c r="M1089" s="5">
        <v>221.35</v>
      </c>
      <c r="N1089" s="5">
        <v>136.44</v>
      </c>
      <c r="O1089" s="5">
        <v>84.91</v>
      </c>
      <c r="P1089" s="4">
        <f>--AND(OR(Dashboard!$A$10="All",C1089=Dashboard!$A$10),OR(Dashboard!$A$14="All",F1089=Dashboard!$A$14),OR(Dashboard!$A$18="All",G1089=Dashboard!$A$18),OR(Dashboard!$A$22="All",I1089=Dashboard!$A$22))</f>
        <v>1</v>
      </c>
    </row>
    <row r="1090" spans="1:16" ht="15.75" customHeight="1">
      <c r="A1090" s="4" t="s">
        <v>1296</v>
      </c>
      <c r="B1090" s="6">
        <v>45748</v>
      </c>
      <c r="C1090" s="4">
        <v>2025</v>
      </c>
      <c r="D1090" s="4">
        <v>4</v>
      </c>
      <c r="E1090" s="4" t="s">
        <v>106</v>
      </c>
      <c r="F1090" s="4" t="s">
        <v>8</v>
      </c>
      <c r="G1090" s="4" t="s">
        <v>9</v>
      </c>
      <c r="H1090" s="4" t="s">
        <v>64</v>
      </c>
      <c r="I1090" s="4" t="s">
        <v>10</v>
      </c>
      <c r="J1090" s="4" t="s">
        <v>336</v>
      </c>
      <c r="K1090" s="4">
        <v>1</v>
      </c>
      <c r="L1090" s="5">
        <v>58.34</v>
      </c>
      <c r="M1090" s="5">
        <v>58.34</v>
      </c>
      <c r="N1090" s="5">
        <v>27.72</v>
      </c>
      <c r="O1090" s="5">
        <v>30.62</v>
      </c>
      <c r="P1090" s="4">
        <f>--AND(OR(Dashboard!$A$10="All",C1090=Dashboard!$A$10),OR(Dashboard!$A$14="All",F1090=Dashboard!$A$14),OR(Dashboard!$A$18="All",G1090=Dashboard!$A$18),OR(Dashboard!$A$22="All",I1090=Dashboard!$A$22))</f>
        <v>1</v>
      </c>
    </row>
    <row r="1091" spans="1:16" ht="15.75" customHeight="1">
      <c r="A1091" s="4" t="s">
        <v>1297</v>
      </c>
      <c r="B1091" s="6">
        <v>45715</v>
      </c>
      <c r="C1091" s="4">
        <v>2025</v>
      </c>
      <c r="D1091" s="4">
        <v>2</v>
      </c>
      <c r="E1091" s="4" t="s">
        <v>70</v>
      </c>
      <c r="F1091" s="4" t="s">
        <v>8</v>
      </c>
      <c r="G1091" s="4" t="s">
        <v>12</v>
      </c>
      <c r="H1091" s="4" t="s">
        <v>58</v>
      </c>
      <c r="I1091" s="4" t="s">
        <v>7</v>
      </c>
      <c r="J1091" s="4" t="s">
        <v>247</v>
      </c>
      <c r="K1091" s="4">
        <v>3</v>
      </c>
      <c r="L1091" s="5">
        <v>283.82</v>
      </c>
      <c r="M1091" s="5">
        <v>851.46</v>
      </c>
      <c r="N1091" s="5">
        <v>505.13</v>
      </c>
      <c r="O1091" s="5">
        <v>346.33</v>
      </c>
      <c r="P1091" s="4">
        <f>--AND(OR(Dashboard!$A$10="All",C1091=Dashboard!$A$10),OR(Dashboard!$A$14="All",F1091=Dashboard!$A$14),OR(Dashboard!$A$18="All",G1091=Dashboard!$A$18),OR(Dashboard!$A$22="All",I1091=Dashboard!$A$22))</f>
        <v>1</v>
      </c>
    </row>
    <row r="1092" spans="1:16" ht="15.75" customHeight="1">
      <c r="A1092" s="4" t="s">
        <v>1298</v>
      </c>
      <c r="B1092" s="6">
        <v>45329</v>
      </c>
      <c r="C1092" s="4">
        <v>2024</v>
      </c>
      <c r="D1092" s="4">
        <v>2</v>
      </c>
      <c r="E1092" s="4" t="s">
        <v>70</v>
      </c>
      <c r="F1092" s="4" t="s">
        <v>5</v>
      </c>
      <c r="G1092" s="4" t="s">
        <v>6</v>
      </c>
      <c r="H1092" s="4" t="s">
        <v>98</v>
      </c>
      <c r="I1092" s="4" t="s">
        <v>10</v>
      </c>
      <c r="J1092" s="4" t="s">
        <v>344</v>
      </c>
      <c r="K1092" s="4">
        <v>3</v>
      </c>
      <c r="L1092" s="5">
        <v>217.26</v>
      </c>
      <c r="M1092" s="5">
        <v>651.78</v>
      </c>
      <c r="N1092" s="5">
        <v>429.09</v>
      </c>
      <c r="O1092" s="5">
        <v>222.69</v>
      </c>
      <c r="P1092" s="4">
        <f>--AND(OR(Dashboard!$A$10="All",C1092=Dashboard!$A$10),OR(Dashboard!$A$14="All",F1092=Dashboard!$A$14),OR(Dashboard!$A$18="All",G1092=Dashboard!$A$18),OR(Dashboard!$A$22="All",I1092=Dashboard!$A$22))</f>
        <v>1</v>
      </c>
    </row>
    <row r="1093" spans="1:16" ht="15.75" customHeight="1">
      <c r="A1093" s="4" t="s">
        <v>1299</v>
      </c>
      <c r="B1093" s="6">
        <v>46001</v>
      </c>
      <c r="C1093" s="4">
        <v>2025</v>
      </c>
      <c r="D1093" s="4">
        <v>12</v>
      </c>
      <c r="E1093" s="4" t="s">
        <v>57</v>
      </c>
      <c r="F1093" s="4" t="s">
        <v>11</v>
      </c>
      <c r="G1093" s="4" t="s">
        <v>6</v>
      </c>
      <c r="H1093" s="4" t="s">
        <v>54</v>
      </c>
      <c r="I1093" s="4" t="s">
        <v>7</v>
      </c>
      <c r="J1093" s="4" t="s">
        <v>460</v>
      </c>
      <c r="K1093" s="4">
        <v>2</v>
      </c>
      <c r="L1093" s="5">
        <v>183.03</v>
      </c>
      <c r="M1093" s="5">
        <v>366.06</v>
      </c>
      <c r="N1093" s="5">
        <v>237.37</v>
      </c>
      <c r="O1093" s="5">
        <v>128.69</v>
      </c>
      <c r="P1093" s="4">
        <f>--AND(OR(Dashboard!$A$10="All",C1093=Dashboard!$A$10),OR(Dashboard!$A$14="All",F1093=Dashboard!$A$14),OR(Dashboard!$A$18="All",G1093=Dashboard!$A$18),OR(Dashboard!$A$22="All",I1093=Dashboard!$A$22))</f>
        <v>1</v>
      </c>
    </row>
    <row r="1094" spans="1:16" ht="15.75" customHeight="1">
      <c r="A1094" s="4" t="s">
        <v>1300</v>
      </c>
      <c r="B1094" s="6">
        <v>45517</v>
      </c>
      <c r="C1094" s="4">
        <v>2024</v>
      </c>
      <c r="D1094" s="4">
        <v>8</v>
      </c>
      <c r="E1094" s="4" t="s">
        <v>67</v>
      </c>
      <c r="F1094" s="4" t="s">
        <v>8</v>
      </c>
      <c r="G1094" s="4" t="s">
        <v>6</v>
      </c>
      <c r="H1094" s="4" t="s">
        <v>136</v>
      </c>
      <c r="I1094" s="4" t="s">
        <v>7</v>
      </c>
      <c r="J1094" s="4" t="s">
        <v>532</v>
      </c>
      <c r="K1094" s="4">
        <v>3</v>
      </c>
      <c r="L1094" s="5">
        <v>155.41999999999999</v>
      </c>
      <c r="M1094" s="5">
        <v>466.26</v>
      </c>
      <c r="N1094" s="5">
        <v>322.77999999999997</v>
      </c>
      <c r="O1094" s="5">
        <v>143.47999999999999</v>
      </c>
      <c r="P1094" s="4">
        <f>--AND(OR(Dashboard!$A$10="All",C1094=Dashboard!$A$10),OR(Dashboard!$A$14="All",F1094=Dashboard!$A$14),OR(Dashboard!$A$18="All",G1094=Dashboard!$A$18),OR(Dashboard!$A$22="All",I1094=Dashboard!$A$22))</f>
        <v>1</v>
      </c>
    </row>
    <row r="1095" spans="1:16" ht="15.75" customHeight="1">
      <c r="A1095" s="4" t="s">
        <v>1301</v>
      </c>
      <c r="B1095" s="6">
        <v>45437</v>
      </c>
      <c r="C1095" s="4">
        <v>2024</v>
      </c>
      <c r="D1095" s="4">
        <v>5</v>
      </c>
      <c r="E1095" s="4" t="s">
        <v>108</v>
      </c>
      <c r="F1095" s="4" t="s">
        <v>5</v>
      </c>
      <c r="G1095" s="4" t="s">
        <v>12</v>
      </c>
      <c r="H1095" s="4" t="s">
        <v>92</v>
      </c>
      <c r="I1095" s="4" t="s">
        <v>7</v>
      </c>
      <c r="J1095" s="4" t="s">
        <v>407</v>
      </c>
      <c r="K1095" s="4">
        <v>1</v>
      </c>
      <c r="L1095" s="5">
        <v>137.19</v>
      </c>
      <c r="M1095" s="5">
        <v>137.19</v>
      </c>
      <c r="N1095" s="5">
        <v>82.8</v>
      </c>
      <c r="O1095" s="5">
        <v>54.39</v>
      </c>
      <c r="P1095" s="4">
        <f>--AND(OR(Dashboard!$A$10="All",C1095=Dashboard!$A$10),OR(Dashboard!$A$14="All",F1095=Dashboard!$A$14),OR(Dashboard!$A$18="All",G1095=Dashboard!$A$18),OR(Dashboard!$A$22="All",I1095=Dashboard!$A$22))</f>
        <v>1</v>
      </c>
    </row>
    <row r="1096" spans="1:16" ht="15.75" customHeight="1">
      <c r="A1096" s="4" t="s">
        <v>1302</v>
      </c>
      <c r="B1096" s="6">
        <v>45348</v>
      </c>
      <c r="C1096" s="4">
        <v>2024</v>
      </c>
      <c r="D1096" s="4">
        <v>2</v>
      </c>
      <c r="E1096" s="4" t="s">
        <v>70</v>
      </c>
      <c r="F1096" s="4" t="s">
        <v>8</v>
      </c>
      <c r="G1096" s="4" t="s">
        <v>6</v>
      </c>
      <c r="H1096" s="4" t="s">
        <v>136</v>
      </c>
      <c r="I1096" s="4" t="s">
        <v>7</v>
      </c>
      <c r="J1096" s="4" t="s">
        <v>214</v>
      </c>
      <c r="K1096" s="4">
        <v>10</v>
      </c>
      <c r="L1096" s="5">
        <v>215.49</v>
      </c>
      <c r="M1096" s="5">
        <v>2154.9</v>
      </c>
      <c r="N1096" s="5">
        <v>1444.02</v>
      </c>
      <c r="O1096" s="5">
        <v>710.88</v>
      </c>
      <c r="P1096" s="4">
        <f>--AND(OR(Dashboard!$A$10="All",C1096=Dashboard!$A$10),OR(Dashboard!$A$14="All",F1096=Dashboard!$A$14),OR(Dashboard!$A$18="All",G1096=Dashboard!$A$18),OR(Dashboard!$A$22="All",I1096=Dashboard!$A$22))</f>
        <v>1</v>
      </c>
    </row>
    <row r="1097" spans="1:16" ht="15.75" customHeight="1">
      <c r="A1097" s="4" t="s">
        <v>1303</v>
      </c>
      <c r="B1097" s="6">
        <v>45937</v>
      </c>
      <c r="C1097" s="4">
        <v>2025</v>
      </c>
      <c r="D1097" s="4">
        <v>10</v>
      </c>
      <c r="E1097" s="4" t="s">
        <v>120</v>
      </c>
      <c r="F1097" s="4" t="s">
        <v>11</v>
      </c>
      <c r="G1097" s="4" t="s">
        <v>12</v>
      </c>
      <c r="H1097" s="4" t="s">
        <v>86</v>
      </c>
      <c r="I1097" s="4" t="s">
        <v>13</v>
      </c>
      <c r="J1097" s="4" t="s">
        <v>381</v>
      </c>
      <c r="K1097" s="4">
        <v>2</v>
      </c>
      <c r="L1097" s="5">
        <v>247.43</v>
      </c>
      <c r="M1097" s="5">
        <v>494.86</v>
      </c>
      <c r="N1097" s="5">
        <v>301.77999999999997</v>
      </c>
      <c r="O1097" s="5">
        <v>193.08</v>
      </c>
      <c r="P1097" s="4">
        <f>--AND(OR(Dashboard!$A$10="All",C1097=Dashboard!$A$10),OR(Dashboard!$A$14="All",F1097=Dashboard!$A$14),OR(Dashboard!$A$18="All",G1097=Dashboard!$A$18),OR(Dashboard!$A$22="All",I1097=Dashboard!$A$22))</f>
        <v>1</v>
      </c>
    </row>
    <row r="1098" spans="1:16" ht="15.75" customHeight="1">
      <c r="A1098" s="4" t="s">
        <v>1304</v>
      </c>
      <c r="B1098" s="6">
        <v>45525</v>
      </c>
      <c r="C1098" s="4">
        <v>2024</v>
      </c>
      <c r="D1098" s="4">
        <v>8</v>
      </c>
      <c r="E1098" s="4" t="s">
        <v>67</v>
      </c>
      <c r="F1098" s="4" t="s">
        <v>5</v>
      </c>
      <c r="G1098" s="4" t="s">
        <v>6</v>
      </c>
      <c r="H1098" s="4" t="s">
        <v>98</v>
      </c>
      <c r="I1098" s="4" t="s">
        <v>7</v>
      </c>
      <c r="J1098" s="4" t="s">
        <v>373</v>
      </c>
      <c r="K1098" s="4">
        <v>6</v>
      </c>
      <c r="L1098" s="5">
        <v>178.14</v>
      </c>
      <c r="M1098" s="5">
        <v>1068.8399999999999</v>
      </c>
      <c r="N1098" s="5">
        <v>706.9</v>
      </c>
      <c r="O1098" s="5">
        <v>361.94</v>
      </c>
      <c r="P1098" s="4">
        <f>--AND(OR(Dashboard!$A$10="All",C1098=Dashboard!$A$10),OR(Dashboard!$A$14="All",F1098=Dashboard!$A$14),OR(Dashboard!$A$18="All",G1098=Dashboard!$A$18),OR(Dashboard!$A$22="All",I1098=Dashboard!$A$22))</f>
        <v>1</v>
      </c>
    </row>
    <row r="1099" spans="1:16" ht="15.75" customHeight="1">
      <c r="A1099" s="4" t="s">
        <v>1305</v>
      </c>
      <c r="B1099" s="6">
        <v>45561</v>
      </c>
      <c r="C1099" s="4">
        <v>2024</v>
      </c>
      <c r="D1099" s="4">
        <v>9</v>
      </c>
      <c r="E1099" s="4" t="s">
        <v>79</v>
      </c>
      <c r="F1099" s="4" t="s">
        <v>5</v>
      </c>
      <c r="G1099" s="4" t="s">
        <v>12</v>
      </c>
      <c r="H1099" s="4" t="s">
        <v>127</v>
      </c>
      <c r="I1099" s="4" t="s">
        <v>10</v>
      </c>
      <c r="J1099" s="4" t="s">
        <v>144</v>
      </c>
      <c r="K1099" s="4">
        <v>3</v>
      </c>
      <c r="L1099" s="5">
        <v>111.49</v>
      </c>
      <c r="M1099" s="5">
        <v>334.47</v>
      </c>
      <c r="N1099" s="5">
        <v>210.59</v>
      </c>
      <c r="O1099" s="5">
        <v>123.88</v>
      </c>
      <c r="P1099" s="4">
        <f>--AND(OR(Dashboard!$A$10="All",C1099=Dashboard!$A$10),OR(Dashboard!$A$14="All",F1099=Dashboard!$A$14),OR(Dashboard!$A$18="All",G1099=Dashboard!$A$18),OR(Dashboard!$A$22="All",I1099=Dashboard!$A$22))</f>
        <v>1</v>
      </c>
    </row>
    <row r="1100" spans="1:16" ht="15.75" customHeight="1">
      <c r="A1100" s="4" t="s">
        <v>1306</v>
      </c>
      <c r="B1100" s="6">
        <v>45737</v>
      </c>
      <c r="C1100" s="4">
        <v>2025</v>
      </c>
      <c r="D1100" s="4">
        <v>3</v>
      </c>
      <c r="E1100" s="4" t="s">
        <v>100</v>
      </c>
      <c r="F1100" s="4" t="s">
        <v>5</v>
      </c>
      <c r="G1100" s="4" t="s">
        <v>6</v>
      </c>
      <c r="H1100" s="4" t="s">
        <v>98</v>
      </c>
      <c r="I1100" s="4" t="s">
        <v>10</v>
      </c>
      <c r="J1100" s="4" t="s">
        <v>381</v>
      </c>
      <c r="K1100" s="4">
        <v>1</v>
      </c>
      <c r="L1100" s="5">
        <v>77.17</v>
      </c>
      <c r="M1100" s="5">
        <v>77.17</v>
      </c>
      <c r="N1100" s="5">
        <v>48.98</v>
      </c>
      <c r="O1100" s="5">
        <v>28.19</v>
      </c>
      <c r="P1100" s="4">
        <f>--AND(OR(Dashboard!$A$10="All",C1100=Dashboard!$A$10),OR(Dashboard!$A$14="All",F1100=Dashboard!$A$14),OR(Dashboard!$A$18="All",G1100=Dashboard!$A$18),OR(Dashboard!$A$22="All",I1100=Dashboard!$A$22))</f>
        <v>1</v>
      </c>
    </row>
    <row r="1101" spans="1:16" ht="15.75" customHeight="1">
      <c r="A1101" s="4" t="s">
        <v>1307</v>
      </c>
      <c r="B1101" s="6">
        <v>45779</v>
      </c>
      <c r="C1101" s="4">
        <v>2025</v>
      </c>
      <c r="D1101" s="4">
        <v>5</v>
      </c>
      <c r="E1101" s="4" t="s">
        <v>108</v>
      </c>
      <c r="F1101" s="4" t="s">
        <v>8</v>
      </c>
      <c r="G1101" s="4" t="s">
        <v>12</v>
      </c>
      <c r="H1101" s="4" t="s">
        <v>58</v>
      </c>
      <c r="I1101" s="4" t="s">
        <v>13</v>
      </c>
      <c r="J1101" s="4" t="s">
        <v>125</v>
      </c>
      <c r="K1101" s="4">
        <v>12</v>
      </c>
      <c r="L1101" s="5">
        <v>254.37</v>
      </c>
      <c r="M1101" s="5">
        <v>3052.44</v>
      </c>
      <c r="N1101" s="5">
        <v>1761.2</v>
      </c>
      <c r="O1101" s="5">
        <v>1291.24</v>
      </c>
      <c r="P1101" s="4">
        <f>--AND(OR(Dashboard!$A$10="All",C1101=Dashboard!$A$10),OR(Dashboard!$A$14="All",F1101=Dashboard!$A$14),OR(Dashboard!$A$18="All",G1101=Dashboard!$A$18),OR(Dashboard!$A$22="All",I1101=Dashboard!$A$22))</f>
        <v>1</v>
      </c>
    </row>
    <row r="1102" spans="1:16" ht="15.75" customHeight="1">
      <c r="A1102" s="4" t="s">
        <v>1308</v>
      </c>
      <c r="B1102" s="6">
        <v>45857</v>
      </c>
      <c r="C1102" s="4">
        <v>2025</v>
      </c>
      <c r="D1102" s="4">
        <v>7</v>
      </c>
      <c r="E1102" s="4" t="s">
        <v>63</v>
      </c>
      <c r="F1102" s="4" t="s">
        <v>11</v>
      </c>
      <c r="G1102" s="4" t="s">
        <v>9</v>
      </c>
      <c r="H1102" s="4" t="s">
        <v>35</v>
      </c>
      <c r="I1102" s="4" t="s">
        <v>10</v>
      </c>
      <c r="J1102" s="4" t="s">
        <v>61</v>
      </c>
      <c r="K1102" s="4">
        <v>4</v>
      </c>
      <c r="L1102" s="5">
        <v>63.18</v>
      </c>
      <c r="M1102" s="5">
        <v>252.72</v>
      </c>
      <c r="N1102" s="5">
        <v>124.35</v>
      </c>
      <c r="O1102" s="5">
        <v>128.37</v>
      </c>
      <c r="P1102" s="4">
        <f>--AND(OR(Dashboard!$A$10="All",C1102=Dashboard!$A$10),OR(Dashboard!$A$14="All",F1102=Dashboard!$A$14),OR(Dashboard!$A$18="All",G1102=Dashboard!$A$18),OR(Dashboard!$A$22="All",I1102=Dashboard!$A$22))</f>
        <v>1</v>
      </c>
    </row>
    <row r="1103" spans="1:16" ht="15.75" customHeight="1">
      <c r="A1103" s="4" t="s">
        <v>1309</v>
      </c>
      <c r="B1103" s="6">
        <v>45577</v>
      </c>
      <c r="C1103" s="4">
        <v>2024</v>
      </c>
      <c r="D1103" s="4">
        <v>10</v>
      </c>
      <c r="E1103" s="4" t="s">
        <v>120</v>
      </c>
      <c r="F1103" s="4" t="s">
        <v>11</v>
      </c>
      <c r="G1103" s="4" t="s">
        <v>6</v>
      </c>
      <c r="H1103" s="4" t="s">
        <v>136</v>
      </c>
      <c r="I1103" s="4" t="s">
        <v>10</v>
      </c>
      <c r="J1103" s="4" t="s">
        <v>528</v>
      </c>
      <c r="K1103" s="4">
        <v>8</v>
      </c>
      <c r="L1103" s="5">
        <v>78.42</v>
      </c>
      <c r="M1103" s="5">
        <v>627.36</v>
      </c>
      <c r="N1103" s="5">
        <v>425.87</v>
      </c>
      <c r="O1103" s="5">
        <v>201.49</v>
      </c>
      <c r="P1103" s="4">
        <f>--AND(OR(Dashboard!$A$10="All",C1103=Dashboard!$A$10),OR(Dashboard!$A$14="All",F1103=Dashboard!$A$14),OR(Dashboard!$A$18="All",G1103=Dashboard!$A$18),OR(Dashboard!$A$22="All",I1103=Dashboard!$A$22))</f>
        <v>1</v>
      </c>
    </row>
    <row r="1104" spans="1:16" ht="15.75" customHeight="1">
      <c r="A1104" s="4" t="s">
        <v>1310</v>
      </c>
      <c r="B1104" s="6">
        <v>45309</v>
      </c>
      <c r="C1104" s="4">
        <v>2024</v>
      </c>
      <c r="D1104" s="4">
        <v>1</v>
      </c>
      <c r="E1104" s="4" t="s">
        <v>30</v>
      </c>
      <c r="F1104" s="4" t="s">
        <v>5</v>
      </c>
      <c r="G1104" s="4" t="s">
        <v>6</v>
      </c>
      <c r="H1104" s="4" t="s">
        <v>54</v>
      </c>
      <c r="I1104" s="4" t="s">
        <v>7</v>
      </c>
      <c r="J1104" s="4" t="s">
        <v>202</v>
      </c>
      <c r="K1104" s="4">
        <v>4</v>
      </c>
      <c r="L1104" s="5">
        <v>155.03</v>
      </c>
      <c r="M1104" s="5">
        <v>620.12</v>
      </c>
      <c r="N1104" s="5">
        <v>427.07</v>
      </c>
      <c r="O1104" s="5">
        <v>193.05</v>
      </c>
      <c r="P1104" s="4">
        <f>--AND(OR(Dashboard!$A$10="All",C1104=Dashboard!$A$10),OR(Dashboard!$A$14="All",F1104=Dashboard!$A$14),OR(Dashboard!$A$18="All",G1104=Dashboard!$A$18),OR(Dashboard!$A$22="All",I1104=Dashboard!$A$22))</f>
        <v>1</v>
      </c>
    </row>
    <row r="1105" spans="1:16" ht="15.75" customHeight="1">
      <c r="A1105" s="4" t="s">
        <v>1311</v>
      </c>
      <c r="B1105" s="6">
        <v>45900</v>
      </c>
      <c r="C1105" s="4">
        <v>2025</v>
      </c>
      <c r="D1105" s="4">
        <v>8</v>
      </c>
      <c r="E1105" s="4" t="s">
        <v>67</v>
      </c>
      <c r="F1105" s="4" t="s">
        <v>5</v>
      </c>
      <c r="G1105" s="4" t="s">
        <v>12</v>
      </c>
      <c r="H1105" s="4" t="s">
        <v>124</v>
      </c>
      <c r="I1105" s="4" t="s">
        <v>7</v>
      </c>
      <c r="J1105" s="4" t="s">
        <v>379</v>
      </c>
      <c r="K1105" s="4">
        <v>1</v>
      </c>
      <c r="L1105" s="5">
        <v>140.02000000000001</v>
      </c>
      <c r="M1105" s="5">
        <v>140.02000000000001</v>
      </c>
      <c r="N1105" s="5">
        <v>84.13</v>
      </c>
      <c r="O1105" s="5">
        <v>55.89</v>
      </c>
      <c r="P1105" s="4">
        <f>--AND(OR(Dashboard!$A$10="All",C1105=Dashboard!$A$10),OR(Dashboard!$A$14="All",F1105=Dashboard!$A$14),OR(Dashboard!$A$18="All",G1105=Dashboard!$A$18),OR(Dashboard!$A$22="All",I1105=Dashboard!$A$22))</f>
        <v>1</v>
      </c>
    </row>
    <row r="1106" spans="1:16" ht="15.75" customHeight="1">
      <c r="A1106" s="4" t="s">
        <v>1312</v>
      </c>
      <c r="B1106" s="6">
        <v>45502</v>
      </c>
      <c r="C1106" s="4">
        <v>2024</v>
      </c>
      <c r="D1106" s="4">
        <v>7</v>
      </c>
      <c r="E1106" s="4" t="s">
        <v>63</v>
      </c>
      <c r="F1106" s="4" t="s">
        <v>5</v>
      </c>
      <c r="G1106" s="4" t="s">
        <v>12</v>
      </c>
      <c r="H1106" s="4" t="s">
        <v>86</v>
      </c>
      <c r="I1106" s="4" t="s">
        <v>10</v>
      </c>
      <c r="J1106" s="4" t="s">
        <v>149</v>
      </c>
      <c r="K1106" s="4">
        <v>7</v>
      </c>
      <c r="L1106" s="5">
        <v>274.38</v>
      </c>
      <c r="M1106" s="5">
        <v>1920.66</v>
      </c>
      <c r="N1106" s="5">
        <v>1195.18</v>
      </c>
      <c r="O1106" s="5">
        <v>725.48</v>
      </c>
      <c r="P1106" s="4">
        <f>--AND(OR(Dashboard!$A$10="All",C1106=Dashboard!$A$10),OR(Dashboard!$A$14="All",F1106=Dashboard!$A$14),OR(Dashboard!$A$18="All",G1106=Dashboard!$A$18),OR(Dashboard!$A$22="All",I1106=Dashboard!$A$22))</f>
        <v>1</v>
      </c>
    </row>
    <row r="1107" spans="1:16" ht="15.75" customHeight="1">
      <c r="A1107" s="4" t="s">
        <v>1313</v>
      </c>
      <c r="B1107" s="6">
        <v>45522</v>
      </c>
      <c r="C1107" s="4">
        <v>2024</v>
      </c>
      <c r="D1107" s="4">
        <v>8</v>
      </c>
      <c r="E1107" s="4" t="s">
        <v>67</v>
      </c>
      <c r="F1107" s="4" t="s">
        <v>8</v>
      </c>
      <c r="G1107" s="4" t="s">
        <v>6</v>
      </c>
      <c r="H1107" s="4" t="s">
        <v>114</v>
      </c>
      <c r="I1107" s="4" t="s">
        <v>7</v>
      </c>
      <c r="J1107" s="4" t="s">
        <v>261</v>
      </c>
      <c r="K1107" s="4">
        <v>4</v>
      </c>
      <c r="L1107" s="5">
        <v>157.66</v>
      </c>
      <c r="M1107" s="5">
        <v>630.64</v>
      </c>
      <c r="N1107" s="5">
        <v>412.28</v>
      </c>
      <c r="O1107" s="5">
        <v>218.36</v>
      </c>
      <c r="P1107" s="4">
        <f>--AND(OR(Dashboard!$A$10="All",C1107=Dashboard!$A$10),OR(Dashboard!$A$14="All",F1107=Dashboard!$A$14),OR(Dashboard!$A$18="All",G1107=Dashboard!$A$18),OR(Dashboard!$A$22="All",I1107=Dashboard!$A$22))</f>
        <v>1</v>
      </c>
    </row>
    <row r="1108" spans="1:16" ht="15.75" customHeight="1">
      <c r="A1108" s="4" t="s">
        <v>1314</v>
      </c>
      <c r="B1108" s="6">
        <v>45428</v>
      </c>
      <c r="C1108" s="4">
        <v>2024</v>
      </c>
      <c r="D1108" s="4">
        <v>5</v>
      </c>
      <c r="E1108" s="4" t="s">
        <v>108</v>
      </c>
      <c r="F1108" s="4" t="s">
        <v>5</v>
      </c>
      <c r="G1108" s="4" t="s">
        <v>6</v>
      </c>
      <c r="H1108" s="4" t="s">
        <v>136</v>
      </c>
      <c r="I1108" s="4" t="s">
        <v>7</v>
      </c>
      <c r="J1108" s="4" t="s">
        <v>181</v>
      </c>
      <c r="K1108" s="4">
        <v>1</v>
      </c>
      <c r="L1108" s="5">
        <v>149.9</v>
      </c>
      <c r="M1108" s="5">
        <v>149.9</v>
      </c>
      <c r="N1108" s="5">
        <v>100.52</v>
      </c>
      <c r="O1108" s="5">
        <v>49.38</v>
      </c>
      <c r="P1108" s="4">
        <f>--AND(OR(Dashboard!$A$10="All",C1108=Dashboard!$A$10),OR(Dashboard!$A$14="All",F1108=Dashboard!$A$14),OR(Dashboard!$A$18="All",G1108=Dashboard!$A$18),OR(Dashboard!$A$22="All",I1108=Dashboard!$A$22))</f>
        <v>1</v>
      </c>
    </row>
    <row r="1109" spans="1:16" ht="15.75" customHeight="1">
      <c r="A1109" s="4" t="s">
        <v>1315</v>
      </c>
      <c r="B1109" s="6">
        <v>45539</v>
      </c>
      <c r="C1109" s="4">
        <v>2024</v>
      </c>
      <c r="D1109" s="4">
        <v>9</v>
      </c>
      <c r="E1109" s="4" t="s">
        <v>79</v>
      </c>
      <c r="F1109" s="4" t="s">
        <v>8</v>
      </c>
      <c r="G1109" s="4" t="s">
        <v>9</v>
      </c>
      <c r="H1109" s="4" t="s">
        <v>71</v>
      </c>
      <c r="I1109" s="4" t="s">
        <v>7</v>
      </c>
      <c r="J1109" s="4" t="s">
        <v>317</v>
      </c>
      <c r="K1109" s="4">
        <v>4</v>
      </c>
      <c r="L1109" s="5">
        <v>57.21</v>
      </c>
      <c r="M1109" s="5">
        <v>228.84</v>
      </c>
      <c r="N1109" s="5">
        <v>114.29</v>
      </c>
      <c r="O1109" s="5">
        <v>114.55</v>
      </c>
      <c r="P1109" s="4">
        <f>--AND(OR(Dashboard!$A$10="All",C1109=Dashboard!$A$10),OR(Dashboard!$A$14="All",F1109=Dashboard!$A$14),OR(Dashboard!$A$18="All",G1109=Dashboard!$A$18),OR(Dashboard!$A$22="All",I1109=Dashboard!$A$22))</f>
        <v>1</v>
      </c>
    </row>
    <row r="1110" spans="1:16" ht="15.75" customHeight="1">
      <c r="A1110" s="4" t="s">
        <v>1316</v>
      </c>
      <c r="B1110" s="6">
        <v>45718</v>
      </c>
      <c r="C1110" s="4">
        <v>2025</v>
      </c>
      <c r="D1110" s="4">
        <v>3</v>
      </c>
      <c r="E1110" s="4" t="s">
        <v>100</v>
      </c>
      <c r="F1110" s="4" t="s">
        <v>5</v>
      </c>
      <c r="G1110" s="4" t="s">
        <v>9</v>
      </c>
      <c r="H1110" s="4" t="s">
        <v>64</v>
      </c>
      <c r="I1110" s="4" t="s">
        <v>10</v>
      </c>
      <c r="J1110" s="4" t="s">
        <v>214</v>
      </c>
      <c r="K1110" s="4">
        <v>3</v>
      </c>
      <c r="L1110" s="5">
        <v>55.65</v>
      </c>
      <c r="M1110" s="5">
        <v>166.95</v>
      </c>
      <c r="N1110" s="5">
        <v>83.38</v>
      </c>
      <c r="O1110" s="5">
        <v>83.57</v>
      </c>
      <c r="P1110" s="4">
        <f>--AND(OR(Dashboard!$A$10="All",C1110=Dashboard!$A$10),OR(Dashboard!$A$14="All",F1110=Dashboard!$A$14),OR(Dashboard!$A$18="All",G1110=Dashboard!$A$18),OR(Dashboard!$A$22="All",I1110=Dashboard!$A$22))</f>
        <v>1</v>
      </c>
    </row>
    <row r="1111" spans="1:16" ht="15.75" customHeight="1">
      <c r="A1111" s="4" t="s">
        <v>1317</v>
      </c>
      <c r="B1111" s="6">
        <v>45419</v>
      </c>
      <c r="C1111" s="4">
        <v>2024</v>
      </c>
      <c r="D1111" s="4">
        <v>5</v>
      </c>
      <c r="E1111" s="4" t="s">
        <v>108</v>
      </c>
      <c r="F1111" s="4" t="s">
        <v>8</v>
      </c>
      <c r="G1111" s="4" t="s">
        <v>12</v>
      </c>
      <c r="H1111" s="4" t="s">
        <v>124</v>
      </c>
      <c r="I1111" s="4" t="s">
        <v>13</v>
      </c>
      <c r="J1111" s="4" t="s">
        <v>402</v>
      </c>
      <c r="K1111" s="4">
        <v>1</v>
      </c>
      <c r="L1111" s="5">
        <v>270.23</v>
      </c>
      <c r="M1111" s="5">
        <v>270.23</v>
      </c>
      <c r="N1111" s="5">
        <v>160.07</v>
      </c>
      <c r="O1111" s="5">
        <v>110.16</v>
      </c>
      <c r="P1111" s="4">
        <f>--AND(OR(Dashboard!$A$10="All",C1111=Dashboard!$A$10),OR(Dashboard!$A$14="All",F1111=Dashboard!$A$14),OR(Dashboard!$A$18="All",G1111=Dashboard!$A$18),OR(Dashboard!$A$22="All",I1111=Dashboard!$A$22))</f>
        <v>1</v>
      </c>
    </row>
    <row r="1112" spans="1:16" ht="15.75" customHeight="1">
      <c r="A1112" s="4" t="s">
        <v>1318</v>
      </c>
      <c r="B1112" s="6">
        <v>45739</v>
      </c>
      <c r="C1112" s="4">
        <v>2025</v>
      </c>
      <c r="D1112" s="4">
        <v>3</v>
      </c>
      <c r="E1112" s="4" t="s">
        <v>100</v>
      </c>
      <c r="F1112" s="4" t="s">
        <v>11</v>
      </c>
      <c r="G1112" s="4" t="s">
        <v>9</v>
      </c>
      <c r="H1112" s="4" t="s">
        <v>142</v>
      </c>
      <c r="I1112" s="4" t="s">
        <v>7</v>
      </c>
      <c r="J1112" s="4" t="s">
        <v>270</v>
      </c>
      <c r="K1112" s="4">
        <v>2</v>
      </c>
      <c r="L1112" s="5">
        <v>67.489999999999995</v>
      </c>
      <c r="M1112" s="5">
        <v>134.97999999999999</v>
      </c>
      <c r="N1112" s="5">
        <v>66.97</v>
      </c>
      <c r="O1112" s="5">
        <v>68.010000000000005</v>
      </c>
      <c r="P1112" s="4">
        <f>--AND(OR(Dashboard!$A$10="All",C1112=Dashboard!$A$10),OR(Dashboard!$A$14="All",F1112=Dashboard!$A$14),OR(Dashboard!$A$18="All",G1112=Dashboard!$A$18),OR(Dashboard!$A$22="All",I1112=Dashboard!$A$22))</f>
        <v>1</v>
      </c>
    </row>
    <row r="1113" spans="1:16" ht="15.75" customHeight="1">
      <c r="A1113" s="4" t="s">
        <v>1319</v>
      </c>
      <c r="B1113" s="6">
        <v>45592</v>
      </c>
      <c r="C1113" s="4">
        <v>2024</v>
      </c>
      <c r="D1113" s="4">
        <v>10</v>
      </c>
      <c r="E1113" s="4" t="s">
        <v>120</v>
      </c>
      <c r="F1113" s="4" t="s">
        <v>5</v>
      </c>
      <c r="G1113" s="4" t="s">
        <v>6</v>
      </c>
      <c r="H1113" s="4" t="s">
        <v>114</v>
      </c>
      <c r="I1113" s="4" t="s">
        <v>10</v>
      </c>
      <c r="J1113" s="4" t="s">
        <v>55</v>
      </c>
      <c r="K1113" s="4">
        <v>5</v>
      </c>
      <c r="L1113" s="5">
        <v>128.88</v>
      </c>
      <c r="M1113" s="5">
        <v>644.4</v>
      </c>
      <c r="N1113" s="5">
        <v>404.68</v>
      </c>
      <c r="O1113" s="5">
        <v>239.72</v>
      </c>
      <c r="P1113" s="4">
        <f>--AND(OR(Dashboard!$A$10="All",C1113=Dashboard!$A$10),OR(Dashboard!$A$14="All",F1113=Dashboard!$A$14),OR(Dashboard!$A$18="All",G1113=Dashboard!$A$18),OR(Dashboard!$A$22="All",I1113=Dashboard!$A$22))</f>
        <v>1</v>
      </c>
    </row>
    <row r="1114" spans="1:16" ht="15.75" customHeight="1">
      <c r="A1114" s="4" t="s">
        <v>1320</v>
      </c>
      <c r="B1114" s="6">
        <v>45608</v>
      </c>
      <c r="C1114" s="4">
        <v>2024</v>
      </c>
      <c r="D1114" s="4">
        <v>11</v>
      </c>
      <c r="E1114" s="4" t="s">
        <v>89</v>
      </c>
      <c r="F1114" s="4" t="s">
        <v>14</v>
      </c>
      <c r="G1114" s="4" t="s">
        <v>9</v>
      </c>
      <c r="H1114" s="4" t="s">
        <v>142</v>
      </c>
      <c r="I1114" s="4" t="s">
        <v>7</v>
      </c>
      <c r="J1114" s="4" t="s">
        <v>205</v>
      </c>
      <c r="K1114" s="4">
        <v>2</v>
      </c>
      <c r="L1114" s="5">
        <v>40.840000000000003</v>
      </c>
      <c r="M1114" s="5">
        <v>81.680000000000007</v>
      </c>
      <c r="N1114" s="5">
        <v>41.96</v>
      </c>
      <c r="O1114" s="5">
        <v>39.72</v>
      </c>
      <c r="P1114" s="4">
        <f>--AND(OR(Dashboard!$A$10="All",C1114=Dashboard!$A$10),OR(Dashboard!$A$14="All",F1114=Dashboard!$A$14),OR(Dashboard!$A$18="All",G1114=Dashboard!$A$18),OR(Dashboard!$A$22="All",I1114=Dashboard!$A$22))</f>
        <v>1</v>
      </c>
    </row>
    <row r="1115" spans="1:16" ht="15.75" customHeight="1">
      <c r="A1115" s="4" t="s">
        <v>1321</v>
      </c>
      <c r="B1115" s="6">
        <v>45665</v>
      </c>
      <c r="C1115" s="4">
        <v>2025</v>
      </c>
      <c r="D1115" s="4">
        <v>1</v>
      </c>
      <c r="E1115" s="4" t="s">
        <v>30</v>
      </c>
      <c r="F1115" s="4" t="s">
        <v>11</v>
      </c>
      <c r="G1115" s="4" t="s">
        <v>9</v>
      </c>
      <c r="H1115" s="4" t="s">
        <v>142</v>
      </c>
      <c r="I1115" s="4" t="s">
        <v>7</v>
      </c>
      <c r="J1115" s="4" t="s">
        <v>230</v>
      </c>
      <c r="K1115" s="4">
        <v>4</v>
      </c>
      <c r="L1115" s="5">
        <v>67.319999999999993</v>
      </c>
      <c r="M1115" s="5">
        <v>269.27999999999997</v>
      </c>
      <c r="N1115" s="5">
        <v>136.87</v>
      </c>
      <c r="O1115" s="5">
        <v>132.41</v>
      </c>
      <c r="P1115" s="4">
        <f>--AND(OR(Dashboard!$A$10="All",C1115=Dashboard!$A$10),OR(Dashboard!$A$14="All",F1115=Dashboard!$A$14),OR(Dashboard!$A$18="All",G1115=Dashboard!$A$18),OR(Dashboard!$A$22="All",I1115=Dashboard!$A$22))</f>
        <v>1</v>
      </c>
    </row>
    <row r="1116" spans="1:16" ht="15.75" customHeight="1">
      <c r="A1116" s="4" t="s">
        <v>1322</v>
      </c>
      <c r="B1116" s="6">
        <v>46020</v>
      </c>
      <c r="C1116" s="4">
        <v>2025</v>
      </c>
      <c r="D1116" s="4">
        <v>12</v>
      </c>
      <c r="E1116" s="4" t="s">
        <v>57</v>
      </c>
      <c r="F1116" s="4" t="s">
        <v>5</v>
      </c>
      <c r="G1116" s="4" t="s">
        <v>12</v>
      </c>
      <c r="H1116" s="4" t="s">
        <v>124</v>
      </c>
      <c r="I1116" s="4" t="s">
        <v>7</v>
      </c>
      <c r="J1116" s="4" t="s">
        <v>362</v>
      </c>
      <c r="K1116" s="4">
        <v>8</v>
      </c>
      <c r="L1116" s="5">
        <v>308.43</v>
      </c>
      <c r="M1116" s="5">
        <v>2467.44</v>
      </c>
      <c r="N1116" s="5">
        <v>1481.72</v>
      </c>
      <c r="O1116" s="5">
        <v>985.72</v>
      </c>
      <c r="P1116" s="4">
        <f>--AND(OR(Dashboard!$A$10="All",C1116=Dashboard!$A$10),OR(Dashboard!$A$14="All",F1116=Dashboard!$A$14),OR(Dashboard!$A$18="All",G1116=Dashboard!$A$18),OR(Dashboard!$A$22="All",I1116=Dashboard!$A$22))</f>
        <v>1</v>
      </c>
    </row>
    <row r="1117" spans="1:16" ht="15.75" customHeight="1">
      <c r="A1117" s="4" t="s">
        <v>1323</v>
      </c>
      <c r="B1117" s="6">
        <v>45367</v>
      </c>
      <c r="C1117" s="4">
        <v>2024</v>
      </c>
      <c r="D1117" s="4">
        <v>3</v>
      </c>
      <c r="E1117" s="4" t="s">
        <v>100</v>
      </c>
      <c r="F1117" s="4" t="s">
        <v>11</v>
      </c>
      <c r="G1117" s="4" t="s">
        <v>12</v>
      </c>
      <c r="H1117" s="4" t="s">
        <v>124</v>
      </c>
      <c r="I1117" s="4" t="s">
        <v>7</v>
      </c>
      <c r="J1117" s="4" t="s">
        <v>362</v>
      </c>
      <c r="K1117" s="4">
        <v>5</v>
      </c>
      <c r="L1117" s="5">
        <v>228.56</v>
      </c>
      <c r="M1117" s="5">
        <v>1142.8</v>
      </c>
      <c r="N1117" s="5">
        <v>680.02</v>
      </c>
      <c r="O1117" s="5">
        <v>462.78</v>
      </c>
      <c r="P1117" s="4">
        <f>--AND(OR(Dashboard!$A$10="All",C1117=Dashboard!$A$10),OR(Dashboard!$A$14="All",F1117=Dashboard!$A$14),OR(Dashboard!$A$18="All",G1117=Dashboard!$A$18),OR(Dashboard!$A$22="All",I1117=Dashboard!$A$22))</f>
        <v>1</v>
      </c>
    </row>
    <row r="1118" spans="1:16" ht="15.75" customHeight="1">
      <c r="A1118" s="4" t="s">
        <v>1324</v>
      </c>
      <c r="B1118" s="6">
        <v>45655</v>
      </c>
      <c r="C1118" s="4">
        <v>2024</v>
      </c>
      <c r="D1118" s="4">
        <v>12</v>
      </c>
      <c r="E1118" s="4" t="s">
        <v>57</v>
      </c>
      <c r="F1118" s="4" t="s">
        <v>5</v>
      </c>
      <c r="G1118" s="4" t="s">
        <v>6</v>
      </c>
      <c r="H1118" s="4" t="s">
        <v>136</v>
      </c>
      <c r="I1118" s="4" t="s">
        <v>7</v>
      </c>
      <c r="J1118" s="4" t="s">
        <v>218</v>
      </c>
      <c r="K1118" s="4">
        <v>1</v>
      </c>
      <c r="L1118" s="5">
        <v>88.28</v>
      </c>
      <c r="M1118" s="5">
        <v>88.28</v>
      </c>
      <c r="N1118" s="5">
        <v>60.36</v>
      </c>
      <c r="O1118" s="5">
        <v>27.92</v>
      </c>
      <c r="P1118" s="4">
        <f>--AND(OR(Dashboard!$A$10="All",C1118=Dashboard!$A$10),OR(Dashboard!$A$14="All",F1118=Dashboard!$A$14),OR(Dashboard!$A$18="All",G1118=Dashboard!$A$18),OR(Dashboard!$A$22="All",I1118=Dashboard!$A$22))</f>
        <v>1</v>
      </c>
    </row>
    <row r="1119" spans="1:16" ht="15.75" customHeight="1">
      <c r="A1119" s="4" t="s">
        <v>1325</v>
      </c>
      <c r="B1119" s="6">
        <v>45704</v>
      </c>
      <c r="C1119" s="4">
        <v>2025</v>
      </c>
      <c r="D1119" s="4">
        <v>2</v>
      </c>
      <c r="E1119" s="4" t="s">
        <v>70</v>
      </c>
      <c r="F1119" s="4" t="s">
        <v>8</v>
      </c>
      <c r="G1119" s="4" t="s">
        <v>6</v>
      </c>
      <c r="H1119" s="4" t="s">
        <v>114</v>
      </c>
      <c r="I1119" s="4" t="s">
        <v>7</v>
      </c>
      <c r="J1119" s="4" t="s">
        <v>125</v>
      </c>
      <c r="K1119" s="4">
        <v>3</v>
      </c>
      <c r="L1119" s="5">
        <v>156.86000000000001</v>
      </c>
      <c r="M1119" s="5">
        <v>470.58</v>
      </c>
      <c r="N1119" s="5">
        <v>302.70999999999998</v>
      </c>
      <c r="O1119" s="5">
        <v>167.87</v>
      </c>
      <c r="P1119" s="4">
        <f>--AND(OR(Dashboard!$A$10="All",C1119=Dashboard!$A$10),OR(Dashboard!$A$14="All",F1119=Dashboard!$A$14),OR(Dashboard!$A$18="All",G1119=Dashboard!$A$18),OR(Dashboard!$A$22="All",I1119=Dashboard!$A$22))</f>
        <v>1</v>
      </c>
    </row>
    <row r="1120" spans="1:16" ht="15.75" customHeight="1">
      <c r="A1120" s="4" t="s">
        <v>1326</v>
      </c>
      <c r="B1120" s="6">
        <v>45316</v>
      </c>
      <c r="C1120" s="4">
        <v>2024</v>
      </c>
      <c r="D1120" s="4">
        <v>1</v>
      </c>
      <c r="E1120" s="4" t="s">
        <v>30</v>
      </c>
      <c r="F1120" s="4" t="s">
        <v>11</v>
      </c>
      <c r="G1120" s="4" t="s">
        <v>6</v>
      </c>
      <c r="H1120" s="4" t="s">
        <v>136</v>
      </c>
      <c r="I1120" s="4" t="s">
        <v>7</v>
      </c>
      <c r="J1120" s="4" t="s">
        <v>121</v>
      </c>
      <c r="K1120" s="4">
        <v>1</v>
      </c>
      <c r="L1120" s="5">
        <v>90.31</v>
      </c>
      <c r="M1120" s="5">
        <v>90.31</v>
      </c>
      <c r="N1120" s="5">
        <v>61.57</v>
      </c>
      <c r="O1120" s="5">
        <v>28.74</v>
      </c>
      <c r="P1120" s="4">
        <f>--AND(OR(Dashboard!$A$10="All",C1120=Dashboard!$A$10),OR(Dashboard!$A$14="All",F1120=Dashboard!$A$14),OR(Dashboard!$A$18="All",G1120=Dashboard!$A$18),OR(Dashboard!$A$22="All",I1120=Dashboard!$A$22))</f>
        <v>1</v>
      </c>
    </row>
    <row r="1121" spans="1:16" ht="15.75" customHeight="1">
      <c r="A1121" s="4" t="s">
        <v>1327</v>
      </c>
      <c r="B1121" s="6">
        <v>45443</v>
      </c>
      <c r="C1121" s="4">
        <v>2024</v>
      </c>
      <c r="D1121" s="4">
        <v>5</v>
      </c>
      <c r="E1121" s="4" t="s">
        <v>108</v>
      </c>
      <c r="F1121" s="4" t="s">
        <v>5</v>
      </c>
      <c r="G1121" s="4" t="s">
        <v>12</v>
      </c>
      <c r="H1121" s="4" t="s">
        <v>58</v>
      </c>
      <c r="I1121" s="4" t="s">
        <v>7</v>
      </c>
      <c r="J1121" s="4" t="s">
        <v>235</v>
      </c>
      <c r="K1121" s="4">
        <v>3</v>
      </c>
      <c r="L1121" s="5">
        <v>287.07</v>
      </c>
      <c r="M1121" s="5">
        <v>861.21</v>
      </c>
      <c r="N1121" s="5">
        <v>523.36</v>
      </c>
      <c r="O1121" s="5">
        <v>337.85</v>
      </c>
      <c r="P1121" s="4">
        <f>--AND(OR(Dashboard!$A$10="All",C1121=Dashboard!$A$10),OR(Dashboard!$A$14="All",F1121=Dashboard!$A$14),OR(Dashboard!$A$18="All",G1121=Dashboard!$A$18),OR(Dashboard!$A$22="All",I1121=Dashboard!$A$22))</f>
        <v>1</v>
      </c>
    </row>
    <row r="1122" spans="1:16" ht="15.75" customHeight="1">
      <c r="A1122" s="4" t="s">
        <v>1328</v>
      </c>
      <c r="B1122" s="6">
        <v>45620</v>
      </c>
      <c r="C1122" s="4">
        <v>2024</v>
      </c>
      <c r="D1122" s="4">
        <v>11</v>
      </c>
      <c r="E1122" s="4" t="s">
        <v>89</v>
      </c>
      <c r="F1122" s="4" t="s">
        <v>8</v>
      </c>
      <c r="G1122" s="4" t="s">
        <v>6</v>
      </c>
      <c r="H1122" s="4" t="s">
        <v>136</v>
      </c>
      <c r="I1122" s="4" t="s">
        <v>10</v>
      </c>
      <c r="J1122" s="4" t="s">
        <v>131</v>
      </c>
      <c r="K1122" s="4">
        <v>3</v>
      </c>
      <c r="L1122" s="5">
        <v>181.87</v>
      </c>
      <c r="M1122" s="5">
        <v>545.61</v>
      </c>
      <c r="N1122" s="5">
        <v>375.9</v>
      </c>
      <c r="O1122" s="5">
        <v>169.71</v>
      </c>
      <c r="P1122" s="4">
        <f>--AND(OR(Dashboard!$A$10="All",C1122=Dashboard!$A$10),OR(Dashboard!$A$14="All",F1122=Dashboard!$A$14),OR(Dashboard!$A$18="All",G1122=Dashboard!$A$18),OR(Dashboard!$A$22="All",I1122=Dashboard!$A$22))</f>
        <v>1</v>
      </c>
    </row>
    <row r="1123" spans="1:16" ht="15.75" customHeight="1">
      <c r="A1123" s="4" t="s">
        <v>1329</v>
      </c>
      <c r="B1123" s="6">
        <v>45886</v>
      </c>
      <c r="C1123" s="4">
        <v>2025</v>
      </c>
      <c r="D1123" s="4">
        <v>8</v>
      </c>
      <c r="E1123" s="4" t="s">
        <v>67</v>
      </c>
      <c r="F1123" s="4" t="s">
        <v>5</v>
      </c>
      <c r="G1123" s="4" t="s">
        <v>9</v>
      </c>
      <c r="H1123" s="4" t="s">
        <v>71</v>
      </c>
      <c r="I1123" s="4" t="s">
        <v>7</v>
      </c>
      <c r="J1123" s="4" t="s">
        <v>528</v>
      </c>
      <c r="K1123" s="4">
        <v>7</v>
      </c>
      <c r="L1123" s="5">
        <v>25.42</v>
      </c>
      <c r="M1123" s="5">
        <v>177.94</v>
      </c>
      <c r="N1123" s="5">
        <v>89.41</v>
      </c>
      <c r="O1123" s="5">
        <v>88.53</v>
      </c>
      <c r="P1123" s="4">
        <f>--AND(OR(Dashboard!$A$10="All",C1123=Dashboard!$A$10),OR(Dashboard!$A$14="All",F1123=Dashboard!$A$14),OR(Dashboard!$A$18="All",G1123=Dashboard!$A$18),OR(Dashboard!$A$22="All",I1123=Dashboard!$A$22))</f>
        <v>1</v>
      </c>
    </row>
    <row r="1124" spans="1:16" ht="15.75" customHeight="1">
      <c r="A1124" s="4" t="s">
        <v>1330</v>
      </c>
      <c r="B1124" s="6">
        <v>45804</v>
      </c>
      <c r="C1124" s="4">
        <v>2025</v>
      </c>
      <c r="D1124" s="4">
        <v>5</v>
      </c>
      <c r="E1124" s="4" t="s">
        <v>108</v>
      </c>
      <c r="F1124" s="4" t="s">
        <v>5</v>
      </c>
      <c r="G1124" s="4" t="s">
        <v>9</v>
      </c>
      <c r="H1124" s="4" t="s">
        <v>71</v>
      </c>
      <c r="I1124" s="4" t="s">
        <v>13</v>
      </c>
      <c r="J1124" s="4" t="s">
        <v>235</v>
      </c>
      <c r="K1124" s="4">
        <v>12</v>
      </c>
      <c r="L1124" s="5">
        <v>49.02</v>
      </c>
      <c r="M1124" s="5">
        <v>588.24</v>
      </c>
      <c r="N1124" s="5">
        <v>308.04000000000002</v>
      </c>
      <c r="O1124" s="5">
        <v>280.2</v>
      </c>
      <c r="P1124" s="4">
        <f>--AND(OR(Dashboard!$A$10="All",C1124=Dashboard!$A$10),OR(Dashboard!$A$14="All",F1124=Dashboard!$A$14),OR(Dashboard!$A$18="All",G1124=Dashboard!$A$18),OR(Dashboard!$A$22="All",I1124=Dashboard!$A$22))</f>
        <v>1</v>
      </c>
    </row>
    <row r="1125" spans="1:16" ht="15.75" customHeight="1">
      <c r="A1125" s="4" t="s">
        <v>1331</v>
      </c>
      <c r="B1125" s="6">
        <v>45466</v>
      </c>
      <c r="C1125" s="4">
        <v>2024</v>
      </c>
      <c r="D1125" s="4">
        <v>6</v>
      </c>
      <c r="E1125" s="4" t="s">
        <v>34</v>
      </c>
      <c r="F1125" s="4" t="s">
        <v>14</v>
      </c>
      <c r="G1125" s="4" t="s">
        <v>9</v>
      </c>
      <c r="H1125" s="4" t="s">
        <v>110</v>
      </c>
      <c r="I1125" s="4" t="s">
        <v>7</v>
      </c>
      <c r="J1125" s="4" t="s">
        <v>181</v>
      </c>
      <c r="K1125" s="4">
        <v>4</v>
      </c>
      <c r="L1125" s="5">
        <v>25.1</v>
      </c>
      <c r="M1125" s="5">
        <v>100.4</v>
      </c>
      <c r="N1125" s="5">
        <v>49.38</v>
      </c>
      <c r="O1125" s="5">
        <v>51.02</v>
      </c>
      <c r="P1125" s="4">
        <f>--AND(OR(Dashboard!$A$10="All",C1125=Dashboard!$A$10),OR(Dashboard!$A$14="All",F1125=Dashboard!$A$14),OR(Dashboard!$A$18="All",G1125=Dashboard!$A$18),OR(Dashboard!$A$22="All",I1125=Dashboard!$A$22))</f>
        <v>1</v>
      </c>
    </row>
    <row r="1126" spans="1:16" ht="15.75" customHeight="1">
      <c r="A1126" s="4" t="s">
        <v>1332</v>
      </c>
      <c r="B1126" s="6">
        <v>45302</v>
      </c>
      <c r="C1126" s="4">
        <v>2024</v>
      </c>
      <c r="D1126" s="4">
        <v>1</v>
      </c>
      <c r="E1126" s="4" t="s">
        <v>30</v>
      </c>
      <c r="F1126" s="4" t="s">
        <v>8</v>
      </c>
      <c r="G1126" s="4" t="s">
        <v>9</v>
      </c>
      <c r="H1126" s="4" t="s">
        <v>71</v>
      </c>
      <c r="I1126" s="4" t="s">
        <v>7</v>
      </c>
      <c r="J1126" s="4" t="s">
        <v>207</v>
      </c>
      <c r="K1126" s="4">
        <v>1</v>
      </c>
      <c r="L1126" s="5">
        <v>45.3</v>
      </c>
      <c r="M1126" s="5">
        <v>45.3</v>
      </c>
      <c r="N1126" s="5">
        <v>23.18</v>
      </c>
      <c r="O1126" s="5">
        <v>22.12</v>
      </c>
      <c r="P1126" s="4">
        <f>--AND(OR(Dashboard!$A$10="All",C1126=Dashboard!$A$10),OR(Dashboard!$A$14="All",F1126=Dashboard!$A$14),OR(Dashboard!$A$18="All",G1126=Dashboard!$A$18),OR(Dashboard!$A$22="All",I1126=Dashboard!$A$22))</f>
        <v>1</v>
      </c>
    </row>
    <row r="1127" spans="1:16" ht="15.75" customHeight="1">
      <c r="A1127" s="4" t="s">
        <v>1333</v>
      </c>
      <c r="B1127" s="6">
        <v>45661</v>
      </c>
      <c r="C1127" s="4">
        <v>2025</v>
      </c>
      <c r="D1127" s="4">
        <v>1</v>
      </c>
      <c r="E1127" s="4" t="s">
        <v>30</v>
      </c>
      <c r="F1127" s="4" t="s">
        <v>5</v>
      </c>
      <c r="G1127" s="4" t="s">
        <v>6</v>
      </c>
      <c r="H1127" s="4" t="s">
        <v>98</v>
      </c>
      <c r="I1127" s="4" t="s">
        <v>7</v>
      </c>
      <c r="J1127" s="4" t="s">
        <v>235</v>
      </c>
      <c r="K1127" s="4">
        <v>10</v>
      </c>
      <c r="L1127" s="5">
        <v>182.13</v>
      </c>
      <c r="M1127" s="5">
        <v>1821.3</v>
      </c>
      <c r="N1127" s="5">
        <v>1235.3699999999999</v>
      </c>
      <c r="O1127" s="5">
        <v>585.92999999999995</v>
      </c>
      <c r="P1127" s="4">
        <f>--AND(OR(Dashboard!$A$10="All",C1127=Dashboard!$A$10),OR(Dashboard!$A$14="All",F1127=Dashboard!$A$14),OR(Dashboard!$A$18="All",G1127=Dashboard!$A$18),OR(Dashboard!$A$22="All",I1127=Dashboard!$A$22))</f>
        <v>1</v>
      </c>
    </row>
    <row r="1128" spans="1:16" ht="15.75" customHeight="1">
      <c r="A1128" s="4" t="s">
        <v>1334</v>
      </c>
      <c r="B1128" s="6">
        <v>45996</v>
      </c>
      <c r="C1128" s="4">
        <v>2025</v>
      </c>
      <c r="D1128" s="4">
        <v>12</v>
      </c>
      <c r="E1128" s="4" t="s">
        <v>57</v>
      </c>
      <c r="F1128" s="4" t="s">
        <v>11</v>
      </c>
      <c r="G1128" s="4" t="s">
        <v>6</v>
      </c>
      <c r="H1128" s="4" t="s">
        <v>114</v>
      </c>
      <c r="I1128" s="4" t="s">
        <v>10</v>
      </c>
      <c r="J1128" s="4" t="s">
        <v>118</v>
      </c>
      <c r="K1128" s="4">
        <v>1</v>
      </c>
      <c r="L1128" s="5">
        <v>167.31</v>
      </c>
      <c r="M1128" s="5">
        <v>167.31</v>
      </c>
      <c r="N1128" s="5">
        <v>106.59</v>
      </c>
      <c r="O1128" s="5">
        <v>60.72</v>
      </c>
      <c r="P1128" s="4">
        <f>--AND(OR(Dashboard!$A$10="All",C1128=Dashboard!$A$10),OR(Dashboard!$A$14="All",F1128=Dashboard!$A$14),OR(Dashboard!$A$18="All",G1128=Dashboard!$A$18),OR(Dashboard!$A$22="All",I1128=Dashboard!$A$22))</f>
        <v>1</v>
      </c>
    </row>
    <row r="1129" spans="1:16" ht="15.75" customHeight="1">
      <c r="A1129" s="4" t="s">
        <v>1335</v>
      </c>
      <c r="B1129" s="6">
        <v>45711</v>
      </c>
      <c r="C1129" s="4">
        <v>2025</v>
      </c>
      <c r="D1129" s="4">
        <v>2</v>
      </c>
      <c r="E1129" s="4" t="s">
        <v>70</v>
      </c>
      <c r="F1129" s="4" t="s">
        <v>11</v>
      </c>
      <c r="G1129" s="4" t="s">
        <v>6</v>
      </c>
      <c r="H1129" s="4" t="s">
        <v>114</v>
      </c>
      <c r="I1129" s="4" t="s">
        <v>7</v>
      </c>
      <c r="J1129" s="4" t="s">
        <v>177</v>
      </c>
      <c r="K1129" s="4">
        <v>6</v>
      </c>
      <c r="L1129" s="5">
        <v>76.59</v>
      </c>
      <c r="M1129" s="5">
        <v>459.54</v>
      </c>
      <c r="N1129" s="5">
        <v>305.42</v>
      </c>
      <c r="O1129" s="5">
        <v>154.12</v>
      </c>
      <c r="P1129" s="4">
        <f>--AND(OR(Dashboard!$A$10="All",C1129=Dashboard!$A$10),OR(Dashboard!$A$14="All",F1129=Dashboard!$A$14),OR(Dashboard!$A$18="All",G1129=Dashboard!$A$18),OR(Dashboard!$A$22="All",I1129=Dashboard!$A$22))</f>
        <v>1</v>
      </c>
    </row>
    <row r="1130" spans="1:16" ht="15.75" customHeight="1">
      <c r="A1130" s="4" t="s">
        <v>1336</v>
      </c>
      <c r="B1130" s="6">
        <v>45392</v>
      </c>
      <c r="C1130" s="4">
        <v>2024</v>
      </c>
      <c r="D1130" s="4">
        <v>4</v>
      </c>
      <c r="E1130" s="4" t="s">
        <v>106</v>
      </c>
      <c r="F1130" s="4" t="s">
        <v>11</v>
      </c>
      <c r="G1130" s="4" t="s">
        <v>6</v>
      </c>
      <c r="H1130" s="4" t="s">
        <v>136</v>
      </c>
      <c r="I1130" s="4" t="s">
        <v>7</v>
      </c>
      <c r="J1130" s="4" t="s">
        <v>268</v>
      </c>
      <c r="K1130" s="4">
        <v>1</v>
      </c>
      <c r="L1130" s="5">
        <v>101.92</v>
      </c>
      <c r="M1130" s="5">
        <v>101.92</v>
      </c>
      <c r="N1130" s="5">
        <v>64.13</v>
      </c>
      <c r="O1130" s="5">
        <v>37.79</v>
      </c>
      <c r="P1130" s="4">
        <f>--AND(OR(Dashboard!$A$10="All",C1130=Dashboard!$A$10),OR(Dashboard!$A$14="All",F1130=Dashboard!$A$14),OR(Dashboard!$A$18="All",G1130=Dashboard!$A$18),OR(Dashboard!$A$22="All",I1130=Dashboard!$A$22))</f>
        <v>1</v>
      </c>
    </row>
    <row r="1131" spans="1:16" ht="15.75" customHeight="1">
      <c r="A1131" s="4" t="s">
        <v>1337</v>
      </c>
      <c r="B1131" s="6">
        <v>45629</v>
      </c>
      <c r="C1131" s="4">
        <v>2024</v>
      </c>
      <c r="D1131" s="4">
        <v>12</v>
      </c>
      <c r="E1131" s="4" t="s">
        <v>57</v>
      </c>
      <c r="F1131" s="4" t="s">
        <v>8</v>
      </c>
      <c r="G1131" s="4" t="s">
        <v>6</v>
      </c>
      <c r="H1131" s="4" t="s">
        <v>54</v>
      </c>
      <c r="I1131" s="4" t="s">
        <v>10</v>
      </c>
      <c r="J1131" s="4" t="s">
        <v>485</v>
      </c>
      <c r="K1131" s="4">
        <v>3</v>
      </c>
      <c r="L1131" s="5">
        <v>203.72</v>
      </c>
      <c r="M1131" s="5">
        <v>611.16</v>
      </c>
      <c r="N1131" s="5">
        <v>409.12</v>
      </c>
      <c r="O1131" s="5">
        <v>202.04</v>
      </c>
      <c r="P1131" s="4">
        <f>--AND(OR(Dashboard!$A$10="All",C1131=Dashboard!$A$10),OR(Dashboard!$A$14="All",F1131=Dashboard!$A$14),OR(Dashboard!$A$18="All",G1131=Dashboard!$A$18),OR(Dashboard!$A$22="All",I1131=Dashboard!$A$22))</f>
        <v>1</v>
      </c>
    </row>
    <row r="1132" spans="1:16" ht="15.75" customHeight="1">
      <c r="A1132" s="4" t="s">
        <v>1338</v>
      </c>
      <c r="B1132" s="6">
        <v>45501</v>
      </c>
      <c r="C1132" s="4">
        <v>2024</v>
      </c>
      <c r="D1132" s="4">
        <v>7</v>
      </c>
      <c r="E1132" s="4" t="s">
        <v>63</v>
      </c>
      <c r="F1132" s="4" t="s">
        <v>14</v>
      </c>
      <c r="G1132" s="4" t="s">
        <v>12</v>
      </c>
      <c r="H1132" s="4" t="s">
        <v>58</v>
      </c>
      <c r="I1132" s="4" t="s">
        <v>7</v>
      </c>
      <c r="J1132" s="4" t="s">
        <v>153</v>
      </c>
      <c r="K1132" s="4">
        <v>2</v>
      </c>
      <c r="L1132" s="5">
        <v>161.26</v>
      </c>
      <c r="M1132" s="5">
        <v>322.52</v>
      </c>
      <c r="N1132" s="5">
        <v>194.98</v>
      </c>
      <c r="O1132" s="5">
        <v>127.54</v>
      </c>
      <c r="P1132" s="4">
        <f>--AND(OR(Dashboard!$A$10="All",C1132=Dashboard!$A$10),OR(Dashboard!$A$14="All",F1132=Dashboard!$A$14),OR(Dashboard!$A$18="All",G1132=Dashboard!$A$18),OR(Dashboard!$A$22="All",I1132=Dashboard!$A$22))</f>
        <v>1</v>
      </c>
    </row>
    <row r="1133" spans="1:16" ht="15.75" customHeight="1">
      <c r="A1133" s="4" t="s">
        <v>1339</v>
      </c>
      <c r="B1133" s="6">
        <v>45292</v>
      </c>
      <c r="C1133" s="4">
        <v>2024</v>
      </c>
      <c r="D1133" s="4">
        <v>1</v>
      </c>
      <c r="E1133" s="4" t="s">
        <v>30</v>
      </c>
      <c r="F1133" s="4" t="s">
        <v>14</v>
      </c>
      <c r="G1133" s="4" t="s">
        <v>12</v>
      </c>
      <c r="H1133" s="4" t="s">
        <v>127</v>
      </c>
      <c r="I1133" s="4" t="s">
        <v>7</v>
      </c>
      <c r="J1133" s="4" t="s">
        <v>255</v>
      </c>
      <c r="K1133" s="4">
        <v>1</v>
      </c>
      <c r="L1133" s="5">
        <v>324.77999999999997</v>
      </c>
      <c r="M1133" s="5">
        <v>324.77999999999997</v>
      </c>
      <c r="N1133" s="5">
        <v>190.54</v>
      </c>
      <c r="O1133" s="5">
        <v>134.24</v>
      </c>
      <c r="P1133" s="4">
        <f>--AND(OR(Dashboard!$A$10="All",C1133=Dashboard!$A$10),OR(Dashboard!$A$14="All",F1133=Dashboard!$A$14),OR(Dashboard!$A$18="All",G1133=Dashboard!$A$18),OR(Dashboard!$A$22="All",I1133=Dashboard!$A$22))</f>
        <v>1</v>
      </c>
    </row>
    <row r="1134" spans="1:16" ht="15.75" customHeight="1">
      <c r="A1134" s="4" t="s">
        <v>1340</v>
      </c>
      <c r="B1134" s="6">
        <v>45685</v>
      </c>
      <c r="C1134" s="4">
        <v>2025</v>
      </c>
      <c r="D1134" s="4">
        <v>1</v>
      </c>
      <c r="E1134" s="4" t="s">
        <v>30</v>
      </c>
      <c r="F1134" s="4" t="s">
        <v>8</v>
      </c>
      <c r="G1134" s="4" t="s">
        <v>6</v>
      </c>
      <c r="H1134" s="4" t="s">
        <v>98</v>
      </c>
      <c r="I1134" s="4" t="s">
        <v>7</v>
      </c>
      <c r="J1134" s="4" t="s">
        <v>346</v>
      </c>
      <c r="K1134" s="4">
        <v>3</v>
      </c>
      <c r="L1134" s="5">
        <v>207.82</v>
      </c>
      <c r="M1134" s="5">
        <v>623.46</v>
      </c>
      <c r="N1134" s="5">
        <v>411.35</v>
      </c>
      <c r="O1134" s="5">
        <v>212.11</v>
      </c>
      <c r="P1134" s="4">
        <f>--AND(OR(Dashboard!$A$10="All",C1134=Dashboard!$A$10),OR(Dashboard!$A$14="All",F1134=Dashboard!$A$14),OR(Dashboard!$A$18="All",G1134=Dashboard!$A$18),OR(Dashboard!$A$22="All",I1134=Dashboard!$A$22))</f>
        <v>1</v>
      </c>
    </row>
    <row r="1135" spans="1:16" ht="15.75" customHeight="1">
      <c r="A1135" s="4" t="s">
        <v>1341</v>
      </c>
      <c r="B1135" s="6">
        <v>45463</v>
      </c>
      <c r="C1135" s="4">
        <v>2024</v>
      </c>
      <c r="D1135" s="4">
        <v>6</v>
      </c>
      <c r="E1135" s="4" t="s">
        <v>34</v>
      </c>
      <c r="F1135" s="4" t="s">
        <v>14</v>
      </c>
      <c r="G1135" s="4" t="s">
        <v>9</v>
      </c>
      <c r="H1135" s="4" t="s">
        <v>71</v>
      </c>
      <c r="I1135" s="4" t="s">
        <v>7</v>
      </c>
      <c r="J1135" s="4" t="s">
        <v>346</v>
      </c>
      <c r="K1135" s="4">
        <v>1</v>
      </c>
      <c r="L1135" s="5">
        <v>24.04</v>
      </c>
      <c r="M1135" s="5">
        <v>24.04</v>
      </c>
      <c r="N1135" s="5">
        <v>12.57</v>
      </c>
      <c r="O1135" s="5">
        <v>11.47</v>
      </c>
      <c r="P1135" s="4">
        <f>--AND(OR(Dashboard!$A$10="All",C1135=Dashboard!$A$10),OR(Dashboard!$A$14="All",F1135=Dashboard!$A$14),OR(Dashboard!$A$18="All",G1135=Dashboard!$A$18),OR(Dashboard!$A$22="All",I1135=Dashboard!$A$22))</f>
        <v>1</v>
      </c>
    </row>
    <row r="1136" spans="1:16" ht="15.75" customHeight="1">
      <c r="A1136" s="4" t="s">
        <v>1342</v>
      </c>
      <c r="B1136" s="6">
        <v>45963</v>
      </c>
      <c r="C1136" s="4">
        <v>2025</v>
      </c>
      <c r="D1136" s="4">
        <v>11</v>
      </c>
      <c r="E1136" s="4" t="s">
        <v>89</v>
      </c>
      <c r="F1136" s="4" t="s">
        <v>8</v>
      </c>
      <c r="G1136" s="4" t="s">
        <v>12</v>
      </c>
      <c r="H1136" s="4" t="s">
        <v>124</v>
      </c>
      <c r="I1136" s="4" t="s">
        <v>10</v>
      </c>
      <c r="J1136" s="4" t="s">
        <v>159</v>
      </c>
      <c r="K1136" s="4">
        <v>5</v>
      </c>
      <c r="L1136" s="5">
        <v>262.39</v>
      </c>
      <c r="M1136" s="5">
        <v>1311.95</v>
      </c>
      <c r="N1136" s="5">
        <v>770.64</v>
      </c>
      <c r="O1136" s="5">
        <v>541.30999999999995</v>
      </c>
      <c r="P1136" s="4">
        <f>--AND(OR(Dashboard!$A$10="All",C1136=Dashboard!$A$10),OR(Dashboard!$A$14="All",F1136=Dashboard!$A$14),OR(Dashboard!$A$18="All",G1136=Dashboard!$A$18),OR(Dashboard!$A$22="All",I1136=Dashboard!$A$22))</f>
        <v>1</v>
      </c>
    </row>
    <row r="1137" spans="1:16" ht="15.75" customHeight="1">
      <c r="A1137" s="4" t="s">
        <v>1343</v>
      </c>
      <c r="B1137" s="6">
        <v>45462</v>
      </c>
      <c r="C1137" s="4">
        <v>2024</v>
      </c>
      <c r="D1137" s="4">
        <v>6</v>
      </c>
      <c r="E1137" s="4" t="s">
        <v>34</v>
      </c>
      <c r="F1137" s="4" t="s">
        <v>11</v>
      </c>
      <c r="G1137" s="4" t="s">
        <v>6</v>
      </c>
      <c r="H1137" s="4" t="s">
        <v>80</v>
      </c>
      <c r="I1137" s="4" t="s">
        <v>7</v>
      </c>
      <c r="J1137" s="4" t="s">
        <v>81</v>
      </c>
      <c r="K1137" s="4">
        <v>8</v>
      </c>
      <c r="L1137" s="5">
        <v>172.74</v>
      </c>
      <c r="M1137" s="5">
        <v>1381.92</v>
      </c>
      <c r="N1137" s="5">
        <v>906.63</v>
      </c>
      <c r="O1137" s="5">
        <v>475.29</v>
      </c>
      <c r="P1137" s="4">
        <f>--AND(OR(Dashboard!$A$10="All",C1137=Dashboard!$A$10),OR(Dashboard!$A$14="All",F1137=Dashboard!$A$14),OR(Dashboard!$A$18="All",G1137=Dashboard!$A$18),OR(Dashboard!$A$22="All",I1137=Dashboard!$A$22))</f>
        <v>1</v>
      </c>
    </row>
    <row r="1138" spans="1:16" ht="15.75" customHeight="1">
      <c r="A1138" s="4" t="s">
        <v>1344</v>
      </c>
      <c r="B1138" s="6">
        <v>45996</v>
      </c>
      <c r="C1138" s="4">
        <v>2025</v>
      </c>
      <c r="D1138" s="4">
        <v>12</v>
      </c>
      <c r="E1138" s="4" t="s">
        <v>57</v>
      </c>
      <c r="F1138" s="4" t="s">
        <v>5</v>
      </c>
      <c r="G1138" s="4" t="s">
        <v>6</v>
      </c>
      <c r="H1138" s="4" t="s">
        <v>114</v>
      </c>
      <c r="I1138" s="4" t="s">
        <v>7</v>
      </c>
      <c r="J1138" s="4" t="s">
        <v>314</v>
      </c>
      <c r="K1138" s="4">
        <v>2</v>
      </c>
      <c r="L1138" s="5">
        <v>164.57</v>
      </c>
      <c r="M1138" s="5">
        <v>329.14</v>
      </c>
      <c r="N1138" s="5">
        <v>216.98</v>
      </c>
      <c r="O1138" s="5">
        <v>112.16</v>
      </c>
      <c r="P1138" s="4">
        <f>--AND(OR(Dashboard!$A$10="All",C1138=Dashboard!$A$10),OR(Dashboard!$A$14="All",F1138=Dashboard!$A$14),OR(Dashboard!$A$18="All",G1138=Dashboard!$A$18),OR(Dashboard!$A$22="All",I1138=Dashboard!$A$22))</f>
        <v>1</v>
      </c>
    </row>
    <row r="1139" spans="1:16" ht="15.75" customHeight="1">
      <c r="A1139" s="4" t="s">
        <v>1345</v>
      </c>
      <c r="B1139" s="6">
        <v>45890</v>
      </c>
      <c r="C1139" s="4">
        <v>2025</v>
      </c>
      <c r="D1139" s="4">
        <v>8</v>
      </c>
      <c r="E1139" s="4" t="s">
        <v>67</v>
      </c>
      <c r="F1139" s="4" t="s">
        <v>11</v>
      </c>
      <c r="G1139" s="4" t="s">
        <v>12</v>
      </c>
      <c r="H1139" s="4" t="s">
        <v>92</v>
      </c>
      <c r="I1139" s="4" t="s">
        <v>7</v>
      </c>
      <c r="J1139" s="4" t="s">
        <v>263</v>
      </c>
      <c r="K1139" s="4">
        <v>6</v>
      </c>
      <c r="L1139" s="5">
        <v>154.01</v>
      </c>
      <c r="M1139" s="5">
        <v>924.06</v>
      </c>
      <c r="N1139" s="5">
        <v>553.67999999999995</v>
      </c>
      <c r="O1139" s="5">
        <v>370.38</v>
      </c>
      <c r="P1139" s="4">
        <f>--AND(OR(Dashboard!$A$10="All",C1139=Dashboard!$A$10),OR(Dashboard!$A$14="All",F1139=Dashboard!$A$14),OR(Dashboard!$A$18="All",G1139=Dashboard!$A$18),OR(Dashboard!$A$22="All",I1139=Dashboard!$A$22))</f>
        <v>1</v>
      </c>
    </row>
    <row r="1140" spans="1:16" ht="15.75" customHeight="1">
      <c r="A1140" s="4" t="s">
        <v>1346</v>
      </c>
      <c r="B1140" s="6">
        <v>45566</v>
      </c>
      <c r="C1140" s="4">
        <v>2024</v>
      </c>
      <c r="D1140" s="4">
        <v>10</v>
      </c>
      <c r="E1140" s="4" t="s">
        <v>120</v>
      </c>
      <c r="F1140" s="4" t="s">
        <v>8</v>
      </c>
      <c r="G1140" s="4" t="s">
        <v>6</v>
      </c>
      <c r="H1140" s="4" t="s">
        <v>54</v>
      </c>
      <c r="I1140" s="4" t="s">
        <v>7</v>
      </c>
      <c r="J1140" s="4" t="s">
        <v>360</v>
      </c>
      <c r="K1140" s="4">
        <v>1</v>
      </c>
      <c r="L1140" s="5">
        <v>121.26</v>
      </c>
      <c r="M1140" s="5">
        <v>121.26</v>
      </c>
      <c r="N1140" s="5">
        <v>79.16</v>
      </c>
      <c r="O1140" s="5">
        <v>42.1</v>
      </c>
      <c r="P1140" s="4">
        <f>--AND(OR(Dashboard!$A$10="All",C1140=Dashboard!$A$10),OR(Dashboard!$A$14="All",F1140=Dashboard!$A$14),OR(Dashboard!$A$18="All",G1140=Dashboard!$A$18),OR(Dashboard!$A$22="All",I1140=Dashboard!$A$22))</f>
        <v>1</v>
      </c>
    </row>
    <row r="1141" spans="1:16" ht="15.75" customHeight="1">
      <c r="A1141" s="4" t="s">
        <v>1347</v>
      </c>
      <c r="B1141" s="6">
        <v>45753</v>
      </c>
      <c r="C1141" s="4">
        <v>2025</v>
      </c>
      <c r="D1141" s="4">
        <v>4</v>
      </c>
      <c r="E1141" s="4" t="s">
        <v>106</v>
      </c>
      <c r="F1141" s="4" t="s">
        <v>5</v>
      </c>
      <c r="G1141" s="4" t="s">
        <v>9</v>
      </c>
      <c r="H1141" s="4" t="s">
        <v>110</v>
      </c>
      <c r="I1141" s="4" t="s">
        <v>7</v>
      </c>
      <c r="J1141" s="4" t="s">
        <v>289</v>
      </c>
      <c r="K1141" s="4">
        <v>4</v>
      </c>
      <c r="L1141" s="5">
        <v>53.53</v>
      </c>
      <c r="M1141" s="5">
        <v>214.12</v>
      </c>
      <c r="N1141" s="5">
        <v>105.64</v>
      </c>
      <c r="O1141" s="5">
        <v>108.48</v>
      </c>
      <c r="P1141" s="4">
        <f>--AND(OR(Dashboard!$A$10="All",C1141=Dashboard!$A$10),OR(Dashboard!$A$14="All",F1141=Dashboard!$A$14),OR(Dashboard!$A$18="All",G1141=Dashboard!$A$18),OR(Dashboard!$A$22="All",I1141=Dashboard!$A$22))</f>
        <v>1</v>
      </c>
    </row>
    <row r="1142" spans="1:16" ht="15.75" customHeight="1">
      <c r="A1142" s="4" t="s">
        <v>1348</v>
      </c>
      <c r="B1142" s="6">
        <v>45463</v>
      </c>
      <c r="C1142" s="4">
        <v>2024</v>
      </c>
      <c r="D1142" s="4">
        <v>6</v>
      </c>
      <c r="E1142" s="4" t="s">
        <v>34</v>
      </c>
      <c r="F1142" s="4" t="s">
        <v>14</v>
      </c>
      <c r="G1142" s="4" t="s">
        <v>9</v>
      </c>
      <c r="H1142" s="4" t="s">
        <v>64</v>
      </c>
      <c r="I1142" s="4" t="s">
        <v>7</v>
      </c>
      <c r="J1142" s="4" t="s">
        <v>460</v>
      </c>
      <c r="K1142" s="4">
        <v>2</v>
      </c>
      <c r="L1142" s="5">
        <v>49.05</v>
      </c>
      <c r="M1142" s="5">
        <v>98.1</v>
      </c>
      <c r="N1142" s="5">
        <v>47.76</v>
      </c>
      <c r="O1142" s="5">
        <v>50.34</v>
      </c>
      <c r="P1142" s="4">
        <f>--AND(OR(Dashboard!$A$10="All",C1142=Dashboard!$A$10),OR(Dashboard!$A$14="All",F1142=Dashboard!$A$14),OR(Dashboard!$A$18="All",G1142=Dashboard!$A$18),OR(Dashboard!$A$22="All",I1142=Dashboard!$A$22))</f>
        <v>1</v>
      </c>
    </row>
    <row r="1143" spans="1:16" ht="15.75" customHeight="1">
      <c r="A1143" s="4" t="s">
        <v>1349</v>
      </c>
      <c r="B1143" s="6">
        <v>45973</v>
      </c>
      <c r="C1143" s="4">
        <v>2025</v>
      </c>
      <c r="D1143" s="4">
        <v>11</v>
      </c>
      <c r="E1143" s="4" t="s">
        <v>89</v>
      </c>
      <c r="F1143" s="4" t="s">
        <v>5</v>
      </c>
      <c r="G1143" s="4" t="s">
        <v>6</v>
      </c>
      <c r="H1143" s="4" t="s">
        <v>80</v>
      </c>
      <c r="I1143" s="4" t="s">
        <v>10</v>
      </c>
      <c r="J1143" s="4" t="s">
        <v>209</v>
      </c>
      <c r="K1143" s="4">
        <v>5</v>
      </c>
      <c r="L1143" s="5">
        <v>125.33</v>
      </c>
      <c r="M1143" s="5">
        <v>626.65</v>
      </c>
      <c r="N1143" s="5">
        <v>406.33</v>
      </c>
      <c r="O1143" s="5">
        <v>220.32</v>
      </c>
      <c r="P1143" s="4">
        <f>--AND(OR(Dashboard!$A$10="All",C1143=Dashboard!$A$10),OR(Dashboard!$A$14="All",F1143=Dashboard!$A$14),OR(Dashboard!$A$18="All",G1143=Dashboard!$A$18),OR(Dashboard!$A$22="All",I1143=Dashboard!$A$22))</f>
        <v>1</v>
      </c>
    </row>
    <row r="1144" spans="1:16" ht="15.75" customHeight="1">
      <c r="A1144" s="4" t="s">
        <v>1350</v>
      </c>
      <c r="B1144" s="6">
        <v>45391</v>
      </c>
      <c r="C1144" s="4">
        <v>2024</v>
      </c>
      <c r="D1144" s="4">
        <v>4</v>
      </c>
      <c r="E1144" s="4" t="s">
        <v>106</v>
      </c>
      <c r="F1144" s="4" t="s">
        <v>5</v>
      </c>
      <c r="G1144" s="4" t="s">
        <v>12</v>
      </c>
      <c r="H1144" s="4" t="s">
        <v>92</v>
      </c>
      <c r="I1144" s="4" t="s">
        <v>10</v>
      </c>
      <c r="J1144" s="4" t="s">
        <v>232</v>
      </c>
      <c r="K1144" s="4">
        <v>3</v>
      </c>
      <c r="L1144" s="5">
        <v>318.62</v>
      </c>
      <c r="M1144" s="5">
        <v>955.86</v>
      </c>
      <c r="N1144" s="5">
        <v>573.17999999999995</v>
      </c>
      <c r="O1144" s="5">
        <v>382.68</v>
      </c>
      <c r="P1144" s="4">
        <f>--AND(OR(Dashboard!$A$10="All",C1144=Dashboard!$A$10),OR(Dashboard!$A$14="All",F1144=Dashboard!$A$14),OR(Dashboard!$A$18="All",G1144=Dashboard!$A$18),OR(Dashboard!$A$22="All",I1144=Dashboard!$A$22))</f>
        <v>1</v>
      </c>
    </row>
    <row r="1145" spans="1:16" ht="15.75" customHeight="1">
      <c r="A1145" s="4" t="s">
        <v>1351</v>
      </c>
      <c r="B1145" s="6">
        <v>45711</v>
      </c>
      <c r="C1145" s="4">
        <v>2025</v>
      </c>
      <c r="D1145" s="4">
        <v>2</v>
      </c>
      <c r="E1145" s="4" t="s">
        <v>70</v>
      </c>
      <c r="F1145" s="4" t="s">
        <v>5</v>
      </c>
      <c r="G1145" s="4" t="s">
        <v>6</v>
      </c>
      <c r="H1145" s="4" t="s">
        <v>136</v>
      </c>
      <c r="I1145" s="4" t="s">
        <v>10</v>
      </c>
      <c r="J1145" s="4" t="s">
        <v>299</v>
      </c>
      <c r="K1145" s="4">
        <v>2</v>
      </c>
      <c r="L1145" s="5">
        <v>219.95</v>
      </c>
      <c r="M1145" s="5">
        <v>439.9</v>
      </c>
      <c r="N1145" s="5">
        <v>282.74</v>
      </c>
      <c r="O1145" s="5">
        <v>157.16</v>
      </c>
      <c r="P1145" s="4">
        <f>--AND(OR(Dashboard!$A$10="All",C1145=Dashboard!$A$10),OR(Dashboard!$A$14="All",F1145=Dashboard!$A$14),OR(Dashboard!$A$18="All",G1145=Dashboard!$A$18),OR(Dashboard!$A$22="All",I1145=Dashboard!$A$22))</f>
        <v>1</v>
      </c>
    </row>
    <row r="1146" spans="1:16" ht="15.75" customHeight="1">
      <c r="A1146" s="4" t="s">
        <v>1352</v>
      </c>
      <c r="B1146" s="6">
        <v>45511</v>
      </c>
      <c r="C1146" s="4">
        <v>2024</v>
      </c>
      <c r="D1146" s="4">
        <v>8</v>
      </c>
      <c r="E1146" s="4" t="s">
        <v>67</v>
      </c>
      <c r="F1146" s="4" t="s">
        <v>8</v>
      </c>
      <c r="G1146" s="4" t="s">
        <v>6</v>
      </c>
      <c r="H1146" s="4" t="s">
        <v>98</v>
      </c>
      <c r="I1146" s="4" t="s">
        <v>7</v>
      </c>
      <c r="J1146" s="4" t="s">
        <v>159</v>
      </c>
      <c r="K1146" s="4">
        <v>6</v>
      </c>
      <c r="L1146" s="5">
        <v>110.45</v>
      </c>
      <c r="M1146" s="5">
        <v>662.7</v>
      </c>
      <c r="N1146" s="5">
        <v>435.51</v>
      </c>
      <c r="O1146" s="5">
        <v>227.19</v>
      </c>
      <c r="P1146" s="4">
        <f>--AND(OR(Dashboard!$A$10="All",C1146=Dashboard!$A$10),OR(Dashboard!$A$14="All",F1146=Dashboard!$A$14),OR(Dashboard!$A$18="All",G1146=Dashboard!$A$18),OR(Dashboard!$A$22="All",I1146=Dashboard!$A$22))</f>
        <v>1</v>
      </c>
    </row>
    <row r="1147" spans="1:16" ht="15.75" customHeight="1">
      <c r="A1147" s="4" t="s">
        <v>1353</v>
      </c>
      <c r="B1147" s="6">
        <v>45333</v>
      </c>
      <c r="C1147" s="4">
        <v>2024</v>
      </c>
      <c r="D1147" s="4">
        <v>2</v>
      </c>
      <c r="E1147" s="4" t="s">
        <v>70</v>
      </c>
      <c r="F1147" s="4" t="s">
        <v>5</v>
      </c>
      <c r="G1147" s="4" t="s">
        <v>12</v>
      </c>
      <c r="H1147" s="4" t="s">
        <v>127</v>
      </c>
      <c r="I1147" s="4" t="s">
        <v>7</v>
      </c>
      <c r="J1147" s="4" t="s">
        <v>159</v>
      </c>
      <c r="K1147" s="4">
        <v>2</v>
      </c>
      <c r="L1147" s="5">
        <v>237.62</v>
      </c>
      <c r="M1147" s="5">
        <v>475.24</v>
      </c>
      <c r="N1147" s="5">
        <v>271.91000000000003</v>
      </c>
      <c r="O1147" s="5">
        <v>203.33</v>
      </c>
      <c r="P1147" s="4">
        <f>--AND(OR(Dashboard!$A$10="All",C1147=Dashboard!$A$10),OR(Dashboard!$A$14="All",F1147=Dashboard!$A$14),OR(Dashboard!$A$18="All",G1147=Dashboard!$A$18),OR(Dashboard!$A$22="All",I1147=Dashboard!$A$22))</f>
        <v>1</v>
      </c>
    </row>
    <row r="1148" spans="1:16" ht="15.75" customHeight="1">
      <c r="A1148" s="4" t="s">
        <v>1354</v>
      </c>
      <c r="B1148" s="6">
        <v>45973</v>
      </c>
      <c r="C1148" s="4">
        <v>2025</v>
      </c>
      <c r="D1148" s="4">
        <v>11</v>
      </c>
      <c r="E1148" s="4" t="s">
        <v>89</v>
      </c>
      <c r="F1148" s="4" t="s">
        <v>8</v>
      </c>
      <c r="G1148" s="4" t="s">
        <v>12</v>
      </c>
      <c r="H1148" s="4" t="s">
        <v>86</v>
      </c>
      <c r="I1148" s="4" t="s">
        <v>7</v>
      </c>
      <c r="J1148" s="4" t="s">
        <v>68</v>
      </c>
      <c r="K1148" s="4">
        <v>2</v>
      </c>
      <c r="L1148" s="5">
        <v>292.79000000000002</v>
      </c>
      <c r="M1148" s="5">
        <v>585.58000000000004</v>
      </c>
      <c r="N1148" s="5">
        <v>359.32</v>
      </c>
      <c r="O1148" s="5">
        <v>226.26</v>
      </c>
      <c r="P1148" s="4">
        <f>--AND(OR(Dashboard!$A$10="All",C1148=Dashboard!$A$10),OR(Dashboard!$A$14="All",F1148=Dashboard!$A$14),OR(Dashboard!$A$18="All",G1148=Dashboard!$A$18),OR(Dashboard!$A$22="All",I1148=Dashboard!$A$22))</f>
        <v>1</v>
      </c>
    </row>
    <row r="1149" spans="1:16" ht="15.75" customHeight="1">
      <c r="A1149" s="4" t="s">
        <v>1355</v>
      </c>
      <c r="B1149" s="6">
        <v>45312</v>
      </c>
      <c r="C1149" s="4">
        <v>2024</v>
      </c>
      <c r="D1149" s="4">
        <v>1</v>
      </c>
      <c r="E1149" s="4" t="s">
        <v>30</v>
      </c>
      <c r="F1149" s="4" t="s">
        <v>5</v>
      </c>
      <c r="G1149" s="4" t="s">
        <v>12</v>
      </c>
      <c r="H1149" s="4" t="s">
        <v>124</v>
      </c>
      <c r="I1149" s="4" t="s">
        <v>13</v>
      </c>
      <c r="J1149" s="4" t="s">
        <v>184</v>
      </c>
      <c r="K1149" s="4">
        <v>4</v>
      </c>
      <c r="L1149" s="5">
        <v>253.69</v>
      </c>
      <c r="M1149" s="5">
        <v>1014.76</v>
      </c>
      <c r="N1149" s="5">
        <v>617.63</v>
      </c>
      <c r="O1149" s="5">
        <v>397.13</v>
      </c>
      <c r="P1149" s="4">
        <f>--AND(OR(Dashboard!$A$10="All",C1149=Dashboard!$A$10),OR(Dashboard!$A$14="All",F1149=Dashboard!$A$14),OR(Dashboard!$A$18="All",G1149=Dashboard!$A$18),OR(Dashboard!$A$22="All",I1149=Dashboard!$A$22))</f>
        <v>1</v>
      </c>
    </row>
    <row r="1150" spans="1:16" ht="15.75" customHeight="1">
      <c r="A1150" s="4" t="s">
        <v>1356</v>
      </c>
      <c r="B1150" s="6">
        <v>45725</v>
      </c>
      <c r="C1150" s="4">
        <v>2025</v>
      </c>
      <c r="D1150" s="4">
        <v>3</v>
      </c>
      <c r="E1150" s="4" t="s">
        <v>100</v>
      </c>
      <c r="F1150" s="4" t="s">
        <v>5</v>
      </c>
      <c r="G1150" s="4" t="s">
        <v>12</v>
      </c>
      <c r="H1150" s="4" t="s">
        <v>86</v>
      </c>
      <c r="I1150" s="4" t="s">
        <v>13</v>
      </c>
      <c r="J1150" s="4" t="s">
        <v>164</v>
      </c>
      <c r="K1150" s="4">
        <v>2</v>
      </c>
      <c r="L1150" s="5">
        <v>123.99</v>
      </c>
      <c r="M1150" s="5">
        <v>247.98</v>
      </c>
      <c r="N1150" s="5">
        <v>148.22999999999999</v>
      </c>
      <c r="O1150" s="5">
        <v>99.75</v>
      </c>
      <c r="P1150" s="4">
        <f>--AND(OR(Dashboard!$A$10="All",C1150=Dashboard!$A$10),OR(Dashboard!$A$14="All",F1150=Dashboard!$A$14),OR(Dashboard!$A$18="All",G1150=Dashboard!$A$18),OR(Dashboard!$A$22="All",I1150=Dashboard!$A$22))</f>
        <v>1</v>
      </c>
    </row>
    <row r="1151" spans="1:16" ht="15.75" customHeight="1">
      <c r="A1151" s="4" t="s">
        <v>1357</v>
      </c>
      <c r="B1151" s="6">
        <v>45393</v>
      </c>
      <c r="C1151" s="4">
        <v>2024</v>
      </c>
      <c r="D1151" s="4">
        <v>4</v>
      </c>
      <c r="E1151" s="4" t="s">
        <v>106</v>
      </c>
      <c r="F1151" s="4" t="s">
        <v>5</v>
      </c>
      <c r="G1151" s="4" t="s">
        <v>6</v>
      </c>
      <c r="H1151" s="4" t="s">
        <v>54</v>
      </c>
      <c r="I1151" s="4" t="s">
        <v>7</v>
      </c>
      <c r="J1151" s="4" t="s">
        <v>249</v>
      </c>
      <c r="K1151" s="4">
        <v>3</v>
      </c>
      <c r="L1151" s="5">
        <v>80.5</v>
      </c>
      <c r="M1151" s="5">
        <v>241.5</v>
      </c>
      <c r="N1151" s="5">
        <v>156.87</v>
      </c>
      <c r="O1151" s="5">
        <v>84.63</v>
      </c>
      <c r="P1151" s="4">
        <f>--AND(OR(Dashboard!$A$10="All",C1151=Dashboard!$A$10),OR(Dashboard!$A$14="All",F1151=Dashboard!$A$14),OR(Dashboard!$A$18="All",G1151=Dashboard!$A$18),OR(Dashboard!$A$22="All",I1151=Dashboard!$A$22))</f>
        <v>1</v>
      </c>
    </row>
    <row r="1152" spans="1:16" ht="15.75" customHeight="1">
      <c r="A1152" s="4" t="s">
        <v>1358</v>
      </c>
      <c r="B1152" s="6">
        <v>45357</v>
      </c>
      <c r="C1152" s="4">
        <v>2024</v>
      </c>
      <c r="D1152" s="4">
        <v>3</v>
      </c>
      <c r="E1152" s="4" t="s">
        <v>100</v>
      </c>
      <c r="F1152" s="4" t="s">
        <v>5</v>
      </c>
      <c r="G1152" s="4" t="s">
        <v>9</v>
      </c>
      <c r="H1152" s="4" t="s">
        <v>64</v>
      </c>
      <c r="I1152" s="4" t="s">
        <v>7</v>
      </c>
      <c r="J1152" s="4" t="s">
        <v>402</v>
      </c>
      <c r="K1152" s="4">
        <v>4</v>
      </c>
      <c r="L1152" s="5">
        <v>38.79</v>
      </c>
      <c r="M1152" s="5">
        <v>155.16</v>
      </c>
      <c r="N1152" s="5">
        <v>75.39</v>
      </c>
      <c r="O1152" s="5">
        <v>79.77</v>
      </c>
      <c r="P1152" s="4">
        <f>--AND(OR(Dashboard!$A$10="All",C1152=Dashboard!$A$10),OR(Dashboard!$A$14="All",F1152=Dashboard!$A$14),OR(Dashboard!$A$18="All",G1152=Dashboard!$A$18),OR(Dashboard!$A$22="All",I1152=Dashboard!$A$22))</f>
        <v>1</v>
      </c>
    </row>
    <row r="1153" spans="1:16" ht="15.75" customHeight="1">
      <c r="A1153" s="4" t="s">
        <v>1359</v>
      </c>
      <c r="B1153" s="6">
        <v>45386</v>
      </c>
      <c r="C1153" s="4">
        <v>2024</v>
      </c>
      <c r="D1153" s="4">
        <v>4</v>
      </c>
      <c r="E1153" s="4" t="s">
        <v>106</v>
      </c>
      <c r="F1153" s="4" t="s">
        <v>5</v>
      </c>
      <c r="G1153" s="4" t="s">
        <v>6</v>
      </c>
      <c r="H1153" s="4" t="s">
        <v>54</v>
      </c>
      <c r="I1153" s="4" t="s">
        <v>13</v>
      </c>
      <c r="J1153" s="4" t="s">
        <v>240</v>
      </c>
      <c r="K1153" s="4">
        <v>3</v>
      </c>
      <c r="L1153" s="5">
        <v>214.69</v>
      </c>
      <c r="M1153" s="5">
        <v>644.07000000000005</v>
      </c>
      <c r="N1153" s="5">
        <v>419.87</v>
      </c>
      <c r="O1153" s="5">
        <v>224.2</v>
      </c>
      <c r="P1153" s="4">
        <f>--AND(OR(Dashboard!$A$10="All",C1153=Dashboard!$A$10),OR(Dashboard!$A$14="All",F1153=Dashboard!$A$14),OR(Dashboard!$A$18="All",G1153=Dashboard!$A$18),OR(Dashboard!$A$22="All",I1153=Dashboard!$A$22))</f>
        <v>1</v>
      </c>
    </row>
    <row r="1154" spans="1:16" ht="15.75" customHeight="1">
      <c r="A1154" s="4" t="s">
        <v>1360</v>
      </c>
      <c r="B1154" s="6">
        <v>45519</v>
      </c>
      <c r="C1154" s="4">
        <v>2024</v>
      </c>
      <c r="D1154" s="4">
        <v>8</v>
      </c>
      <c r="E1154" s="4" t="s">
        <v>67</v>
      </c>
      <c r="F1154" s="4" t="s">
        <v>8</v>
      </c>
      <c r="G1154" s="4" t="s">
        <v>6</v>
      </c>
      <c r="H1154" s="4" t="s">
        <v>80</v>
      </c>
      <c r="I1154" s="4" t="s">
        <v>7</v>
      </c>
      <c r="J1154" s="4" t="s">
        <v>216</v>
      </c>
      <c r="K1154" s="4">
        <v>2</v>
      </c>
      <c r="L1154" s="5">
        <v>176.47</v>
      </c>
      <c r="M1154" s="5">
        <v>352.94</v>
      </c>
      <c r="N1154" s="5">
        <v>235.86</v>
      </c>
      <c r="O1154" s="5">
        <v>117.08</v>
      </c>
      <c r="P1154" s="4">
        <f>--AND(OR(Dashboard!$A$10="All",C1154=Dashboard!$A$10),OR(Dashboard!$A$14="All",F1154=Dashboard!$A$14),OR(Dashboard!$A$18="All",G1154=Dashboard!$A$18),OR(Dashboard!$A$22="All",I1154=Dashboard!$A$22))</f>
        <v>1</v>
      </c>
    </row>
    <row r="1155" spans="1:16" ht="15.75" customHeight="1">
      <c r="A1155" s="4" t="s">
        <v>1361</v>
      </c>
      <c r="B1155" s="6">
        <v>45317</v>
      </c>
      <c r="C1155" s="4">
        <v>2024</v>
      </c>
      <c r="D1155" s="4">
        <v>1</v>
      </c>
      <c r="E1155" s="4" t="s">
        <v>30</v>
      </c>
      <c r="F1155" s="4" t="s">
        <v>8</v>
      </c>
      <c r="G1155" s="4" t="s">
        <v>12</v>
      </c>
      <c r="H1155" s="4" t="s">
        <v>127</v>
      </c>
      <c r="I1155" s="4" t="s">
        <v>7</v>
      </c>
      <c r="J1155" s="4" t="s">
        <v>207</v>
      </c>
      <c r="K1155" s="4">
        <v>4</v>
      </c>
      <c r="L1155" s="5">
        <v>277.79000000000002</v>
      </c>
      <c r="M1155" s="5">
        <v>1111.1600000000001</v>
      </c>
      <c r="N1155" s="5">
        <v>692.28</v>
      </c>
      <c r="O1155" s="5">
        <v>418.88</v>
      </c>
      <c r="P1155" s="4">
        <f>--AND(OR(Dashboard!$A$10="All",C1155=Dashboard!$A$10),OR(Dashboard!$A$14="All",F1155=Dashboard!$A$14),OR(Dashboard!$A$18="All",G1155=Dashboard!$A$18),OR(Dashboard!$A$22="All",I1155=Dashboard!$A$22))</f>
        <v>1</v>
      </c>
    </row>
    <row r="1156" spans="1:16" ht="15.75" customHeight="1">
      <c r="A1156" s="4" t="s">
        <v>1362</v>
      </c>
      <c r="B1156" s="6">
        <v>45317</v>
      </c>
      <c r="C1156" s="4">
        <v>2024</v>
      </c>
      <c r="D1156" s="4">
        <v>1</v>
      </c>
      <c r="E1156" s="4" t="s">
        <v>30</v>
      </c>
      <c r="F1156" s="4" t="s">
        <v>5</v>
      </c>
      <c r="G1156" s="4" t="s">
        <v>12</v>
      </c>
      <c r="H1156" s="4" t="s">
        <v>127</v>
      </c>
      <c r="I1156" s="4" t="s">
        <v>7</v>
      </c>
      <c r="J1156" s="4" t="s">
        <v>128</v>
      </c>
      <c r="K1156" s="4">
        <v>1</v>
      </c>
      <c r="L1156" s="5">
        <v>256.45999999999998</v>
      </c>
      <c r="M1156" s="5">
        <v>256.45999999999998</v>
      </c>
      <c r="N1156" s="5">
        <v>149.76</v>
      </c>
      <c r="O1156" s="5">
        <v>106.7</v>
      </c>
      <c r="P1156" s="4">
        <f>--AND(OR(Dashboard!$A$10="All",C1156=Dashboard!$A$10),OR(Dashboard!$A$14="All",F1156=Dashboard!$A$14),OR(Dashboard!$A$18="All",G1156=Dashboard!$A$18),OR(Dashboard!$A$22="All",I1156=Dashboard!$A$22))</f>
        <v>1</v>
      </c>
    </row>
    <row r="1157" spans="1:16" ht="15.75" customHeight="1">
      <c r="A1157" s="4" t="s">
        <v>1363</v>
      </c>
      <c r="B1157" s="6">
        <v>45759</v>
      </c>
      <c r="C1157" s="4">
        <v>2025</v>
      </c>
      <c r="D1157" s="4">
        <v>4</v>
      </c>
      <c r="E1157" s="4" t="s">
        <v>106</v>
      </c>
      <c r="F1157" s="4" t="s">
        <v>5</v>
      </c>
      <c r="G1157" s="4" t="s">
        <v>9</v>
      </c>
      <c r="H1157" s="4" t="s">
        <v>35</v>
      </c>
      <c r="I1157" s="4" t="s">
        <v>7</v>
      </c>
      <c r="J1157" s="4" t="s">
        <v>255</v>
      </c>
      <c r="K1157" s="4">
        <v>1</v>
      </c>
      <c r="L1157" s="5">
        <v>45.53</v>
      </c>
      <c r="M1157" s="5">
        <v>45.53</v>
      </c>
      <c r="N1157" s="5">
        <v>22.29</v>
      </c>
      <c r="O1157" s="5">
        <v>23.24</v>
      </c>
      <c r="P1157" s="4">
        <f>--AND(OR(Dashboard!$A$10="All",C1157=Dashboard!$A$10),OR(Dashboard!$A$14="All",F1157=Dashboard!$A$14),OR(Dashboard!$A$18="All",G1157=Dashboard!$A$18),OR(Dashboard!$A$22="All",I1157=Dashboard!$A$22))</f>
        <v>1</v>
      </c>
    </row>
    <row r="1158" spans="1:16" ht="15.75" customHeight="1">
      <c r="A1158" s="4" t="s">
        <v>1364</v>
      </c>
      <c r="B1158" s="6">
        <v>45450</v>
      </c>
      <c r="C1158" s="4">
        <v>2024</v>
      </c>
      <c r="D1158" s="4">
        <v>6</v>
      </c>
      <c r="E1158" s="4" t="s">
        <v>34</v>
      </c>
      <c r="F1158" s="4" t="s">
        <v>5</v>
      </c>
      <c r="G1158" s="4" t="s">
        <v>12</v>
      </c>
      <c r="H1158" s="4" t="s">
        <v>86</v>
      </c>
      <c r="I1158" s="4" t="s">
        <v>7</v>
      </c>
      <c r="J1158" s="4" t="s">
        <v>168</v>
      </c>
      <c r="K1158" s="4">
        <v>1</v>
      </c>
      <c r="L1158" s="5">
        <v>134.71</v>
      </c>
      <c r="M1158" s="5">
        <v>134.71</v>
      </c>
      <c r="N1158" s="5">
        <v>78.42</v>
      </c>
      <c r="O1158" s="5">
        <v>56.29</v>
      </c>
      <c r="P1158" s="4">
        <f>--AND(OR(Dashboard!$A$10="All",C1158=Dashboard!$A$10),OR(Dashboard!$A$14="All",F1158=Dashboard!$A$14),OR(Dashboard!$A$18="All",G1158=Dashboard!$A$18),OR(Dashboard!$A$22="All",I1158=Dashboard!$A$22))</f>
        <v>1</v>
      </c>
    </row>
    <row r="1159" spans="1:16" ht="15.75" customHeight="1">
      <c r="A1159" s="4" t="s">
        <v>1365</v>
      </c>
      <c r="B1159" s="6">
        <v>45668</v>
      </c>
      <c r="C1159" s="4">
        <v>2025</v>
      </c>
      <c r="D1159" s="4">
        <v>1</v>
      </c>
      <c r="E1159" s="4" t="s">
        <v>30</v>
      </c>
      <c r="F1159" s="4" t="s">
        <v>8</v>
      </c>
      <c r="G1159" s="4" t="s">
        <v>9</v>
      </c>
      <c r="H1159" s="4" t="s">
        <v>35</v>
      </c>
      <c r="I1159" s="4" t="s">
        <v>7</v>
      </c>
      <c r="J1159" s="4" t="s">
        <v>379</v>
      </c>
      <c r="K1159" s="4">
        <v>3</v>
      </c>
      <c r="L1159" s="5">
        <v>31.11</v>
      </c>
      <c r="M1159" s="5">
        <v>93.33</v>
      </c>
      <c r="N1159" s="5">
        <v>48.36</v>
      </c>
      <c r="O1159" s="5">
        <v>44.97</v>
      </c>
      <c r="P1159" s="4">
        <f>--AND(OR(Dashboard!$A$10="All",C1159=Dashboard!$A$10),OR(Dashboard!$A$14="All",F1159=Dashboard!$A$14),OR(Dashboard!$A$18="All",G1159=Dashboard!$A$18),OR(Dashboard!$A$22="All",I1159=Dashboard!$A$22))</f>
        <v>1</v>
      </c>
    </row>
    <row r="1160" spans="1:16" ht="15.75" customHeight="1">
      <c r="A1160" s="4" t="s">
        <v>1366</v>
      </c>
      <c r="B1160" s="6">
        <v>45340</v>
      </c>
      <c r="C1160" s="4">
        <v>2024</v>
      </c>
      <c r="D1160" s="4">
        <v>2</v>
      </c>
      <c r="E1160" s="4" t="s">
        <v>70</v>
      </c>
      <c r="F1160" s="4" t="s">
        <v>5</v>
      </c>
      <c r="G1160" s="4" t="s">
        <v>9</v>
      </c>
      <c r="H1160" s="4" t="s">
        <v>71</v>
      </c>
      <c r="I1160" s="4" t="s">
        <v>10</v>
      </c>
      <c r="J1160" s="4" t="s">
        <v>301</v>
      </c>
      <c r="K1160" s="4">
        <v>5</v>
      </c>
      <c r="L1160" s="5">
        <v>46.61</v>
      </c>
      <c r="M1160" s="5">
        <v>233.05</v>
      </c>
      <c r="N1160" s="5">
        <v>120.68</v>
      </c>
      <c r="O1160" s="5">
        <v>112.37</v>
      </c>
      <c r="P1160" s="4">
        <f>--AND(OR(Dashboard!$A$10="All",C1160=Dashboard!$A$10),OR(Dashboard!$A$14="All",F1160=Dashboard!$A$14),OR(Dashboard!$A$18="All",G1160=Dashboard!$A$18),OR(Dashboard!$A$22="All",I1160=Dashboard!$A$22))</f>
        <v>1</v>
      </c>
    </row>
    <row r="1161" spans="1:16" ht="15.75" customHeight="1">
      <c r="A1161" s="4" t="s">
        <v>1367</v>
      </c>
      <c r="B1161" s="6">
        <v>45784</v>
      </c>
      <c r="C1161" s="4">
        <v>2025</v>
      </c>
      <c r="D1161" s="4">
        <v>5</v>
      </c>
      <c r="E1161" s="4" t="s">
        <v>108</v>
      </c>
      <c r="F1161" s="4" t="s">
        <v>5</v>
      </c>
      <c r="G1161" s="4" t="s">
        <v>9</v>
      </c>
      <c r="H1161" s="4" t="s">
        <v>110</v>
      </c>
      <c r="I1161" s="4" t="s">
        <v>7</v>
      </c>
      <c r="J1161" s="4" t="s">
        <v>326</v>
      </c>
      <c r="K1161" s="4">
        <v>6</v>
      </c>
      <c r="L1161" s="5">
        <v>49.47</v>
      </c>
      <c r="M1161" s="5">
        <v>296.82</v>
      </c>
      <c r="N1161" s="5">
        <v>149</v>
      </c>
      <c r="O1161" s="5">
        <v>147.82</v>
      </c>
      <c r="P1161" s="4">
        <f>--AND(OR(Dashboard!$A$10="All",C1161=Dashboard!$A$10),OR(Dashboard!$A$14="All",F1161=Dashboard!$A$14),OR(Dashboard!$A$18="All",G1161=Dashboard!$A$18),OR(Dashboard!$A$22="All",I1161=Dashboard!$A$22))</f>
        <v>1</v>
      </c>
    </row>
    <row r="1162" spans="1:16" ht="15.75" customHeight="1">
      <c r="A1162" s="4" t="s">
        <v>1368</v>
      </c>
      <c r="B1162" s="6">
        <v>45830</v>
      </c>
      <c r="C1162" s="4">
        <v>2025</v>
      </c>
      <c r="D1162" s="4">
        <v>6</v>
      </c>
      <c r="E1162" s="4" t="s">
        <v>34</v>
      </c>
      <c r="F1162" s="4" t="s">
        <v>11</v>
      </c>
      <c r="G1162" s="4" t="s">
        <v>6</v>
      </c>
      <c r="H1162" s="4" t="s">
        <v>80</v>
      </c>
      <c r="I1162" s="4" t="s">
        <v>10</v>
      </c>
      <c r="J1162" s="4" t="s">
        <v>218</v>
      </c>
      <c r="K1162" s="4">
        <v>3</v>
      </c>
      <c r="L1162" s="5">
        <v>116.49</v>
      </c>
      <c r="M1162" s="5">
        <v>349.47</v>
      </c>
      <c r="N1162" s="5">
        <v>224.6</v>
      </c>
      <c r="O1162" s="5">
        <v>124.87</v>
      </c>
      <c r="P1162" s="4">
        <f>--AND(OR(Dashboard!$A$10="All",C1162=Dashboard!$A$10),OR(Dashboard!$A$14="All",F1162=Dashboard!$A$14),OR(Dashboard!$A$18="All",G1162=Dashboard!$A$18),OR(Dashboard!$A$22="All",I1162=Dashboard!$A$22))</f>
        <v>1</v>
      </c>
    </row>
    <row r="1163" spans="1:16" ht="15.75" customHeight="1">
      <c r="A1163" s="4" t="s">
        <v>1369</v>
      </c>
      <c r="B1163" s="6">
        <v>45979</v>
      </c>
      <c r="C1163" s="4">
        <v>2025</v>
      </c>
      <c r="D1163" s="4">
        <v>11</v>
      </c>
      <c r="E1163" s="4" t="s">
        <v>89</v>
      </c>
      <c r="F1163" s="4" t="s">
        <v>5</v>
      </c>
      <c r="G1163" s="4" t="s">
        <v>9</v>
      </c>
      <c r="H1163" s="4" t="s">
        <v>71</v>
      </c>
      <c r="I1163" s="4" t="s">
        <v>10</v>
      </c>
      <c r="J1163" s="4" t="s">
        <v>205</v>
      </c>
      <c r="K1163" s="4">
        <v>1</v>
      </c>
      <c r="L1163" s="5">
        <v>51.46</v>
      </c>
      <c r="M1163" s="5">
        <v>51.46</v>
      </c>
      <c r="N1163" s="5">
        <v>26.2</v>
      </c>
      <c r="O1163" s="5">
        <v>25.26</v>
      </c>
      <c r="P1163" s="4">
        <f>--AND(OR(Dashboard!$A$10="All",C1163=Dashboard!$A$10),OR(Dashboard!$A$14="All",F1163=Dashboard!$A$14),OR(Dashboard!$A$18="All",G1163=Dashboard!$A$18),OR(Dashboard!$A$22="All",I1163=Dashboard!$A$22))</f>
        <v>1</v>
      </c>
    </row>
    <row r="1164" spans="1:16" ht="15.75" customHeight="1">
      <c r="A1164" s="4" t="s">
        <v>1370</v>
      </c>
      <c r="B1164" s="6">
        <v>45999</v>
      </c>
      <c r="C1164" s="4">
        <v>2025</v>
      </c>
      <c r="D1164" s="4">
        <v>12</v>
      </c>
      <c r="E1164" s="4" t="s">
        <v>57</v>
      </c>
      <c r="F1164" s="4" t="s">
        <v>5</v>
      </c>
      <c r="G1164" s="4" t="s">
        <v>9</v>
      </c>
      <c r="H1164" s="4" t="s">
        <v>35</v>
      </c>
      <c r="I1164" s="4" t="s">
        <v>13</v>
      </c>
      <c r="J1164" s="4" t="s">
        <v>348</v>
      </c>
      <c r="K1164" s="4">
        <v>8</v>
      </c>
      <c r="L1164" s="5">
        <v>57.09</v>
      </c>
      <c r="M1164" s="5">
        <v>456.72</v>
      </c>
      <c r="N1164" s="5">
        <v>222.77</v>
      </c>
      <c r="O1164" s="5">
        <v>233.95</v>
      </c>
      <c r="P1164" s="4">
        <f>--AND(OR(Dashboard!$A$10="All",C1164=Dashboard!$A$10),OR(Dashboard!$A$14="All",F1164=Dashboard!$A$14),OR(Dashboard!$A$18="All",G1164=Dashboard!$A$18),OR(Dashboard!$A$22="All",I1164=Dashboard!$A$22))</f>
        <v>1</v>
      </c>
    </row>
    <row r="1165" spans="1:16" ht="15.75" customHeight="1">
      <c r="A1165" s="4" t="s">
        <v>1371</v>
      </c>
      <c r="B1165" s="6">
        <v>45738</v>
      </c>
      <c r="C1165" s="4">
        <v>2025</v>
      </c>
      <c r="D1165" s="4">
        <v>3</v>
      </c>
      <c r="E1165" s="4" t="s">
        <v>100</v>
      </c>
      <c r="F1165" s="4" t="s">
        <v>8</v>
      </c>
      <c r="G1165" s="4" t="s">
        <v>6</v>
      </c>
      <c r="H1165" s="4" t="s">
        <v>54</v>
      </c>
      <c r="I1165" s="4" t="s">
        <v>10</v>
      </c>
      <c r="J1165" s="4" t="s">
        <v>270</v>
      </c>
      <c r="K1165" s="4">
        <v>2</v>
      </c>
      <c r="L1165" s="5">
        <v>220.99</v>
      </c>
      <c r="M1165" s="5">
        <v>441.98</v>
      </c>
      <c r="N1165" s="5">
        <v>293.12</v>
      </c>
      <c r="O1165" s="5">
        <v>148.86000000000001</v>
      </c>
      <c r="P1165" s="4">
        <f>--AND(OR(Dashboard!$A$10="All",C1165=Dashboard!$A$10),OR(Dashboard!$A$14="All",F1165=Dashboard!$A$14),OR(Dashboard!$A$18="All",G1165=Dashboard!$A$18),OR(Dashboard!$A$22="All",I1165=Dashboard!$A$22))</f>
        <v>1</v>
      </c>
    </row>
    <row r="1166" spans="1:16" ht="15.75" customHeight="1">
      <c r="A1166" s="4" t="s">
        <v>1372</v>
      </c>
      <c r="B1166" s="6">
        <v>45792</v>
      </c>
      <c r="C1166" s="4">
        <v>2025</v>
      </c>
      <c r="D1166" s="4">
        <v>5</v>
      </c>
      <c r="E1166" s="4" t="s">
        <v>108</v>
      </c>
      <c r="F1166" s="4" t="s">
        <v>11</v>
      </c>
      <c r="G1166" s="4" t="s">
        <v>12</v>
      </c>
      <c r="H1166" s="4" t="s">
        <v>124</v>
      </c>
      <c r="I1166" s="4" t="s">
        <v>10</v>
      </c>
      <c r="J1166" s="4" t="s">
        <v>494</v>
      </c>
      <c r="K1166" s="4">
        <v>7</v>
      </c>
      <c r="L1166" s="5">
        <v>157.05000000000001</v>
      </c>
      <c r="M1166" s="5">
        <v>1099.3499999999999</v>
      </c>
      <c r="N1166" s="5">
        <v>672.96</v>
      </c>
      <c r="O1166" s="5">
        <v>426.39</v>
      </c>
      <c r="P1166" s="4">
        <f>--AND(OR(Dashboard!$A$10="All",C1166=Dashboard!$A$10),OR(Dashboard!$A$14="All",F1166=Dashboard!$A$14),OR(Dashboard!$A$18="All",G1166=Dashboard!$A$18),OR(Dashboard!$A$22="All",I1166=Dashboard!$A$22))</f>
        <v>1</v>
      </c>
    </row>
    <row r="1167" spans="1:16" ht="15.75" customHeight="1">
      <c r="A1167" s="4" t="s">
        <v>1373</v>
      </c>
      <c r="B1167" s="6">
        <v>45367</v>
      </c>
      <c r="C1167" s="4">
        <v>2024</v>
      </c>
      <c r="D1167" s="4">
        <v>3</v>
      </c>
      <c r="E1167" s="4" t="s">
        <v>100</v>
      </c>
      <c r="F1167" s="4" t="s">
        <v>11</v>
      </c>
      <c r="G1167" s="4" t="s">
        <v>6</v>
      </c>
      <c r="H1167" s="4" t="s">
        <v>98</v>
      </c>
      <c r="I1167" s="4" t="s">
        <v>7</v>
      </c>
      <c r="J1167" s="4" t="s">
        <v>111</v>
      </c>
      <c r="K1167" s="4">
        <v>3</v>
      </c>
      <c r="L1167" s="5">
        <v>190.75</v>
      </c>
      <c r="M1167" s="5">
        <v>572.25</v>
      </c>
      <c r="N1167" s="5">
        <v>371.19</v>
      </c>
      <c r="O1167" s="5">
        <v>201.06</v>
      </c>
      <c r="P1167" s="4">
        <f>--AND(OR(Dashboard!$A$10="All",C1167=Dashboard!$A$10),OR(Dashboard!$A$14="All",F1167=Dashboard!$A$14),OR(Dashboard!$A$18="All",G1167=Dashboard!$A$18),OR(Dashboard!$A$22="All",I1167=Dashboard!$A$22))</f>
        <v>1</v>
      </c>
    </row>
    <row r="1168" spans="1:16" ht="15.75" customHeight="1">
      <c r="A1168" s="4" t="s">
        <v>1374</v>
      </c>
      <c r="B1168" s="6">
        <v>45499</v>
      </c>
      <c r="C1168" s="4">
        <v>2024</v>
      </c>
      <c r="D1168" s="4">
        <v>7</v>
      </c>
      <c r="E1168" s="4" t="s">
        <v>63</v>
      </c>
      <c r="F1168" s="4" t="s">
        <v>5</v>
      </c>
      <c r="G1168" s="4" t="s">
        <v>6</v>
      </c>
      <c r="H1168" s="4" t="s">
        <v>80</v>
      </c>
      <c r="I1168" s="4" t="s">
        <v>10</v>
      </c>
      <c r="J1168" s="4" t="s">
        <v>191</v>
      </c>
      <c r="K1168" s="4">
        <v>5</v>
      </c>
      <c r="L1168" s="5">
        <v>92.01</v>
      </c>
      <c r="M1168" s="5">
        <v>460.05</v>
      </c>
      <c r="N1168" s="5">
        <v>307.55</v>
      </c>
      <c r="O1168" s="5">
        <v>152.5</v>
      </c>
      <c r="P1168" s="4">
        <f>--AND(OR(Dashboard!$A$10="All",C1168=Dashboard!$A$10),OR(Dashboard!$A$14="All",F1168=Dashboard!$A$14),OR(Dashboard!$A$18="All",G1168=Dashboard!$A$18),OR(Dashboard!$A$22="All",I1168=Dashboard!$A$22))</f>
        <v>1</v>
      </c>
    </row>
    <row r="1169" spans="1:16" ht="15.75" customHeight="1">
      <c r="A1169" s="4" t="s">
        <v>1375</v>
      </c>
      <c r="B1169" s="6">
        <v>45542</v>
      </c>
      <c r="C1169" s="4">
        <v>2024</v>
      </c>
      <c r="D1169" s="4">
        <v>9</v>
      </c>
      <c r="E1169" s="4" t="s">
        <v>79</v>
      </c>
      <c r="F1169" s="4" t="s">
        <v>8</v>
      </c>
      <c r="G1169" s="4" t="s">
        <v>9</v>
      </c>
      <c r="H1169" s="4" t="s">
        <v>35</v>
      </c>
      <c r="I1169" s="4" t="s">
        <v>7</v>
      </c>
      <c r="J1169" s="4" t="s">
        <v>455</v>
      </c>
      <c r="K1169" s="4">
        <v>5</v>
      </c>
      <c r="L1169" s="5">
        <v>48.96</v>
      </c>
      <c r="M1169" s="5">
        <v>244.8</v>
      </c>
      <c r="N1169" s="5">
        <v>117.86</v>
      </c>
      <c r="O1169" s="5">
        <v>126.94</v>
      </c>
      <c r="P1169" s="4">
        <f>--AND(OR(Dashboard!$A$10="All",C1169=Dashboard!$A$10),OR(Dashboard!$A$14="All",F1169=Dashboard!$A$14),OR(Dashboard!$A$18="All",G1169=Dashboard!$A$18),OR(Dashboard!$A$22="All",I1169=Dashboard!$A$22))</f>
        <v>1</v>
      </c>
    </row>
    <row r="1170" spans="1:16" ht="15.75" customHeight="1">
      <c r="A1170" s="4" t="s">
        <v>1376</v>
      </c>
      <c r="B1170" s="6">
        <v>45425</v>
      </c>
      <c r="C1170" s="4">
        <v>2024</v>
      </c>
      <c r="D1170" s="4">
        <v>5</v>
      </c>
      <c r="E1170" s="4" t="s">
        <v>108</v>
      </c>
      <c r="F1170" s="4" t="s">
        <v>11</v>
      </c>
      <c r="G1170" s="4" t="s">
        <v>9</v>
      </c>
      <c r="H1170" s="4" t="s">
        <v>64</v>
      </c>
      <c r="I1170" s="4" t="s">
        <v>13</v>
      </c>
      <c r="J1170" s="4" t="s">
        <v>362</v>
      </c>
      <c r="K1170" s="4">
        <v>3</v>
      </c>
      <c r="L1170" s="5">
        <v>28.1</v>
      </c>
      <c r="M1170" s="5">
        <v>84.3</v>
      </c>
      <c r="N1170" s="5">
        <v>43.99</v>
      </c>
      <c r="O1170" s="5">
        <v>40.31</v>
      </c>
      <c r="P1170" s="4">
        <f>--AND(OR(Dashboard!$A$10="All",C1170=Dashboard!$A$10),OR(Dashboard!$A$14="All",F1170=Dashboard!$A$14),OR(Dashboard!$A$18="All",G1170=Dashboard!$A$18),OR(Dashboard!$A$22="All",I1170=Dashboard!$A$22))</f>
        <v>1</v>
      </c>
    </row>
    <row r="1171" spans="1:16" ht="15.75" customHeight="1">
      <c r="A1171" s="4" t="s">
        <v>1377</v>
      </c>
      <c r="B1171" s="6">
        <v>45731</v>
      </c>
      <c r="C1171" s="4">
        <v>2025</v>
      </c>
      <c r="D1171" s="4">
        <v>3</v>
      </c>
      <c r="E1171" s="4" t="s">
        <v>100</v>
      </c>
      <c r="F1171" s="4" t="s">
        <v>5</v>
      </c>
      <c r="G1171" s="4" t="s">
        <v>6</v>
      </c>
      <c r="H1171" s="4" t="s">
        <v>80</v>
      </c>
      <c r="I1171" s="4" t="s">
        <v>10</v>
      </c>
      <c r="J1171" s="4" t="s">
        <v>336</v>
      </c>
      <c r="K1171" s="4">
        <v>1</v>
      </c>
      <c r="L1171" s="5">
        <v>94.33</v>
      </c>
      <c r="M1171" s="5">
        <v>94.33</v>
      </c>
      <c r="N1171" s="5">
        <v>60.39</v>
      </c>
      <c r="O1171" s="5">
        <v>33.94</v>
      </c>
      <c r="P1171" s="4">
        <f>--AND(OR(Dashboard!$A$10="All",C1171=Dashboard!$A$10),OR(Dashboard!$A$14="All",F1171=Dashboard!$A$14),OR(Dashboard!$A$18="All",G1171=Dashboard!$A$18),OR(Dashboard!$A$22="All",I1171=Dashboard!$A$22))</f>
        <v>1</v>
      </c>
    </row>
    <row r="1172" spans="1:16" ht="15.75" customHeight="1">
      <c r="A1172" s="4" t="s">
        <v>1378</v>
      </c>
      <c r="B1172" s="6">
        <v>45694</v>
      </c>
      <c r="C1172" s="4">
        <v>2025</v>
      </c>
      <c r="D1172" s="4">
        <v>2</v>
      </c>
      <c r="E1172" s="4" t="s">
        <v>70</v>
      </c>
      <c r="F1172" s="4" t="s">
        <v>5</v>
      </c>
      <c r="G1172" s="4" t="s">
        <v>6</v>
      </c>
      <c r="H1172" s="4" t="s">
        <v>54</v>
      </c>
      <c r="I1172" s="4" t="s">
        <v>7</v>
      </c>
      <c r="J1172" s="4" t="s">
        <v>191</v>
      </c>
      <c r="K1172" s="4">
        <v>3</v>
      </c>
      <c r="L1172" s="5">
        <v>136.05000000000001</v>
      </c>
      <c r="M1172" s="5">
        <v>408.15</v>
      </c>
      <c r="N1172" s="5">
        <v>260.73</v>
      </c>
      <c r="O1172" s="5">
        <v>147.41999999999999</v>
      </c>
      <c r="P1172" s="4">
        <f>--AND(OR(Dashboard!$A$10="All",C1172=Dashboard!$A$10),OR(Dashboard!$A$14="All",F1172=Dashboard!$A$14),OR(Dashboard!$A$18="All",G1172=Dashboard!$A$18),OR(Dashboard!$A$22="All",I1172=Dashboard!$A$22))</f>
        <v>1</v>
      </c>
    </row>
    <row r="1173" spans="1:16" ht="15.75" customHeight="1">
      <c r="A1173" s="4" t="s">
        <v>1379</v>
      </c>
      <c r="B1173" s="6">
        <v>45662</v>
      </c>
      <c r="C1173" s="4">
        <v>2025</v>
      </c>
      <c r="D1173" s="4">
        <v>1</v>
      </c>
      <c r="E1173" s="4" t="s">
        <v>30</v>
      </c>
      <c r="F1173" s="4" t="s">
        <v>11</v>
      </c>
      <c r="G1173" s="4" t="s">
        <v>6</v>
      </c>
      <c r="H1173" s="4" t="s">
        <v>114</v>
      </c>
      <c r="I1173" s="4" t="s">
        <v>7</v>
      </c>
      <c r="J1173" s="4" t="s">
        <v>285</v>
      </c>
      <c r="K1173" s="4">
        <v>2</v>
      </c>
      <c r="L1173" s="5">
        <v>154.28</v>
      </c>
      <c r="M1173" s="5">
        <v>308.56</v>
      </c>
      <c r="N1173" s="5">
        <v>194.69</v>
      </c>
      <c r="O1173" s="5">
        <v>113.87</v>
      </c>
      <c r="P1173" s="4">
        <f>--AND(OR(Dashboard!$A$10="All",C1173=Dashboard!$A$10),OR(Dashboard!$A$14="All",F1173=Dashboard!$A$14),OR(Dashboard!$A$18="All",G1173=Dashboard!$A$18),OR(Dashboard!$A$22="All",I1173=Dashboard!$A$22))</f>
        <v>1</v>
      </c>
    </row>
    <row r="1174" spans="1:16" ht="15.75" customHeight="1">
      <c r="A1174" s="4" t="s">
        <v>1380</v>
      </c>
      <c r="B1174" s="6">
        <v>45812</v>
      </c>
      <c r="C1174" s="4">
        <v>2025</v>
      </c>
      <c r="D1174" s="4">
        <v>6</v>
      </c>
      <c r="E1174" s="4" t="s">
        <v>34</v>
      </c>
      <c r="F1174" s="4" t="s">
        <v>14</v>
      </c>
      <c r="G1174" s="4" t="s">
        <v>6</v>
      </c>
      <c r="H1174" s="4" t="s">
        <v>114</v>
      </c>
      <c r="I1174" s="4" t="s">
        <v>13</v>
      </c>
      <c r="J1174" s="4" t="s">
        <v>280</v>
      </c>
      <c r="K1174" s="4">
        <v>1</v>
      </c>
      <c r="L1174" s="5">
        <v>84.96</v>
      </c>
      <c r="M1174" s="5">
        <v>84.96</v>
      </c>
      <c r="N1174" s="5">
        <v>54.61</v>
      </c>
      <c r="O1174" s="5">
        <v>30.35</v>
      </c>
      <c r="P1174" s="4">
        <f>--AND(OR(Dashboard!$A$10="All",C1174=Dashboard!$A$10),OR(Dashboard!$A$14="All",F1174=Dashboard!$A$14),OR(Dashboard!$A$18="All",G1174=Dashboard!$A$18),OR(Dashboard!$A$22="All",I1174=Dashboard!$A$22))</f>
        <v>1</v>
      </c>
    </row>
    <row r="1175" spans="1:16" ht="15.75" customHeight="1">
      <c r="A1175" s="4" t="s">
        <v>1381</v>
      </c>
      <c r="B1175" s="6">
        <v>45518</v>
      </c>
      <c r="C1175" s="4">
        <v>2024</v>
      </c>
      <c r="D1175" s="4">
        <v>8</v>
      </c>
      <c r="E1175" s="4" t="s">
        <v>67</v>
      </c>
      <c r="F1175" s="4" t="s">
        <v>5</v>
      </c>
      <c r="G1175" s="4" t="s">
        <v>6</v>
      </c>
      <c r="H1175" s="4" t="s">
        <v>114</v>
      </c>
      <c r="I1175" s="4" t="s">
        <v>10</v>
      </c>
      <c r="J1175" s="4" t="s">
        <v>59</v>
      </c>
      <c r="K1175" s="4">
        <v>1</v>
      </c>
      <c r="L1175" s="5">
        <v>186.29</v>
      </c>
      <c r="M1175" s="5">
        <v>186.29</v>
      </c>
      <c r="N1175" s="5">
        <v>118.94</v>
      </c>
      <c r="O1175" s="5">
        <v>67.349999999999994</v>
      </c>
      <c r="P1175" s="4">
        <f>--AND(OR(Dashboard!$A$10="All",C1175=Dashboard!$A$10),OR(Dashboard!$A$14="All",F1175=Dashboard!$A$14),OR(Dashboard!$A$18="All",G1175=Dashboard!$A$18),OR(Dashboard!$A$22="All",I1175=Dashboard!$A$22))</f>
        <v>1</v>
      </c>
    </row>
    <row r="1176" spans="1:16" ht="15.75" customHeight="1">
      <c r="A1176" s="4" t="s">
        <v>1382</v>
      </c>
      <c r="B1176" s="6">
        <v>45921</v>
      </c>
      <c r="C1176" s="4">
        <v>2025</v>
      </c>
      <c r="D1176" s="4">
        <v>9</v>
      </c>
      <c r="E1176" s="4" t="s">
        <v>79</v>
      </c>
      <c r="F1176" s="4" t="s">
        <v>5</v>
      </c>
      <c r="G1176" s="4" t="s">
        <v>6</v>
      </c>
      <c r="H1176" s="4" t="s">
        <v>114</v>
      </c>
      <c r="I1176" s="4" t="s">
        <v>7</v>
      </c>
      <c r="J1176" s="4" t="s">
        <v>491</v>
      </c>
      <c r="K1176" s="4">
        <v>6</v>
      </c>
      <c r="L1176" s="5">
        <v>203.34</v>
      </c>
      <c r="M1176" s="5">
        <v>1220.04</v>
      </c>
      <c r="N1176" s="5">
        <v>810.74</v>
      </c>
      <c r="O1176" s="5">
        <v>409.3</v>
      </c>
      <c r="P1176" s="4">
        <f>--AND(OR(Dashboard!$A$10="All",C1176=Dashboard!$A$10),OR(Dashboard!$A$14="All",F1176=Dashboard!$A$14),OR(Dashboard!$A$18="All",G1176=Dashboard!$A$18),OR(Dashboard!$A$22="All",I1176=Dashboard!$A$22))</f>
        <v>1</v>
      </c>
    </row>
    <row r="1177" spans="1:16" ht="15.75" customHeight="1">
      <c r="A1177" s="4" t="s">
        <v>1383</v>
      </c>
      <c r="B1177" s="6">
        <v>45858</v>
      </c>
      <c r="C1177" s="4">
        <v>2025</v>
      </c>
      <c r="D1177" s="4">
        <v>7</v>
      </c>
      <c r="E1177" s="4" t="s">
        <v>63</v>
      </c>
      <c r="F1177" s="4" t="s">
        <v>5</v>
      </c>
      <c r="G1177" s="4" t="s">
        <v>9</v>
      </c>
      <c r="H1177" s="4" t="s">
        <v>35</v>
      </c>
      <c r="I1177" s="4" t="s">
        <v>7</v>
      </c>
      <c r="J1177" s="4" t="s">
        <v>149</v>
      </c>
      <c r="K1177" s="4">
        <v>4</v>
      </c>
      <c r="L1177" s="5">
        <v>31.67</v>
      </c>
      <c r="M1177" s="5">
        <v>126.68</v>
      </c>
      <c r="N1177" s="5">
        <v>66.17</v>
      </c>
      <c r="O1177" s="5">
        <v>60.51</v>
      </c>
      <c r="P1177" s="4">
        <f>--AND(OR(Dashboard!$A$10="All",C1177=Dashboard!$A$10),OR(Dashboard!$A$14="All",F1177=Dashboard!$A$14),OR(Dashboard!$A$18="All",G1177=Dashboard!$A$18),OR(Dashboard!$A$22="All",I1177=Dashboard!$A$22))</f>
        <v>1</v>
      </c>
    </row>
    <row r="1178" spans="1:16" ht="15.75" customHeight="1">
      <c r="A1178" s="4" t="s">
        <v>1384</v>
      </c>
      <c r="B1178" s="6">
        <v>45865</v>
      </c>
      <c r="C1178" s="4">
        <v>2025</v>
      </c>
      <c r="D1178" s="4">
        <v>7</v>
      </c>
      <c r="E1178" s="4" t="s">
        <v>63</v>
      </c>
      <c r="F1178" s="4" t="s">
        <v>5</v>
      </c>
      <c r="G1178" s="4" t="s">
        <v>12</v>
      </c>
      <c r="H1178" s="4" t="s">
        <v>124</v>
      </c>
      <c r="I1178" s="4" t="s">
        <v>7</v>
      </c>
      <c r="J1178" s="4" t="s">
        <v>393</v>
      </c>
      <c r="K1178" s="4">
        <v>1</v>
      </c>
      <c r="L1178" s="5">
        <v>190.29</v>
      </c>
      <c r="M1178" s="5">
        <v>190.29</v>
      </c>
      <c r="N1178" s="5">
        <v>118.6</v>
      </c>
      <c r="O1178" s="5">
        <v>71.69</v>
      </c>
      <c r="P1178" s="4">
        <f>--AND(OR(Dashboard!$A$10="All",C1178=Dashboard!$A$10),OR(Dashboard!$A$14="All",F1178=Dashboard!$A$14),OR(Dashboard!$A$18="All",G1178=Dashboard!$A$18),OR(Dashboard!$A$22="All",I1178=Dashboard!$A$22))</f>
        <v>1</v>
      </c>
    </row>
    <row r="1179" spans="1:16" ht="15.75" customHeight="1">
      <c r="A1179" s="4" t="s">
        <v>1385</v>
      </c>
      <c r="B1179" s="6">
        <v>46009</v>
      </c>
      <c r="C1179" s="4">
        <v>2025</v>
      </c>
      <c r="D1179" s="4">
        <v>12</v>
      </c>
      <c r="E1179" s="4" t="s">
        <v>57</v>
      </c>
      <c r="F1179" s="4" t="s">
        <v>5</v>
      </c>
      <c r="G1179" s="4" t="s">
        <v>9</v>
      </c>
      <c r="H1179" s="4" t="s">
        <v>142</v>
      </c>
      <c r="I1179" s="4" t="s">
        <v>10</v>
      </c>
      <c r="J1179" s="4" t="s">
        <v>292</v>
      </c>
      <c r="K1179" s="4">
        <v>3</v>
      </c>
      <c r="L1179" s="5">
        <v>64.569999999999993</v>
      </c>
      <c r="M1179" s="5">
        <v>193.71</v>
      </c>
      <c r="N1179" s="5">
        <v>101.49</v>
      </c>
      <c r="O1179" s="5">
        <v>92.22</v>
      </c>
      <c r="P1179" s="4">
        <f>--AND(OR(Dashboard!$A$10="All",C1179=Dashboard!$A$10),OR(Dashboard!$A$14="All",F1179=Dashboard!$A$14),OR(Dashboard!$A$18="All",G1179=Dashboard!$A$18),OR(Dashboard!$A$22="All",I1179=Dashboard!$A$22))</f>
        <v>1</v>
      </c>
    </row>
    <row r="1180" spans="1:16" ht="15.75" customHeight="1">
      <c r="A1180" s="4" t="s">
        <v>1386</v>
      </c>
      <c r="B1180" s="6">
        <v>45391</v>
      </c>
      <c r="C1180" s="4">
        <v>2024</v>
      </c>
      <c r="D1180" s="4">
        <v>4</v>
      </c>
      <c r="E1180" s="4" t="s">
        <v>106</v>
      </c>
      <c r="F1180" s="4" t="s">
        <v>11</v>
      </c>
      <c r="G1180" s="4" t="s">
        <v>12</v>
      </c>
      <c r="H1180" s="4" t="s">
        <v>86</v>
      </c>
      <c r="I1180" s="4" t="s">
        <v>10</v>
      </c>
      <c r="J1180" s="4" t="s">
        <v>202</v>
      </c>
      <c r="K1180" s="4">
        <v>3</v>
      </c>
      <c r="L1180" s="5">
        <v>218.62</v>
      </c>
      <c r="M1180" s="5">
        <v>655.86</v>
      </c>
      <c r="N1180" s="5">
        <v>379.53</v>
      </c>
      <c r="O1180" s="5">
        <v>276.33</v>
      </c>
      <c r="P1180" s="4">
        <f>--AND(OR(Dashboard!$A$10="All",C1180=Dashboard!$A$10),OR(Dashboard!$A$14="All",F1180=Dashboard!$A$14),OR(Dashboard!$A$18="All",G1180=Dashboard!$A$18),OR(Dashboard!$A$22="All",I1180=Dashboard!$A$22))</f>
        <v>1</v>
      </c>
    </row>
    <row r="1181" spans="1:16" ht="15.75" customHeight="1">
      <c r="A1181" s="4" t="s">
        <v>1387</v>
      </c>
      <c r="B1181" s="6">
        <v>45448</v>
      </c>
      <c r="C1181" s="4">
        <v>2024</v>
      </c>
      <c r="D1181" s="4">
        <v>6</v>
      </c>
      <c r="E1181" s="4" t="s">
        <v>34</v>
      </c>
      <c r="F1181" s="4" t="s">
        <v>8</v>
      </c>
      <c r="G1181" s="4" t="s">
        <v>12</v>
      </c>
      <c r="H1181" s="4" t="s">
        <v>86</v>
      </c>
      <c r="I1181" s="4" t="s">
        <v>7</v>
      </c>
      <c r="J1181" s="4" t="s">
        <v>417</v>
      </c>
      <c r="K1181" s="4">
        <v>8</v>
      </c>
      <c r="L1181" s="5">
        <v>298.51</v>
      </c>
      <c r="M1181" s="5">
        <v>2388.08</v>
      </c>
      <c r="N1181" s="5">
        <v>1465.35</v>
      </c>
      <c r="O1181" s="5">
        <v>922.73</v>
      </c>
      <c r="P1181" s="4">
        <f>--AND(OR(Dashboard!$A$10="All",C1181=Dashboard!$A$10),OR(Dashboard!$A$14="All",F1181=Dashboard!$A$14),OR(Dashboard!$A$18="All",G1181=Dashboard!$A$18),OR(Dashboard!$A$22="All",I1181=Dashboard!$A$22))</f>
        <v>1</v>
      </c>
    </row>
    <row r="1182" spans="1:16" ht="15.75" customHeight="1">
      <c r="A1182" s="4" t="s">
        <v>1388</v>
      </c>
      <c r="B1182" s="6">
        <v>45463</v>
      </c>
      <c r="C1182" s="4">
        <v>2024</v>
      </c>
      <c r="D1182" s="4">
        <v>6</v>
      </c>
      <c r="E1182" s="4" t="s">
        <v>34</v>
      </c>
      <c r="F1182" s="4" t="s">
        <v>5</v>
      </c>
      <c r="G1182" s="4" t="s">
        <v>9</v>
      </c>
      <c r="H1182" s="4" t="s">
        <v>35</v>
      </c>
      <c r="I1182" s="4" t="s">
        <v>10</v>
      </c>
      <c r="J1182" s="4" t="s">
        <v>268</v>
      </c>
      <c r="K1182" s="4">
        <v>4</v>
      </c>
      <c r="L1182" s="5">
        <v>61.12</v>
      </c>
      <c r="M1182" s="5">
        <v>244.48</v>
      </c>
      <c r="N1182" s="5">
        <v>116.71</v>
      </c>
      <c r="O1182" s="5">
        <v>127.77</v>
      </c>
      <c r="P1182" s="4">
        <f>--AND(OR(Dashboard!$A$10="All",C1182=Dashboard!$A$10),OR(Dashboard!$A$14="All",F1182=Dashboard!$A$14),OR(Dashboard!$A$18="All",G1182=Dashboard!$A$18),OR(Dashboard!$A$22="All",I1182=Dashboard!$A$22))</f>
        <v>1</v>
      </c>
    </row>
    <row r="1183" spans="1:16" ht="15.75" customHeight="1">
      <c r="A1183" s="4" t="s">
        <v>1389</v>
      </c>
      <c r="B1183" s="6">
        <v>45315</v>
      </c>
      <c r="C1183" s="4">
        <v>2024</v>
      </c>
      <c r="D1183" s="4">
        <v>1</v>
      </c>
      <c r="E1183" s="4" t="s">
        <v>30</v>
      </c>
      <c r="F1183" s="4" t="s">
        <v>11</v>
      </c>
      <c r="G1183" s="4" t="s">
        <v>6</v>
      </c>
      <c r="H1183" s="4" t="s">
        <v>136</v>
      </c>
      <c r="I1183" s="4" t="s">
        <v>10</v>
      </c>
      <c r="J1183" s="4" t="s">
        <v>379</v>
      </c>
      <c r="K1183" s="4">
        <v>4</v>
      </c>
      <c r="L1183" s="5">
        <v>223.6</v>
      </c>
      <c r="M1183" s="5">
        <v>894.4</v>
      </c>
      <c r="N1183" s="5">
        <v>591.41999999999996</v>
      </c>
      <c r="O1183" s="5">
        <v>302.98</v>
      </c>
      <c r="P1183" s="4">
        <f>--AND(OR(Dashboard!$A$10="All",C1183=Dashboard!$A$10),OR(Dashboard!$A$14="All",F1183=Dashboard!$A$14),OR(Dashboard!$A$18="All",G1183=Dashboard!$A$18),OR(Dashboard!$A$22="All",I1183=Dashboard!$A$22))</f>
        <v>1</v>
      </c>
    </row>
    <row r="1184" spans="1:16" ht="15.75" customHeight="1">
      <c r="A1184" s="4" t="s">
        <v>1390</v>
      </c>
      <c r="B1184" s="6">
        <v>45607</v>
      </c>
      <c r="C1184" s="4">
        <v>2024</v>
      </c>
      <c r="D1184" s="4">
        <v>11</v>
      </c>
      <c r="E1184" s="4" t="s">
        <v>89</v>
      </c>
      <c r="F1184" s="4" t="s">
        <v>5</v>
      </c>
      <c r="G1184" s="4" t="s">
        <v>12</v>
      </c>
      <c r="H1184" s="4" t="s">
        <v>124</v>
      </c>
      <c r="I1184" s="4" t="s">
        <v>13</v>
      </c>
      <c r="J1184" s="4" t="s">
        <v>259</v>
      </c>
      <c r="K1184" s="4">
        <v>7</v>
      </c>
      <c r="L1184" s="5">
        <v>167.03</v>
      </c>
      <c r="M1184" s="5">
        <v>1169.21</v>
      </c>
      <c r="N1184" s="5">
        <v>736.07</v>
      </c>
      <c r="O1184" s="5">
        <v>433.14</v>
      </c>
      <c r="P1184" s="4">
        <f>--AND(OR(Dashboard!$A$10="All",C1184=Dashboard!$A$10),OR(Dashboard!$A$14="All",F1184=Dashboard!$A$14),OR(Dashboard!$A$18="All",G1184=Dashboard!$A$18),OR(Dashboard!$A$22="All",I1184=Dashboard!$A$22))</f>
        <v>1</v>
      </c>
    </row>
    <row r="1185" spans="1:16" ht="15.75" customHeight="1">
      <c r="A1185" s="4" t="s">
        <v>1391</v>
      </c>
      <c r="B1185" s="6">
        <v>45644</v>
      </c>
      <c r="C1185" s="4">
        <v>2024</v>
      </c>
      <c r="D1185" s="4">
        <v>12</v>
      </c>
      <c r="E1185" s="4" t="s">
        <v>57</v>
      </c>
      <c r="F1185" s="4" t="s">
        <v>5</v>
      </c>
      <c r="G1185" s="4" t="s">
        <v>9</v>
      </c>
      <c r="H1185" s="4" t="s">
        <v>35</v>
      </c>
      <c r="I1185" s="4" t="s">
        <v>10</v>
      </c>
      <c r="J1185" s="4" t="s">
        <v>455</v>
      </c>
      <c r="K1185" s="4">
        <v>5</v>
      </c>
      <c r="L1185" s="5">
        <v>53.16</v>
      </c>
      <c r="M1185" s="5">
        <v>265.8</v>
      </c>
      <c r="N1185" s="5">
        <v>126.6</v>
      </c>
      <c r="O1185" s="5">
        <v>139.19999999999999</v>
      </c>
      <c r="P1185" s="4">
        <f>--AND(OR(Dashboard!$A$10="All",C1185=Dashboard!$A$10),OR(Dashboard!$A$14="All",F1185=Dashboard!$A$14),OR(Dashboard!$A$18="All",G1185=Dashboard!$A$18),OR(Dashboard!$A$22="All",I1185=Dashboard!$A$22))</f>
        <v>1</v>
      </c>
    </row>
    <row r="1186" spans="1:16" ht="15.75" customHeight="1">
      <c r="A1186" s="4" t="s">
        <v>1392</v>
      </c>
      <c r="B1186" s="6">
        <v>45826</v>
      </c>
      <c r="C1186" s="4">
        <v>2025</v>
      </c>
      <c r="D1186" s="4">
        <v>6</v>
      </c>
      <c r="E1186" s="4" t="s">
        <v>34</v>
      </c>
      <c r="F1186" s="4" t="s">
        <v>5</v>
      </c>
      <c r="G1186" s="4" t="s">
        <v>6</v>
      </c>
      <c r="H1186" s="4" t="s">
        <v>54</v>
      </c>
      <c r="I1186" s="4" t="s">
        <v>7</v>
      </c>
      <c r="J1186" s="4" t="s">
        <v>311</v>
      </c>
      <c r="K1186" s="4">
        <v>7</v>
      </c>
      <c r="L1186" s="5">
        <v>96.49</v>
      </c>
      <c r="M1186" s="5">
        <v>675.43</v>
      </c>
      <c r="N1186" s="5">
        <v>451.18</v>
      </c>
      <c r="O1186" s="5">
        <v>224.25</v>
      </c>
      <c r="P1186" s="4">
        <f>--AND(OR(Dashboard!$A$10="All",C1186=Dashboard!$A$10),OR(Dashboard!$A$14="All",F1186=Dashboard!$A$14),OR(Dashboard!$A$18="All",G1186=Dashboard!$A$18),OR(Dashboard!$A$22="All",I1186=Dashboard!$A$22))</f>
        <v>1</v>
      </c>
    </row>
    <row r="1187" spans="1:16" ht="15.75" customHeight="1">
      <c r="A1187" s="4" t="s">
        <v>1393</v>
      </c>
      <c r="B1187" s="6">
        <v>45552</v>
      </c>
      <c r="C1187" s="4">
        <v>2024</v>
      </c>
      <c r="D1187" s="4">
        <v>9</v>
      </c>
      <c r="E1187" s="4" t="s">
        <v>79</v>
      </c>
      <c r="F1187" s="4" t="s">
        <v>5</v>
      </c>
      <c r="G1187" s="4" t="s">
        <v>9</v>
      </c>
      <c r="H1187" s="4" t="s">
        <v>142</v>
      </c>
      <c r="I1187" s="4" t="s">
        <v>10</v>
      </c>
      <c r="J1187" s="4" t="s">
        <v>207</v>
      </c>
      <c r="K1187" s="4">
        <v>5</v>
      </c>
      <c r="L1187" s="5">
        <v>66.88</v>
      </c>
      <c r="M1187" s="5">
        <v>334.4</v>
      </c>
      <c r="N1187" s="5">
        <v>171.85</v>
      </c>
      <c r="O1187" s="5">
        <v>162.55000000000001</v>
      </c>
      <c r="P1187" s="4">
        <f>--AND(OR(Dashboard!$A$10="All",C1187=Dashboard!$A$10),OR(Dashboard!$A$14="All",F1187=Dashboard!$A$14),OR(Dashboard!$A$18="All",G1187=Dashboard!$A$18),OR(Dashboard!$A$22="All",I1187=Dashboard!$A$22))</f>
        <v>1</v>
      </c>
    </row>
    <row r="1188" spans="1:16" ht="15.75" customHeight="1">
      <c r="A1188" s="4" t="s">
        <v>1394</v>
      </c>
      <c r="B1188" s="6">
        <v>45495</v>
      </c>
      <c r="C1188" s="4">
        <v>2024</v>
      </c>
      <c r="D1188" s="4">
        <v>7</v>
      </c>
      <c r="E1188" s="4" t="s">
        <v>63</v>
      </c>
      <c r="F1188" s="4" t="s">
        <v>5</v>
      </c>
      <c r="G1188" s="4" t="s">
        <v>9</v>
      </c>
      <c r="H1188" s="4" t="s">
        <v>110</v>
      </c>
      <c r="I1188" s="4" t="s">
        <v>13</v>
      </c>
      <c r="J1188" s="4" t="s">
        <v>134</v>
      </c>
      <c r="K1188" s="4">
        <v>9</v>
      </c>
      <c r="L1188" s="5">
        <v>52.78</v>
      </c>
      <c r="M1188" s="5">
        <v>475.02</v>
      </c>
      <c r="N1188" s="5">
        <v>227.57</v>
      </c>
      <c r="O1188" s="5">
        <v>247.45</v>
      </c>
      <c r="P1188" s="4">
        <f>--AND(OR(Dashboard!$A$10="All",C1188=Dashboard!$A$10),OR(Dashboard!$A$14="All",F1188=Dashboard!$A$14),OR(Dashboard!$A$18="All",G1188=Dashboard!$A$18),OR(Dashboard!$A$22="All",I1188=Dashboard!$A$22))</f>
        <v>1</v>
      </c>
    </row>
    <row r="1189" spans="1:16" ht="15.75" customHeight="1">
      <c r="A1189" s="4" t="s">
        <v>1395</v>
      </c>
      <c r="B1189" s="6">
        <v>45657</v>
      </c>
      <c r="C1189" s="4">
        <v>2024</v>
      </c>
      <c r="D1189" s="4">
        <v>12</v>
      </c>
      <c r="E1189" s="4" t="s">
        <v>57</v>
      </c>
      <c r="F1189" s="4" t="s">
        <v>5</v>
      </c>
      <c r="G1189" s="4" t="s">
        <v>12</v>
      </c>
      <c r="H1189" s="4" t="s">
        <v>58</v>
      </c>
      <c r="I1189" s="4" t="s">
        <v>10</v>
      </c>
      <c r="J1189" s="4" t="s">
        <v>532</v>
      </c>
      <c r="K1189" s="4">
        <v>2</v>
      </c>
      <c r="L1189" s="5">
        <v>222.3</v>
      </c>
      <c r="M1189" s="5">
        <v>444.6</v>
      </c>
      <c r="N1189" s="5">
        <v>268.3</v>
      </c>
      <c r="O1189" s="5">
        <v>176.3</v>
      </c>
      <c r="P1189" s="4">
        <f>--AND(OR(Dashboard!$A$10="All",C1189=Dashboard!$A$10),OR(Dashboard!$A$14="All",F1189=Dashboard!$A$14),OR(Dashboard!$A$18="All",G1189=Dashboard!$A$18),OR(Dashboard!$A$22="All",I1189=Dashboard!$A$22))</f>
        <v>1</v>
      </c>
    </row>
    <row r="1190" spans="1:16" ht="15.75" customHeight="1">
      <c r="A1190" s="4" t="s">
        <v>1396</v>
      </c>
      <c r="B1190" s="6">
        <v>45651</v>
      </c>
      <c r="C1190" s="4">
        <v>2024</v>
      </c>
      <c r="D1190" s="4">
        <v>12</v>
      </c>
      <c r="E1190" s="4" t="s">
        <v>57</v>
      </c>
      <c r="F1190" s="4" t="s">
        <v>5</v>
      </c>
      <c r="G1190" s="4" t="s">
        <v>12</v>
      </c>
      <c r="H1190" s="4" t="s">
        <v>124</v>
      </c>
      <c r="I1190" s="4" t="s">
        <v>7</v>
      </c>
      <c r="J1190" s="4" t="s">
        <v>255</v>
      </c>
      <c r="K1190" s="4">
        <v>3</v>
      </c>
      <c r="L1190" s="5">
        <v>211.08</v>
      </c>
      <c r="M1190" s="5">
        <v>633.24</v>
      </c>
      <c r="N1190" s="5">
        <v>395.01</v>
      </c>
      <c r="O1190" s="5">
        <v>238.23</v>
      </c>
      <c r="P1190" s="4">
        <f>--AND(OR(Dashboard!$A$10="All",C1190=Dashboard!$A$10),OR(Dashboard!$A$14="All",F1190=Dashboard!$A$14),OR(Dashboard!$A$18="All",G1190=Dashboard!$A$18),OR(Dashboard!$A$22="All",I1190=Dashboard!$A$22))</f>
        <v>1</v>
      </c>
    </row>
    <row r="1191" spans="1:16" ht="15.75" customHeight="1">
      <c r="A1191" s="4" t="s">
        <v>1397</v>
      </c>
      <c r="B1191" s="6">
        <v>45975</v>
      </c>
      <c r="C1191" s="4">
        <v>2025</v>
      </c>
      <c r="D1191" s="4">
        <v>11</v>
      </c>
      <c r="E1191" s="4" t="s">
        <v>89</v>
      </c>
      <c r="F1191" s="4" t="s">
        <v>5</v>
      </c>
      <c r="G1191" s="4" t="s">
        <v>12</v>
      </c>
      <c r="H1191" s="4" t="s">
        <v>124</v>
      </c>
      <c r="I1191" s="4" t="s">
        <v>7</v>
      </c>
      <c r="J1191" s="4" t="s">
        <v>528</v>
      </c>
      <c r="K1191" s="4">
        <v>8</v>
      </c>
      <c r="L1191" s="5">
        <v>328.42</v>
      </c>
      <c r="M1191" s="5">
        <v>2627.36</v>
      </c>
      <c r="N1191" s="5">
        <v>1512.18</v>
      </c>
      <c r="O1191" s="5">
        <v>1115.18</v>
      </c>
      <c r="P1191" s="4">
        <f>--AND(OR(Dashboard!$A$10="All",C1191=Dashboard!$A$10),OR(Dashboard!$A$14="All",F1191=Dashboard!$A$14),OR(Dashboard!$A$18="All",G1191=Dashboard!$A$18),OR(Dashboard!$A$22="All",I1191=Dashboard!$A$22))</f>
        <v>1</v>
      </c>
    </row>
    <row r="1192" spans="1:16" ht="15.75" customHeight="1">
      <c r="A1192" s="4" t="s">
        <v>1398</v>
      </c>
      <c r="B1192" s="6">
        <v>45859</v>
      </c>
      <c r="C1192" s="4">
        <v>2025</v>
      </c>
      <c r="D1192" s="4">
        <v>7</v>
      </c>
      <c r="E1192" s="4" t="s">
        <v>63</v>
      </c>
      <c r="F1192" s="4" t="s">
        <v>5</v>
      </c>
      <c r="G1192" s="4" t="s">
        <v>6</v>
      </c>
      <c r="H1192" s="4" t="s">
        <v>80</v>
      </c>
      <c r="I1192" s="4" t="s">
        <v>7</v>
      </c>
      <c r="J1192" s="4" t="s">
        <v>528</v>
      </c>
      <c r="K1192" s="4">
        <v>5</v>
      </c>
      <c r="L1192" s="5">
        <v>137.69999999999999</v>
      </c>
      <c r="M1192" s="5">
        <v>688.5</v>
      </c>
      <c r="N1192" s="5">
        <v>450.07</v>
      </c>
      <c r="O1192" s="5">
        <v>238.43</v>
      </c>
      <c r="P1192" s="4">
        <f>--AND(OR(Dashboard!$A$10="All",C1192=Dashboard!$A$10),OR(Dashboard!$A$14="All",F1192=Dashboard!$A$14),OR(Dashboard!$A$18="All",G1192=Dashboard!$A$18),OR(Dashboard!$A$22="All",I1192=Dashboard!$A$22))</f>
        <v>1</v>
      </c>
    </row>
    <row r="1193" spans="1:16" ht="15.75" customHeight="1">
      <c r="A1193" s="4" t="s">
        <v>1399</v>
      </c>
      <c r="B1193" s="6">
        <v>45588</v>
      </c>
      <c r="C1193" s="4">
        <v>2024</v>
      </c>
      <c r="D1193" s="4">
        <v>10</v>
      </c>
      <c r="E1193" s="4" t="s">
        <v>120</v>
      </c>
      <c r="F1193" s="4" t="s">
        <v>5</v>
      </c>
      <c r="G1193" s="4" t="s">
        <v>6</v>
      </c>
      <c r="H1193" s="4" t="s">
        <v>80</v>
      </c>
      <c r="I1193" s="4" t="s">
        <v>13</v>
      </c>
      <c r="J1193" s="4" t="s">
        <v>209</v>
      </c>
      <c r="K1193" s="4">
        <v>9</v>
      </c>
      <c r="L1193" s="5">
        <v>169.56</v>
      </c>
      <c r="M1193" s="5">
        <v>1526.04</v>
      </c>
      <c r="N1193" s="5">
        <v>1048.1199999999999</v>
      </c>
      <c r="O1193" s="5">
        <v>477.92</v>
      </c>
      <c r="P1193" s="4">
        <f>--AND(OR(Dashboard!$A$10="All",C1193=Dashboard!$A$10),OR(Dashboard!$A$14="All",F1193=Dashboard!$A$14),OR(Dashboard!$A$18="All",G1193=Dashboard!$A$18),OR(Dashboard!$A$22="All",I1193=Dashboard!$A$22))</f>
        <v>1</v>
      </c>
    </row>
    <row r="1194" spans="1:16" ht="15.75" customHeight="1">
      <c r="A1194" s="4" t="s">
        <v>1400</v>
      </c>
      <c r="B1194" s="6">
        <v>45517</v>
      </c>
      <c r="C1194" s="4">
        <v>2024</v>
      </c>
      <c r="D1194" s="4">
        <v>8</v>
      </c>
      <c r="E1194" s="4" t="s">
        <v>67</v>
      </c>
      <c r="F1194" s="4" t="s">
        <v>14</v>
      </c>
      <c r="G1194" s="4" t="s">
        <v>9</v>
      </c>
      <c r="H1194" s="4" t="s">
        <v>110</v>
      </c>
      <c r="I1194" s="4" t="s">
        <v>7</v>
      </c>
      <c r="J1194" s="4" t="s">
        <v>216</v>
      </c>
      <c r="K1194" s="4">
        <v>3</v>
      </c>
      <c r="L1194" s="5">
        <v>37.15</v>
      </c>
      <c r="M1194" s="5">
        <v>111.45</v>
      </c>
      <c r="N1194" s="5">
        <v>58.24</v>
      </c>
      <c r="O1194" s="5">
        <v>53.21</v>
      </c>
      <c r="P1194" s="4">
        <f>--AND(OR(Dashboard!$A$10="All",C1194=Dashboard!$A$10),OR(Dashboard!$A$14="All",F1194=Dashboard!$A$14),OR(Dashboard!$A$18="All",G1194=Dashboard!$A$18),OR(Dashboard!$A$22="All",I1194=Dashboard!$A$22))</f>
        <v>1</v>
      </c>
    </row>
    <row r="1195" spans="1:16" ht="15.75" customHeight="1">
      <c r="A1195" s="4" t="s">
        <v>1401</v>
      </c>
      <c r="B1195" s="6">
        <v>45869</v>
      </c>
      <c r="C1195" s="4">
        <v>2025</v>
      </c>
      <c r="D1195" s="4">
        <v>7</v>
      </c>
      <c r="E1195" s="4" t="s">
        <v>63</v>
      </c>
      <c r="F1195" s="4" t="s">
        <v>5</v>
      </c>
      <c r="G1195" s="4" t="s">
        <v>6</v>
      </c>
      <c r="H1195" s="4" t="s">
        <v>136</v>
      </c>
      <c r="I1195" s="4" t="s">
        <v>7</v>
      </c>
      <c r="J1195" s="4" t="s">
        <v>184</v>
      </c>
      <c r="K1195" s="4">
        <v>3</v>
      </c>
      <c r="L1195" s="5">
        <v>201.35</v>
      </c>
      <c r="M1195" s="5">
        <v>604.04999999999995</v>
      </c>
      <c r="N1195" s="5">
        <v>405.46</v>
      </c>
      <c r="O1195" s="5">
        <v>198.59</v>
      </c>
      <c r="P1195" s="4">
        <f>--AND(OR(Dashboard!$A$10="All",C1195=Dashboard!$A$10),OR(Dashboard!$A$14="All",F1195=Dashboard!$A$14),OR(Dashboard!$A$18="All",G1195=Dashboard!$A$18),OR(Dashboard!$A$22="All",I1195=Dashboard!$A$22))</f>
        <v>1</v>
      </c>
    </row>
    <row r="1196" spans="1:16" ht="15.75" customHeight="1">
      <c r="A1196" s="4" t="s">
        <v>1402</v>
      </c>
      <c r="B1196" s="6">
        <v>45617</v>
      </c>
      <c r="C1196" s="4">
        <v>2024</v>
      </c>
      <c r="D1196" s="4">
        <v>11</v>
      </c>
      <c r="E1196" s="4" t="s">
        <v>89</v>
      </c>
      <c r="F1196" s="4" t="s">
        <v>5</v>
      </c>
      <c r="G1196" s="4" t="s">
        <v>12</v>
      </c>
      <c r="H1196" s="4" t="s">
        <v>58</v>
      </c>
      <c r="I1196" s="4" t="s">
        <v>13</v>
      </c>
      <c r="J1196" s="4" t="s">
        <v>362</v>
      </c>
      <c r="K1196" s="4">
        <v>1</v>
      </c>
      <c r="L1196" s="5">
        <v>315.12</v>
      </c>
      <c r="M1196" s="5">
        <v>315.12</v>
      </c>
      <c r="N1196" s="5">
        <v>193.52</v>
      </c>
      <c r="O1196" s="5">
        <v>121.6</v>
      </c>
      <c r="P1196" s="4">
        <f>--AND(OR(Dashboard!$A$10="All",C1196=Dashboard!$A$10),OR(Dashboard!$A$14="All",F1196=Dashboard!$A$14),OR(Dashboard!$A$18="All",G1196=Dashboard!$A$18),OR(Dashboard!$A$22="All",I1196=Dashboard!$A$22))</f>
        <v>1</v>
      </c>
    </row>
    <row r="1197" spans="1:16" ht="15.75" customHeight="1">
      <c r="A1197" s="4" t="s">
        <v>1403</v>
      </c>
      <c r="B1197" s="6">
        <v>45854</v>
      </c>
      <c r="C1197" s="4">
        <v>2025</v>
      </c>
      <c r="D1197" s="4">
        <v>7</v>
      </c>
      <c r="E1197" s="4" t="s">
        <v>63</v>
      </c>
      <c r="F1197" s="4" t="s">
        <v>5</v>
      </c>
      <c r="G1197" s="4" t="s">
        <v>9</v>
      </c>
      <c r="H1197" s="4" t="s">
        <v>35</v>
      </c>
      <c r="I1197" s="4" t="s">
        <v>7</v>
      </c>
      <c r="J1197" s="4" t="s">
        <v>240</v>
      </c>
      <c r="K1197" s="4">
        <v>1</v>
      </c>
      <c r="L1197" s="5">
        <v>36.54</v>
      </c>
      <c r="M1197" s="5">
        <v>36.54</v>
      </c>
      <c r="N1197" s="5">
        <v>18.39</v>
      </c>
      <c r="O1197" s="5">
        <v>18.149999999999999</v>
      </c>
      <c r="P1197" s="4">
        <f>--AND(OR(Dashboard!$A$10="All",C1197=Dashboard!$A$10),OR(Dashboard!$A$14="All",F1197=Dashboard!$A$14),OR(Dashboard!$A$18="All",G1197=Dashboard!$A$18),OR(Dashboard!$A$22="All",I1197=Dashboard!$A$22))</f>
        <v>1</v>
      </c>
    </row>
    <row r="1198" spans="1:16" ht="15.75" customHeight="1">
      <c r="A1198" s="4" t="s">
        <v>1404</v>
      </c>
      <c r="B1198" s="6">
        <v>45451</v>
      </c>
      <c r="C1198" s="4">
        <v>2024</v>
      </c>
      <c r="D1198" s="4">
        <v>6</v>
      </c>
      <c r="E1198" s="4" t="s">
        <v>34</v>
      </c>
      <c r="F1198" s="4" t="s">
        <v>11</v>
      </c>
      <c r="G1198" s="4" t="s">
        <v>6</v>
      </c>
      <c r="H1198" s="4" t="s">
        <v>136</v>
      </c>
      <c r="I1198" s="4" t="s">
        <v>10</v>
      </c>
      <c r="J1198" s="4" t="s">
        <v>118</v>
      </c>
      <c r="K1198" s="4">
        <v>7</v>
      </c>
      <c r="L1198" s="5">
        <v>178.18</v>
      </c>
      <c r="M1198" s="5">
        <v>1247.26</v>
      </c>
      <c r="N1198" s="5">
        <v>790.72</v>
      </c>
      <c r="O1198" s="5">
        <v>456.54</v>
      </c>
      <c r="P1198" s="4">
        <f>--AND(OR(Dashboard!$A$10="All",C1198=Dashboard!$A$10),OR(Dashboard!$A$14="All",F1198=Dashboard!$A$14),OR(Dashboard!$A$18="All",G1198=Dashboard!$A$18),OR(Dashboard!$A$22="All",I1198=Dashboard!$A$22))</f>
        <v>1</v>
      </c>
    </row>
    <row r="1199" spans="1:16" ht="15.75" customHeight="1">
      <c r="A1199" s="4" t="s">
        <v>1405</v>
      </c>
      <c r="B1199" s="6">
        <v>45877</v>
      </c>
      <c r="C1199" s="4">
        <v>2025</v>
      </c>
      <c r="D1199" s="4">
        <v>8</v>
      </c>
      <c r="E1199" s="4" t="s">
        <v>67</v>
      </c>
      <c r="F1199" s="4" t="s">
        <v>8</v>
      </c>
      <c r="G1199" s="4" t="s">
        <v>9</v>
      </c>
      <c r="H1199" s="4" t="s">
        <v>35</v>
      </c>
      <c r="I1199" s="4" t="s">
        <v>10</v>
      </c>
      <c r="J1199" s="4" t="s">
        <v>68</v>
      </c>
      <c r="K1199" s="4">
        <v>3</v>
      </c>
      <c r="L1199" s="5">
        <v>36.64</v>
      </c>
      <c r="M1199" s="5">
        <v>109.92</v>
      </c>
      <c r="N1199" s="5">
        <v>52.63</v>
      </c>
      <c r="O1199" s="5">
        <v>57.29</v>
      </c>
      <c r="P1199" s="4">
        <f>--AND(OR(Dashboard!$A$10="All",C1199=Dashboard!$A$10),OR(Dashboard!$A$14="All",F1199=Dashboard!$A$14),OR(Dashboard!$A$18="All",G1199=Dashboard!$A$18),OR(Dashboard!$A$22="All",I1199=Dashboard!$A$22))</f>
        <v>1</v>
      </c>
    </row>
    <row r="1200" spans="1:16" ht="15.75" customHeight="1">
      <c r="A1200" s="4" t="s">
        <v>1406</v>
      </c>
      <c r="B1200" s="6">
        <v>45487</v>
      </c>
      <c r="C1200" s="4">
        <v>2024</v>
      </c>
      <c r="D1200" s="4">
        <v>7</v>
      </c>
      <c r="E1200" s="4" t="s">
        <v>63</v>
      </c>
      <c r="F1200" s="4" t="s">
        <v>11</v>
      </c>
      <c r="G1200" s="4" t="s">
        <v>6</v>
      </c>
      <c r="H1200" s="4" t="s">
        <v>54</v>
      </c>
      <c r="I1200" s="4" t="s">
        <v>7</v>
      </c>
      <c r="J1200" s="4" t="s">
        <v>297</v>
      </c>
      <c r="K1200" s="4">
        <v>6</v>
      </c>
      <c r="L1200" s="5">
        <v>179.41</v>
      </c>
      <c r="M1200" s="5">
        <v>1076.46</v>
      </c>
      <c r="N1200" s="5">
        <v>743.28</v>
      </c>
      <c r="O1200" s="5">
        <v>333.18</v>
      </c>
      <c r="P1200" s="4">
        <f>--AND(OR(Dashboard!$A$10="All",C1200=Dashboard!$A$10),OR(Dashboard!$A$14="All",F1200=Dashboard!$A$14),OR(Dashboard!$A$18="All",G1200=Dashboard!$A$18),OR(Dashboard!$A$22="All",I1200=Dashboard!$A$22))</f>
        <v>1</v>
      </c>
    </row>
    <row r="1201" spans="1:16" ht="15.75" customHeight="1">
      <c r="A1201" s="4" t="s">
        <v>1407</v>
      </c>
      <c r="B1201" s="6">
        <v>46001</v>
      </c>
      <c r="C1201" s="4">
        <v>2025</v>
      </c>
      <c r="D1201" s="4">
        <v>12</v>
      </c>
      <c r="E1201" s="4" t="s">
        <v>57</v>
      </c>
      <c r="F1201" s="4" t="s">
        <v>14</v>
      </c>
      <c r="G1201" s="4" t="s">
        <v>12</v>
      </c>
      <c r="H1201" s="4" t="s">
        <v>58</v>
      </c>
      <c r="I1201" s="4" t="s">
        <v>7</v>
      </c>
      <c r="J1201" s="4" t="s">
        <v>72</v>
      </c>
      <c r="K1201" s="4">
        <v>1</v>
      </c>
      <c r="L1201" s="5">
        <v>124.68</v>
      </c>
      <c r="M1201" s="5">
        <v>124.68</v>
      </c>
      <c r="N1201" s="5">
        <v>76.53</v>
      </c>
      <c r="O1201" s="5">
        <v>48.15</v>
      </c>
      <c r="P1201" s="4">
        <f>--AND(OR(Dashboard!$A$10="All",C1201=Dashboard!$A$10),OR(Dashboard!$A$14="All",F1201=Dashboard!$A$14),OR(Dashboard!$A$18="All",G1201=Dashboard!$A$18),OR(Dashboard!$A$22="All",I1201=Dashboard!$A$22))</f>
        <v>1</v>
      </c>
    </row>
    <row r="1202" spans="1:16" ht="15.75" customHeight="1">
      <c r="A1202" s="4" t="s">
        <v>1408</v>
      </c>
      <c r="B1202" s="6">
        <v>45905</v>
      </c>
      <c r="C1202" s="4">
        <v>2025</v>
      </c>
      <c r="D1202" s="4">
        <v>9</v>
      </c>
      <c r="E1202" s="4" t="s">
        <v>79</v>
      </c>
      <c r="F1202" s="4" t="s">
        <v>11</v>
      </c>
      <c r="G1202" s="4" t="s">
        <v>12</v>
      </c>
      <c r="H1202" s="4" t="s">
        <v>92</v>
      </c>
      <c r="I1202" s="4" t="s">
        <v>7</v>
      </c>
      <c r="J1202" s="4" t="s">
        <v>230</v>
      </c>
      <c r="K1202" s="4">
        <v>3</v>
      </c>
      <c r="L1202" s="5">
        <v>195.19</v>
      </c>
      <c r="M1202" s="5">
        <v>585.57000000000005</v>
      </c>
      <c r="N1202" s="5">
        <v>346.6</v>
      </c>
      <c r="O1202" s="5">
        <v>238.97</v>
      </c>
      <c r="P1202" s="4">
        <f>--AND(OR(Dashboard!$A$10="All",C1202=Dashboard!$A$10),OR(Dashboard!$A$14="All",F1202=Dashboard!$A$14),OR(Dashboard!$A$18="All",G1202=Dashboard!$A$18),OR(Dashboard!$A$22="All",I1202=Dashboard!$A$22))</f>
        <v>1</v>
      </c>
    </row>
    <row r="1203" spans="1:16" ht="15.75" customHeight="1">
      <c r="A1203" s="4" t="s">
        <v>1409</v>
      </c>
      <c r="B1203" s="6">
        <v>45448</v>
      </c>
      <c r="C1203" s="4">
        <v>2024</v>
      </c>
      <c r="D1203" s="4">
        <v>6</v>
      </c>
      <c r="E1203" s="4" t="s">
        <v>34</v>
      </c>
      <c r="F1203" s="4" t="s">
        <v>5</v>
      </c>
      <c r="G1203" s="4" t="s">
        <v>6</v>
      </c>
      <c r="H1203" s="4" t="s">
        <v>80</v>
      </c>
      <c r="I1203" s="4" t="s">
        <v>7</v>
      </c>
      <c r="J1203" s="4" t="s">
        <v>193</v>
      </c>
      <c r="K1203" s="4">
        <v>8</v>
      </c>
      <c r="L1203" s="5">
        <v>137.22999999999999</v>
      </c>
      <c r="M1203" s="5">
        <v>1097.8399999999999</v>
      </c>
      <c r="N1203" s="5">
        <v>718.87</v>
      </c>
      <c r="O1203" s="5">
        <v>378.97</v>
      </c>
      <c r="P1203" s="4">
        <f>--AND(OR(Dashboard!$A$10="All",C1203=Dashboard!$A$10),OR(Dashboard!$A$14="All",F1203=Dashboard!$A$14),OR(Dashboard!$A$18="All",G1203=Dashboard!$A$18),OR(Dashboard!$A$22="All",I1203=Dashboard!$A$22))</f>
        <v>1</v>
      </c>
    </row>
    <row r="1204" spans="1:16" ht="15.75" customHeight="1">
      <c r="A1204" s="4" t="s">
        <v>1410</v>
      </c>
      <c r="B1204" s="6">
        <v>45460</v>
      </c>
      <c r="C1204" s="4">
        <v>2024</v>
      </c>
      <c r="D1204" s="4">
        <v>6</v>
      </c>
      <c r="E1204" s="4" t="s">
        <v>34</v>
      </c>
      <c r="F1204" s="4" t="s">
        <v>8</v>
      </c>
      <c r="G1204" s="4" t="s">
        <v>9</v>
      </c>
      <c r="H1204" s="4" t="s">
        <v>35</v>
      </c>
      <c r="I1204" s="4" t="s">
        <v>7</v>
      </c>
      <c r="J1204" s="4" t="s">
        <v>249</v>
      </c>
      <c r="K1204" s="4">
        <v>5</v>
      </c>
      <c r="L1204" s="5">
        <v>37.94</v>
      </c>
      <c r="M1204" s="5">
        <v>189.7</v>
      </c>
      <c r="N1204" s="5">
        <v>96.77</v>
      </c>
      <c r="O1204" s="5">
        <v>92.93</v>
      </c>
      <c r="P1204" s="4">
        <f>--AND(OR(Dashboard!$A$10="All",C1204=Dashboard!$A$10),OR(Dashboard!$A$14="All",F1204=Dashboard!$A$14),OR(Dashboard!$A$18="All",G1204=Dashboard!$A$18),OR(Dashboard!$A$22="All",I1204=Dashboard!$A$22))</f>
        <v>1</v>
      </c>
    </row>
    <row r="1205" spans="1:16" ht="15.75" customHeight="1">
      <c r="A1205" s="4" t="s">
        <v>1411</v>
      </c>
      <c r="B1205" s="6">
        <v>45706</v>
      </c>
      <c r="C1205" s="4">
        <v>2025</v>
      </c>
      <c r="D1205" s="4">
        <v>2</v>
      </c>
      <c r="E1205" s="4" t="s">
        <v>70</v>
      </c>
      <c r="F1205" s="4" t="s">
        <v>11</v>
      </c>
      <c r="G1205" s="4" t="s">
        <v>9</v>
      </c>
      <c r="H1205" s="4" t="s">
        <v>64</v>
      </c>
      <c r="I1205" s="4" t="s">
        <v>10</v>
      </c>
      <c r="J1205" s="4" t="s">
        <v>270</v>
      </c>
      <c r="K1205" s="4">
        <v>1</v>
      </c>
      <c r="L1205" s="5">
        <v>23.52</v>
      </c>
      <c r="M1205" s="5">
        <v>23.52</v>
      </c>
      <c r="N1205" s="5">
        <v>11.78</v>
      </c>
      <c r="O1205" s="5">
        <v>11.74</v>
      </c>
      <c r="P1205" s="4">
        <f>--AND(OR(Dashboard!$A$10="All",C1205=Dashboard!$A$10),OR(Dashboard!$A$14="All",F1205=Dashboard!$A$14),OR(Dashboard!$A$18="All",G1205=Dashboard!$A$18),OR(Dashboard!$A$22="All",I1205=Dashboard!$A$22))</f>
        <v>1</v>
      </c>
    </row>
    <row r="1206" spans="1:16" ht="15.75" customHeight="1">
      <c r="A1206" s="4" t="s">
        <v>1412</v>
      </c>
      <c r="B1206" s="6">
        <v>45685</v>
      </c>
      <c r="C1206" s="4">
        <v>2025</v>
      </c>
      <c r="D1206" s="4">
        <v>1</v>
      </c>
      <c r="E1206" s="4" t="s">
        <v>30</v>
      </c>
      <c r="F1206" s="4" t="s">
        <v>14</v>
      </c>
      <c r="G1206" s="4" t="s">
        <v>6</v>
      </c>
      <c r="H1206" s="4" t="s">
        <v>114</v>
      </c>
      <c r="I1206" s="4" t="s">
        <v>7</v>
      </c>
      <c r="J1206" s="4" t="s">
        <v>184</v>
      </c>
      <c r="K1206" s="4">
        <v>4</v>
      </c>
      <c r="L1206" s="5">
        <v>147.11000000000001</v>
      </c>
      <c r="M1206" s="5">
        <v>588.44000000000005</v>
      </c>
      <c r="N1206" s="5">
        <v>387.13</v>
      </c>
      <c r="O1206" s="5">
        <v>201.31</v>
      </c>
      <c r="P1206" s="4">
        <f>--AND(OR(Dashboard!$A$10="All",C1206=Dashboard!$A$10),OR(Dashboard!$A$14="All",F1206=Dashboard!$A$14),OR(Dashboard!$A$18="All",G1206=Dashboard!$A$18),OR(Dashboard!$A$22="All",I1206=Dashboard!$A$22))</f>
        <v>1</v>
      </c>
    </row>
    <row r="1207" spans="1:16" ht="15.75" customHeight="1">
      <c r="A1207" s="4" t="s">
        <v>1413</v>
      </c>
      <c r="B1207" s="6">
        <v>45879</v>
      </c>
      <c r="C1207" s="4">
        <v>2025</v>
      </c>
      <c r="D1207" s="4">
        <v>8</v>
      </c>
      <c r="E1207" s="4" t="s">
        <v>67</v>
      </c>
      <c r="F1207" s="4" t="s">
        <v>11</v>
      </c>
      <c r="G1207" s="4" t="s">
        <v>9</v>
      </c>
      <c r="H1207" s="4" t="s">
        <v>35</v>
      </c>
      <c r="I1207" s="4" t="s">
        <v>7</v>
      </c>
      <c r="J1207" s="4" t="s">
        <v>37</v>
      </c>
      <c r="K1207" s="4">
        <v>2</v>
      </c>
      <c r="L1207" s="5">
        <v>36.130000000000003</v>
      </c>
      <c r="M1207" s="5">
        <v>72.260000000000005</v>
      </c>
      <c r="N1207" s="5">
        <v>35.35</v>
      </c>
      <c r="O1207" s="5">
        <v>36.909999999999997</v>
      </c>
      <c r="P1207" s="4">
        <f>--AND(OR(Dashboard!$A$10="All",C1207=Dashboard!$A$10),OR(Dashboard!$A$14="All",F1207=Dashboard!$A$14),OR(Dashboard!$A$18="All",G1207=Dashboard!$A$18),OR(Dashboard!$A$22="All",I1207=Dashboard!$A$22))</f>
        <v>1</v>
      </c>
    </row>
    <row r="1208" spans="1:16" ht="15.75" customHeight="1">
      <c r="A1208" s="4" t="s">
        <v>1414</v>
      </c>
      <c r="B1208" s="6">
        <v>45324</v>
      </c>
      <c r="C1208" s="4">
        <v>2024</v>
      </c>
      <c r="D1208" s="4">
        <v>2</v>
      </c>
      <c r="E1208" s="4" t="s">
        <v>70</v>
      </c>
      <c r="F1208" s="4" t="s">
        <v>8</v>
      </c>
      <c r="G1208" s="4" t="s">
        <v>12</v>
      </c>
      <c r="H1208" s="4" t="s">
        <v>127</v>
      </c>
      <c r="I1208" s="4" t="s">
        <v>7</v>
      </c>
      <c r="J1208" s="4" t="s">
        <v>532</v>
      </c>
      <c r="K1208" s="4">
        <v>6</v>
      </c>
      <c r="L1208" s="5">
        <v>303.64</v>
      </c>
      <c r="M1208" s="5">
        <v>1821.84</v>
      </c>
      <c r="N1208" s="5">
        <v>1044.57</v>
      </c>
      <c r="O1208" s="5">
        <v>777.27</v>
      </c>
      <c r="P1208" s="4">
        <f>--AND(OR(Dashboard!$A$10="All",C1208=Dashboard!$A$10),OR(Dashboard!$A$14="All",F1208=Dashboard!$A$14),OR(Dashboard!$A$18="All",G1208=Dashboard!$A$18),OR(Dashboard!$A$22="All",I1208=Dashboard!$A$22))</f>
        <v>1</v>
      </c>
    </row>
    <row r="1209" spans="1:16" ht="15.75" customHeight="1">
      <c r="A1209" s="4" t="s">
        <v>1415</v>
      </c>
      <c r="B1209" s="6">
        <v>45338</v>
      </c>
      <c r="C1209" s="4">
        <v>2024</v>
      </c>
      <c r="D1209" s="4">
        <v>2</v>
      </c>
      <c r="E1209" s="4" t="s">
        <v>70</v>
      </c>
      <c r="F1209" s="4" t="s">
        <v>5</v>
      </c>
      <c r="G1209" s="4" t="s">
        <v>12</v>
      </c>
      <c r="H1209" s="4" t="s">
        <v>92</v>
      </c>
      <c r="I1209" s="4" t="s">
        <v>13</v>
      </c>
      <c r="J1209" s="4" t="s">
        <v>346</v>
      </c>
      <c r="K1209" s="4">
        <v>1</v>
      </c>
      <c r="L1209" s="5">
        <v>120.31</v>
      </c>
      <c r="M1209" s="5">
        <v>120.31</v>
      </c>
      <c r="N1209" s="5">
        <v>69.72</v>
      </c>
      <c r="O1209" s="5">
        <v>50.59</v>
      </c>
      <c r="P1209" s="4">
        <f>--AND(OR(Dashboard!$A$10="All",C1209=Dashboard!$A$10),OR(Dashboard!$A$14="All",F1209=Dashboard!$A$14),OR(Dashboard!$A$18="All",G1209=Dashboard!$A$18),OR(Dashboard!$A$22="All",I1209=Dashboard!$A$22))</f>
        <v>1</v>
      </c>
    </row>
    <row r="1210" spans="1:16" ht="15.75" customHeight="1">
      <c r="A1210" s="4" t="s">
        <v>1416</v>
      </c>
      <c r="B1210" s="6">
        <v>45754</v>
      </c>
      <c r="C1210" s="4">
        <v>2025</v>
      </c>
      <c r="D1210" s="4">
        <v>4</v>
      </c>
      <c r="E1210" s="4" t="s">
        <v>106</v>
      </c>
      <c r="F1210" s="4" t="s">
        <v>5</v>
      </c>
      <c r="G1210" s="4" t="s">
        <v>6</v>
      </c>
      <c r="H1210" s="4" t="s">
        <v>80</v>
      </c>
      <c r="I1210" s="4" t="s">
        <v>13</v>
      </c>
      <c r="J1210" s="4" t="s">
        <v>299</v>
      </c>
      <c r="K1210" s="4">
        <v>1</v>
      </c>
      <c r="L1210" s="5">
        <v>94.73</v>
      </c>
      <c r="M1210" s="5">
        <v>94.73</v>
      </c>
      <c r="N1210" s="5">
        <v>62.67</v>
      </c>
      <c r="O1210" s="5">
        <v>32.06</v>
      </c>
      <c r="P1210" s="4">
        <f>--AND(OR(Dashboard!$A$10="All",C1210=Dashboard!$A$10),OR(Dashboard!$A$14="All",F1210=Dashboard!$A$14),OR(Dashboard!$A$18="All",G1210=Dashboard!$A$18),OR(Dashboard!$A$22="All",I1210=Dashboard!$A$22))</f>
        <v>1</v>
      </c>
    </row>
    <row r="1211" spans="1:16" ht="15.75" customHeight="1">
      <c r="A1211" s="4" t="s">
        <v>1417</v>
      </c>
      <c r="B1211" s="6">
        <v>45649</v>
      </c>
      <c r="C1211" s="4">
        <v>2024</v>
      </c>
      <c r="D1211" s="4">
        <v>12</v>
      </c>
      <c r="E1211" s="4" t="s">
        <v>57</v>
      </c>
      <c r="F1211" s="4" t="s">
        <v>8</v>
      </c>
      <c r="G1211" s="4" t="s">
        <v>12</v>
      </c>
      <c r="H1211" s="4" t="s">
        <v>92</v>
      </c>
      <c r="I1211" s="4" t="s">
        <v>7</v>
      </c>
      <c r="J1211" s="4" t="s">
        <v>111</v>
      </c>
      <c r="K1211" s="4">
        <v>3</v>
      </c>
      <c r="L1211" s="5">
        <v>152.41</v>
      </c>
      <c r="M1211" s="5">
        <v>457.23</v>
      </c>
      <c r="N1211" s="5">
        <v>268.05</v>
      </c>
      <c r="O1211" s="5">
        <v>189.18</v>
      </c>
      <c r="P1211" s="4">
        <f>--AND(OR(Dashboard!$A$10="All",C1211=Dashboard!$A$10),OR(Dashboard!$A$14="All",F1211=Dashboard!$A$14),OR(Dashboard!$A$18="All",G1211=Dashboard!$A$18),OR(Dashboard!$A$22="All",I1211=Dashboard!$A$22))</f>
        <v>1</v>
      </c>
    </row>
    <row r="1212" spans="1:16" ht="15.75" customHeight="1">
      <c r="A1212" s="4" t="s">
        <v>1418</v>
      </c>
      <c r="B1212" s="6">
        <v>45549</v>
      </c>
      <c r="C1212" s="4">
        <v>2024</v>
      </c>
      <c r="D1212" s="4">
        <v>9</v>
      </c>
      <c r="E1212" s="4" t="s">
        <v>79</v>
      </c>
      <c r="F1212" s="4" t="s">
        <v>14</v>
      </c>
      <c r="G1212" s="4" t="s">
        <v>12</v>
      </c>
      <c r="H1212" s="4" t="s">
        <v>127</v>
      </c>
      <c r="I1212" s="4" t="s">
        <v>10</v>
      </c>
      <c r="J1212" s="4" t="s">
        <v>261</v>
      </c>
      <c r="K1212" s="4">
        <v>4</v>
      </c>
      <c r="L1212" s="5">
        <v>130.38</v>
      </c>
      <c r="M1212" s="5">
        <v>521.52</v>
      </c>
      <c r="N1212" s="5">
        <v>308.54000000000002</v>
      </c>
      <c r="O1212" s="5">
        <v>212.98</v>
      </c>
      <c r="P1212" s="4">
        <f>--AND(OR(Dashboard!$A$10="All",C1212=Dashboard!$A$10),OR(Dashboard!$A$14="All",F1212=Dashboard!$A$14),OR(Dashboard!$A$18="All",G1212=Dashboard!$A$18),OR(Dashboard!$A$22="All",I1212=Dashboard!$A$22))</f>
        <v>1</v>
      </c>
    </row>
    <row r="1213" spans="1:16" ht="15.75" customHeight="1">
      <c r="A1213" s="4" t="s">
        <v>1419</v>
      </c>
      <c r="B1213" s="6">
        <v>45759</v>
      </c>
      <c r="C1213" s="4">
        <v>2025</v>
      </c>
      <c r="D1213" s="4">
        <v>4</v>
      </c>
      <c r="E1213" s="4" t="s">
        <v>106</v>
      </c>
      <c r="F1213" s="4" t="s">
        <v>11</v>
      </c>
      <c r="G1213" s="4" t="s">
        <v>6</v>
      </c>
      <c r="H1213" s="4" t="s">
        <v>80</v>
      </c>
      <c r="I1213" s="4" t="s">
        <v>7</v>
      </c>
      <c r="J1213" s="4" t="s">
        <v>118</v>
      </c>
      <c r="K1213" s="4">
        <v>4</v>
      </c>
      <c r="L1213" s="5">
        <v>193.5</v>
      </c>
      <c r="M1213" s="5">
        <v>774</v>
      </c>
      <c r="N1213" s="5">
        <v>514.88</v>
      </c>
      <c r="O1213" s="5">
        <v>259.12</v>
      </c>
      <c r="P1213" s="4">
        <f>--AND(OR(Dashboard!$A$10="All",C1213=Dashboard!$A$10),OR(Dashboard!$A$14="All",F1213=Dashboard!$A$14),OR(Dashboard!$A$18="All",G1213=Dashboard!$A$18),OR(Dashboard!$A$22="All",I1213=Dashboard!$A$22))</f>
        <v>1</v>
      </c>
    </row>
    <row r="1214" spans="1:16" ht="15.75" customHeight="1">
      <c r="A1214" s="4" t="s">
        <v>1420</v>
      </c>
      <c r="B1214" s="6">
        <v>45298</v>
      </c>
      <c r="C1214" s="4">
        <v>2024</v>
      </c>
      <c r="D1214" s="4">
        <v>1</v>
      </c>
      <c r="E1214" s="4" t="s">
        <v>30</v>
      </c>
      <c r="F1214" s="4" t="s">
        <v>8</v>
      </c>
      <c r="G1214" s="4" t="s">
        <v>12</v>
      </c>
      <c r="H1214" s="4" t="s">
        <v>127</v>
      </c>
      <c r="I1214" s="4" t="s">
        <v>10</v>
      </c>
      <c r="J1214" s="4" t="s">
        <v>336</v>
      </c>
      <c r="K1214" s="4">
        <v>12</v>
      </c>
      <c r="L1214" s="5">
        <v>258.52</v>
      </c>
      <c r="M1214" s="5">
        <v>3102.24</v>
      </c>
      <c r="N1214" s="5">
        <v>1834.84</v>
      </c>
      <c r="O1214" s="5">
        <v>1267.4000000000001</v>
      </c>
      <c r="P1214" s="4">
        <f>--AND(OR(Dashboard!$A$10="All",C1214=Dashboard!$A$10),OR(Dashboard!$A$14="All",F1214=Dashboard!$A$14),OR(Dashboard!$A$18="All",G1214=Dashboard!$A$18),OR(Dashboard!$A$22="All",I1214=Dashboard!$A$22))</f>
        <v>1</v>
      </c>
    </row>
    <row r="1215" spans="1:16" ht="15.75" customHeight="1">
      <c r="A1215" s="4" t="s">
        <v>1421</v>
      </c>
      <c r="B1215" s="6">
        <v>45487</v>
      </c>
      <c r="C1215" s="4">
        <v>2024</v>
      </c>
      <c r="D1215" s="4">
        <v>7</v>
      </c>
      <c r="E1215" s="4" t="s">
        <v>63</v>
      </c>
      <c r="F1215" s="4" t="s">
        <v>5</v>
      </c>
      <c r="G1215" s="4" t="s">
        <v>12</v>
      </c>
      <c r="H1215" s="4" t="s">
        <v>58</v>
      </c>
      <c r="I1215" s="4" t="s">
        <v>10</v>
      </c>
      <c r="J1215" s="4" t="s">
        <v>131</v>
      </c>
      <c r="K1215" s="4">
        <v>2</v>
      </c>
      <c r="L1215" s="5">
        <v>150.69999999999999</v>
      </c>
      <c r="M1215" s="5">
        <v>301.39999999999998</v>
      </c>
      <c r="N1215" s="5">
        <v>186.77</v>
      </c>
      <c r="O1215" s="5">
        <v>114.63</v>
      </c>
      <c r="P1215" s="4">
        <f>--AND(OR(Dashboard!$A$10="All",C1215=Dashboard!$A$10),OR(Dashboard!$A$14="All",F1215=Dashboard!$A$14),OR(Dashboard!$A$18="All",G1215=Dashboard!$A$18),OR(Dashboard!$A$22="All",I1215=Dashboard!$A$22))</f>
        <v>1</v>
      </c>
    </row>
    <row r="1216" spans="1:16" ht="15.75" customHeight="1">
      <c r="A1216" s="4" t="s">
        <v>1422</v>
      </c>
      <c r="B1216" s="6">
        <v>45686</v>
      </c>
      <c r="C1216" s="4">
        <v>2025</v>
      </c>
      <c r="D1216" s="4">
        <v>1</v>
      </c>
      <c r="E1216" s="4" t="s">
        <v>30</v>
      </c>
      <c r="F1216" s="4" t="s">
        <v>8</v>
      </c>
      <c r="G1216" s="4" t="s">
        <v>6</v>
      </c>
      <c r="H1216" s="4" t="s">
        <v>114</v>
      </c>
      <c r="I1216" s="4" t="s">
        <v>7</v>
      </c>
      <c r="J1216" s="4" t="s">
        <v>230</v>
      </c>
      <c r="K1216" s="4">
        <v>2</v>
      </c>
      <c r="L1216" s="5">
        <v>111.96</v>
      </c>
      <c r="M1216" s="5">
        <v>223.92</v>
      </c>
      <c r="N1216" s="5">
        <v>146.72999999999999</v>
      </c>
      <c r="O1216" s="5">
        <v>77.19</v>
      </c>
      <c r="P1216" s="4">
        <f>--AND(OR(Dashboard!$A$10="All",C1216=Dashboard!$A$10),OR(Dashboard!$A$14="All",F1216=Dashboard!$A$14),OR(Dashboard!$A$18="All",G1216=Dashboard!$A$18),OR(Dashboard!$A$22="All",I1216=Dashboard!$A$22))</f>
        <v>1</v>
      </c>
    </row>
    <row r="1217" spans="1:16" ht="15.75" customHeight="1">
      <c r="A1217" s="4" t="s">
        <v>1423</v>
      </c>
      <c r="B1217" s="6">
        <v>45744</v>
      </c>
      <c r="C1217" s="4">
        <v>2025</v>
      </c>
      <c r="D1217" s="4">
        <v>3</v>
      </c>
      <c r="E1217" s="4" t="s">
        <v>100</v>
      </c>
      <c r="F1217" s="4" t="s">
        <v>8</v>
      </c>
      <c r="G1217" s="4" t="s">
        <v>6</v>
      </c>
      <c r="H1217" s="4" t="s">
        <v>54</v>
      </c>
      <c r="I1217" s="4" t="s">
        <v>13</v>
      </c>
      <c r="J1217" s="4" t="s">
        <v>218</v>
      </c>
      <c r="K1217" s="4">
        <v>7</v>
      </c>
      <c r="L1217" s="5">
        <v>130.19999999999999</v>
      </c>
      <c r="M1217" s="5">
        <v>911.4</v>
      </c>
      <c r="N1217" s="5">
        <v>618.23</v>
      </c>
      <c r="O1217" s="5">
        <v>293.17</v>
      </c>
      <c r="P1217" s="4">
        <f>--AND(OR(Dashboard!$A$10="All",C1217=Dashboard!$A$10),OR(Dashboard!$A$14="All",F1217=Dashboard!$A$14),OR(Dashboard!$A$18="All",G1217=Dashboard!$A$18),OR(Dashboard!$A$22="All",I1217=Dashboard!$A$22))</f>
        <v>1</v>
      </c>
    </row>
    <row r="1218" spans="1:16" ht="15.75" customHeight="1">
      <c r="A1218" s="4" t="s">
        <v>1424</v>
      </c>
      <c r="B1218" s="6">
        <v>45432</v>
      </c>
      <c r="C1218" s="4">
        <v>2024</v>
      </c>
      <c r="D1218" s="4">
        <v>5</v>
      </c>
      <c r="E1218" s="4" t="s">
        <v>108</v>
      </c>
      <c r="F1218" s="4" t="s">
        <v>11</v>
      </c>
      <c r="G1218" s="4" t="s">
        <v>9</v>
      </c>
      <c r="H1218" s="4" t="s">
        <v>35</v>
      </c>
      <c r="I1218" s="4" t="s">
        <v>7</v>
      </c>
      <c r="J1218" s="4" t="s">
        <v>189</v>
      </c>
      <c r="K1218" s="4">
        <v>11</v>
      </c>
      <c r="L1218" s="5">
        <v>58.26</v>
      </c>
      <c r="M1218" s="5">
        <v>640.86</v>
      </c>
      <c r="N1218" s="5">
        <v>317.81</v>
      </c>
      <c r="O1218" s="5">
        <v>323.05</v>
      </c>
      <c r="P1218" s="4">
        <f>--AND(OR(Dashboard!$A$10="All",C1218=Dashboard!$A$10),OR(Dashboard!$A$14="All",F1218=Dashboard!$A$14),OR(Dashboard!$A$18="All",G1218=Dashboard!$A$18),OR(Dashboard!$A$22="All",I1218=Dashboard!$A$22))</f>
        <v>1</v>
      </c>
    </row>
    <row r="1219" spans="1:16" ht="15.75" customHeight="1">
      <c r="A1219" s="4" t="s">
        <v>1425</v>
      </c>
      <c r="B1219" s="6">
        <v>45516</v>
      </c>
      <c r="C1219" s="4">
        <v>2024</v>
      </c>
      <c r="D1219" s="4">
        <v>8</v>
      </c>
      <c r="E1219" s="4" t="s">
        <v>67</v>
      </c>
      <c r="F1219" s="4" t="s">
        <v>8</v>
      </c>
      <c r="G1219" s="4" t="s">
        <v>12</v>
      </c>
      <c r="H1219" s="4" t="s">
        <v>92</v>
      </c>
      <c r="I1219" s="4" t="s">
        <v>7</v>
      </c>
      <c r="J1219" s="4" t="s">
        <v>134</v>
      </c>
      <c r="K1219" s="4">
        <v>1</v>
      </c>
      <c r="L1219" s="5">
        <v>145.29</v>
      </c>
      <c r="M1219" s="5">
        <v>145.29</v>
      </c>
      <c r="N1219" s="5">
        <v>88.83</v>
      </c>
      <c r="O1219" s="5">
        <v>56.46</v>
      </c>
      <c r="P1219" s="4">
        <f>--AND(OR(Dashboard!$A$10="All",C1219=Dashboard!$A$10),OR(Dashboard!$A$14="All",F1219=Dashboard!$A$14),OR(Dashboard!$A$18="All",G1219=Dashboard!$A$18),OR(Dashboard!$A$22="All",I1219=Dashboard!$A$22))</f>
        <v>1</v>
      </c>
    </row>
    <row r="1220" spans="1:16" ht="15.75" customHeight="1">
      <c r="A1220" s="4" t="s">
        <v>1426</v>
      </c>
      <c r="B1220" s="6">
        <v>45818</v>
      </c>
      <c r="C1220" s="4">
        <v>2025</v>
      </c>
      <c r="D1220" s="4">
        <v>6</v>
      </c>
      <c r="E1220" s="4" t="s">
        <v>34</v>
      </c>
      <c r="F1220" s="4" t="s">
        <v>5</v>
      </c>
      <c r="G1220" s="4" t="s">
        <v>12</v>
      </c>
      <c r="H1220" s="4" t="s">
        <v>58</v>
      </c>
      <c r="I1220" s="4" t="s">
        <v>7</v>
      </c>
      <c r="J1220" s="4" t="s">
        <v>333</v>
      </c>
      <c r="K1220" s="4">
        <v>2</v>
      </c>
      <c r="L1220" s="5">
        <v>298.91000000000003</v>
      </c>
      <c r="M1220" s="5">
        <v>597.82000000000005</v>
      </c>
      <c r="N1220" s="5">
        <v>346.74</v>
      </c>
      <c r="O1220" s="5">
        <v>251.08</v>
      </c>
      <c r="P1220" s="4">
        <f>--AND(OR(Dashboard!$A$10="All",C1220=Dashboard!$A$10),OR(Dashboard!$A$14="All",F1220=Dashboard!$A$14),OR(Dashboard!$A$18="All",G1220=Dashboard!$A$18),OR(Dashboard!$A$22="All",I1220=Dashboard!$A$22))</f>
        <v>1</v>
      </c>
    </row>
    <row r="1221" spans="1:16" ht="15.75" customHeight="1">
      <c r="A1221" s="4" t="s">
        <v>1427</v>
      </c>
      <c r="B1221" s="6">
        <v>45805</v>
      </c>
      <c r="C1221" s="4">
        <v>2025</v>
      </c>
      <c r="D1221" s="4">
        <v>5</v>
      </c>
      <c r="E1221" s="4" t="s">
        <v>108</v>
      </c>
      <c r="F1221" s="4" t="s">
        <v>5</v>
      </c>
      <c r="G1221" s="4" t="s">
        <v>9</v>
      </c>
      <c r="H1221" s="4" t="s">
        <v>64</v>
      </c>
      <c r="I1221" s="4" t="s">
        <v>7</v>
      </c>
      <c r="J1221" s="4" t="s">
        <v>393</v>
      </c>
      <c r="K1221" s="4">
        <v>1</v>
      </c>
      <c r="L1221" s="5">
        <v>44.89</v>
      </c>
      <c r="M1221" s="5">
        <v>44.89</v>
      </c>
      <c r="N1221" s="5">
        <v>21.48</v>
      </c>
      <c r="O1221" s="5">
        <v>23.41</v>
      </c>
      <c r="P1221" s="4">
        <f>--AND(OR(Dashboard!$A$10="All",C1221=Dashboard!$A$10),OR(Dashboard!$A$14="All",F1221=Dashboard!$A$14),OR(Dashboard!$A$18="All",G1221=Dashboard!$A$18),OR(Dashboard!$A$22="All",I1221=Dashboard!$A$22))</f>
        <v>1</v>
      </c>
    </row>
    <row r="1222" spans="1:16" ht="15.75" customHeight="1">
      <c r="A1222" s="4" t="s">
        <v>1428</v>
      </c>
      <c r="B1222" s="6">
        <v>45740</v>
      </c>
      <c r="C1222" s="4">
        <v>2025</v>
      </c>
      <c r="D1222" s="4">
        <v>3</v>
      </c>
      <c r="E1222" s="4" t="s">
        <v>100</v>
      </c>
      <c r="F1222" s="4" t="s">
        <v>5</v>
      </c>
      <c r="G1222" s="4" t="s">
        <v>12</v>
      </c>
      <c r="H1222" s="4" t="s">
        <v>86</v>
      </c>
      <c r="I1222" s="4" t="s">
        <v>7</v>
      </c>
      <c r="J1222" s="4" t="s">
        <v>371</v>
      </c>
      <c r="K1222" s="4">
        <v>2</v>
      </c>
      <c r="L1222" s="5">
        <v>250.17</v>
      </c>
      <c r="M1222" s="5">
        <v>500.34</v>
      </c>
      <c r="N1222" s="5">
        <v>299.83999999999997</v>
      </c>
      <c r="O1222" s="5">
        <v>200.5</v>
      </c>
      <c r="P1222" s="4">
        <f>--AND(OR(Dashboard!$A$10="All",C1222=Dashboard!$A$10),OR(Dashboard!$A$14="All",F1222=Dashboard!$A$14),OR(Dashboard!$A$18="All",G1222=Dashboard!$A$18),OR(Dashboard!$A$22="All",I1222=Dashboard!$A$22))</f>
        <v>1</v>
      </c>
    </row>
    <row r="1223" spans="1:16" ht="15.75" customHeight="1">
      <c r="A1223" s="4" t="s">
        <v>1429</v>
      </c>
      <c r="B1223" s="6">
        <v>45636</v>
      </c>
      <c r="C1223" s="4">
        <v>2024</v>
      </c>
      <c r="D1223" s="4">
        <v>12</v>
      </c>
      <c r="E1223" s="4" t="s">
        <v>57</v>
      </c>
      <c r="F1223" s="4" t="s">
        <v>8</v>
      </c>
      <c r="G1223" s="4" t="s">
        <v>12</v>
      </c>
      <c r="H1223" s="4" t="s">
        <v>86</v>
      </c>
      <c r="I1223" s="4" t="s">
        <v>7</v>
      </c>
      <c r="J1223" s="4" t="s">
        <v>125</v>
      </c>
      <c r="K1223" s="4">
        <v>7</v>
      </c>
      <c r="L1223" s="5">
        <v>205.8</v>
      </c>
      <c r="M1223" s="5">
        <v>1440.6</v>
      </c>
      <c r="N1223" s="5">
        <v>890.76</v>
      </c>
      <c r="O1223" s="5">
        <v>549.84</v>
      </c>
      <c r="P1223" s="4">
        <f>--AND(OR(Dashboard!$A$10="All",C1223=Dashboard!$A$10),OR(Dashboard!$A$14="All",F1223=Dashboard!$A$14),OR(Dashboard!$A$18="All",G1223=Dashboard!$A$18),OR(Dashboard!$A$22="All",I1223=Dashboard!$A$22))</f>
        <v>1</v>
      </c>
    </row>
    <row r="1224" spans="1:16" ht="15.75" customHeight="1">
      <c r="A1224" s="4" t="s">
        <v>1430</v>
      </c>
      <c r="B1224" s="6">
        <v>45518</v>
      </c>
      <c r="C1224" s="4">
        <v>2024</v>
      </c>
      <c r="D1224" s="4">
        <v>8</v>
      </c>
      <c r="E1224" s="4" t="s">
        <v>67</v>
      </c>
      <c r="F1224" s="4" t="s">
        <v>8</v>
      </c>
      <c r="G1224" s="4" t="s">
        <v>12</v>
      </c>
      <c r="H1224" s="4" t="s">
        <v>92</v>
      </c>
      <c r="I1224" s="4" t="s">
        <v>13</v>
      </c>
      <c r="J1224" s="4" t="s">
        <v>81</v>
      </c>
      <c r="K1224" s="4">
        <v>7</v>
      </c>
      <c r="L1224" s="5">
        <v>320.97000000000003</v>
      </c>
      <c r="M1224" s="5">
        <v>2246.79</v>
      </c>
      <c r="N1224" s="5">
        <v>1322.88</v>
      </c>
      <c r="O1224" s="5">
        <v>923.91</v>
      </c>
      <c r="P1224" s="4">
        <f>--AND(OR(Dashboard!$A$10="All",C1224=Dashboard!$A$10),OR(Dashboard!$A$14="All",F1224=Dashboard!$A$14),OR(Dashboard!$A$18="All",G1224=Dashboard!$A$18),OR(Dashboard!$A$22="All",I1224=Dashboard!$A$22))</f>
        <v>1</v>
      </c>
    </row>
    <row r="1225" spans="1:16" ht="15.75" customHeight="1">
      <c r="A1225" s="4" t="s">
        <v>1431</v>
      </c>
      <c r="B1225" s="6">
        <v>45687</v>
      </c>
      <c r="C1225" s="4">
        <v>2025</v>
      </c>
      <c r="D1225" s="4">
        <v>1</v>
      </c>
      <c r="E1225" s="4" t="s">
        <v>30</v>
      </c>
      <c r="F1225" s="4" t="s">
        <v>8</v>
      </c>
      <c r="G1225" s="4" t="s">
        <v>6</v>
      </c>
      <c r="H1225" s="4" t="s">
        <v>80</v>
      </c>
      <c r="I1225" s="4" t="s">
        <v>7</v>
      </c>
      <c r="J1225" s="4" t="s">
        <v>344</v>
      </c>
      <c r="K1225" s="4">
        <v>7</v>
      </c>
      <c r="L1225" s="5">
        <v>210.39</v>
      </c>
      <c r="M1225" s="5">
        <v>1472.73</v>
      </c>
      <c r="N1225" s="5">
        <v>961.52</v>
      </c>
      <c r="O1225" s="5">
        <v>511.21</v>
      </c>
      <c r="P1225" s="4">
        <f>--AND(OR(Dashboard!$A$10="All",C1225=Dashboard!$A$10),OR(Dashboard!$A$14="All",F1225=Dashboard!$A$14),OR(Dashboard!$A$18="All",G1225=Dashboard!$A$18),OR(Dashboard!$A$22="All",I1225=Dashboard!$A$22))</f>
        <v>1</v>
      </c>
    </row>
    <row r="1226" spans="1:16" ht="15.75" customHeight="1">
      <c r="A1226" s="4" t="s">
        <v>1432</v>
      </c>
      <c r="B1226" s="6">
        <v>45503</v>
      </c>
      <c r="C1226" s="4">
        <v>2024</v>
      </c>
      <c r="D1226" s="4">
        <v>7</v>
      </c>
      <c r="E1226" s="4" t="s">
        <v>63</v>
      </c>
      <c r="F1226" s="4" t="s">
        <v>11</v>
      </c>
      <c r="G1226" s="4" t="s">
        <v>9</v>
      </c>
      <c r="H1226" s="4" t="s">
        <v>71</v>
      </c>
      <c r="I1226" s="4" t="s">
        <v>10</v>
      </c>
      <c r="J1226" s="4" t="s">
        <v>285</v>
      </c>
      <c r="K1226" s="4">
        <v>1</v>
      </c>
      <c r="L1226" s="5">
        <v>47.84</v>
      </c>
      <c r="M1226" s="5">
        <v>47.84</v>
      </c>
      <c r="N1226" s="5">
        <v>22.88</v>
      </c>
      <c r="O1226" s="5">
        <v>24.96</v>
      </c>
      <c r="P1226" s="4">
        <f>--AND(OR(Dashboard!$A$10="All",C1226=Dashboard!$A$10),OR(Dashboard!$A$14="All",F1226=Dashboard!$A$14),OR(Dashboard!$A$18="All",G1226=Dashboard!$A$18),OR(Dashboard!$A$22="All",I1226=Dashboard!$A$22))</f>
        <v>1</v>
      </c>
    </row>
    <row r="1227" spans="1:16" ht="15.75" customHeight="1">
      <c r="A1227" s="4" t="s">
        <v>1433</v>
      </c>
      <c r="B1227" s="6">
        <v>45775</v>
      </c>
      <c r="C1227" s="4">
        <v>2025</v>
      </c>
      <c r="D1227" s="4">
        <v>4</v>
      </c>
      <c r="E1227" s="4" t="s">
        <v>106</v>
      </c>
      <c r="F1227" s="4" t="s">
        <v>5</v>
      </c>
      <c r="G1227" s="4" t="s">
        <v>12</v>
      </c>
      <c r="H1227" s="4" t="s">
        <v>86</v>
      </c>
      <c r="I1227" s="4" t="s">
        <v>10</v>
      </c>
      <c r="J1227" s="4" t="s">
        <v>184</v>
      </c>
      <c r="K1227" s="4">
        <v>2</v>
      </c>
      <c r="L1227" s="5">
        <v>190.14</v>
      </c>
      <c r="M1227" s="5">
        <v>380.28</v>
      </c>
      <c r="N1227" s="5">
        <v>218.22</v>
      </c>
      <c r="O1227" s="5">
        <v>162.06</v>
      </c>
      <c r="P1227" s="4">
        <f>--AND(OR(Dashboard!$A$10="All",C1227=Dashboard!$A$10),OR(Dashboard!$A$14="All",F1227=Dashboard!$A$14),OR(Dashboard!$A$18="All",G1227=Dashboard!$A$18),OR(Dashboard!$A$22="All",I1227=Dashboard!$A$22))</f>
        <v>1</v>
      </c>
    </row>
    <row r="1228" spans="1:16" ht="15.75" customHeight="1">
      <c r="A1228" s="4" t="s">
        <v>1434</v>
      </c>
      <c r="B1228" s="6">
        <v>45798</v>
      </c>
      <c r="C1228" s="4">
        <v>2025</v>
      </c>
      <c r="D1228" s="4">
        <v>5</v>
      </c>
      <c r="E1228" s="4" t="s">
        <v>108</v>
      </c>
      <c r="F1228" s="4" t="s">
        <v>5</v>
      </c>
      <c r="G1228" s="4" t="s">
        <v>9</v>
      </c>
      <c r="H1228" s="4" t="s">
        <v>64</v>
      </c>
      <c r="I1228" s="4" t="s">
        <v>7</v>
      </c>
      <c r="J1228" s="4" t="s">
        <v>270</v>
      </c>
      <c r="K1228" s="4">
        <v>3</v>
      </c>
      <c r="L1228" s="5">
        <v>64.84</v>
      </c>
      <c r="M1228" s="5">
        <v>194.52</v>
      </c>
      <c r="N1228" s="5">
        <v>97.69</v>
      </c>
      <c r="O1228" s="5">
        <v>96.83</v>
      </c>
      <c r="P1228" s="4">
        <f>--AND(OR(Dashboard!$A$10="All",C1228=Dashboard!$A$10),OR(Dashboard!$A$14="All",F1228=Dashboard!$A$14),OR(Dashboard!$A$18="All",G1228=Dashboard!$A$18),OR(Dashboard!$A$22="All",I1228=Dashboard!$A$22))</f>
        <v>1</v>
      </c>
    </row>
    <row r="1229" spans="1:16" ht="15.75" customHeight="1">
      <c r="A1229" s="4" t="s">
        <v>1435</v>
      </c>
      <c r="B1229" s="6">
        <v>45677</v>
      </c>
      <c r="C1229" s="4">
        <v>2025</v>
      </c>
      <c r="D1229" s="4">
        <v>1</v>
      </c>
      <c r="E1229" s="4" t="s">
        <v>30</v>
      </c>
      <c r="F1229" s="4" t="s">
        <v>5</v>
      </c>
      <c r="G1229" s="4" t="s">
        <v>12</v>
      </c>
      <c r="H1229" s="4" t="s">
        <v>127</v>
      </c>
      <c r="I1229" s="4" t="s">
        <v>7</v>
      </c>
      <c r="J1229" s="4" t="s">
        <v>319</v>
      </c>
      <c r="K1229" s="4">
        <v>6</v>
      </c>
      <c r="L1229" s="5">
        <v>320.52999999999997</v>
      </c>
      <c r="M1229" s="5">
        <v>1923.18</v>
      </c>
      <c r="N1229" s="5">
        <v>1123.3499999999999</v>
      </c>
      <c r="O1229" s="5">
        <v>799.83</v>
      </c>
      <c r="P1229" s="4">
        <f>--AND(OR(Dashboard!$A$10="All",C1229=Dashboard!$A$10),OR(Dashboard!$A$14="All",F1229=Dashboard!$A$14),OR(Dashboard!$A$18="All",G1229=Dashboard!$A$18),OR(Dashboard!$A$22="All",I1229=Dashboard!$A$22))</f>
        <v>1</v>
      </c>
    </row>
    <row r="1230" spans="1:16" ht="15.75" customHeight="1">
      <c r="A1230" s="4" t="s">
        <v>1436</v>
      </c>
      <c r="B1230" s="6">
        <v>45926</v>
      </c>
      <c r="C1230" s="4">
        <v>2025</v>
      </c>
      <c r="D1230" s="4">
        <v>9</v>
      </c>
      <c r="E1230" s="4" t="s">
        <v>79</v>
      </c>
      <c r="F1230" s="4" t="s">
        <v>8</v>
      </c>
      <c r="G1230" s="4" t="s">
        <v>12</v>
      </c>
      <c r="H1230" s="4" t="s">
        <v>86</v>
      </c>
      <c r="I1230" s="4" t="s">
        <v>7</v>
      </c>
      <c r="J1230" s="4" t="s">
        <v>191</v>
      </c>
      <c r="K1230" s="4">
        <v>2</v>
      </c>
      <c r="L1230" s="5">
        <v>251.01</v>
      </c>
      <c r="M1230" s="5">
        <v>502.02</v>
      </c>
      <c r="N1230" s="5">
        <v>314.01</v>
      </c>
      <c r="O1230" s="5">
        <v>188.01</v>
      </c>
      <c r="P1230" s="4">
        <f>--AND(OR(Dashboard!$A$10="All",C1230=Dashboard!$A$10),OR(Dashboard!$A$14="All",F1230=Dashboard!$A$14),OR(Dashboard!$A$18="All",G1230=Dashboard!$A$18),OR(Dashboard!$A$22="All",I1230=Dashboard!$A$22))</f>
        <v>1</v>
      </c>
    </row>
    <row r="1231" spans="1:16" ht="15.75" customHeight="1">
      <c r="A1231" s="4" t="s">
        <v>1437</v>
      </c>
      <c r="B1231" s="6">
        <v>45343</v>
      </c>
      <c r="C1231" s="4">
        <v>2024</v>
      </c>
      <c r="D1231" s="4">
        <v>2</v>
      </c>
      <c r="E1231" s="4" t="s">
        <v>70</v>
      </c>
      <c r="F1231" s="4" t="s">
        <v>8</v>
      </c>
      <c r="G1231" s="4" t="s">
        <v>6</v>
      </c>
      <c r="H1231" s="4" t="s">
        <v>54</v>
      </c>
      <c r="I1231" s="4" t="s">
        <v>7</v>
      </c>
      <c r="J1231" s="4" t="s">
        <v>146</v>
      </c>
      <c r="K1231" s="4">
        <v>1</v>
      </c>
      <c r="L1231" s="5">
        <v>119.36</v>
      </c>
      <c r="M1231" s="5">
        <v>119.36</v>
      </c>
      <c r="N1231" s="5">
        <v>78.23</v>
      </c>
      <c r="O1231" s="5">
        <v>41.13</v>
      </c>
      <c r="P1231" s="4">
        <f>--AND(OR(Dashboard!$A$10="All",C1231=Dashboard!$A$10),OR(Dashboard!$A$14="All",F1231=Dashboard!$A$14),OR(Dashboard!$A$18="All",G1231=Dashboard!$A$18),OR(Dashboard!$A$22="All",I1231=Dashboard!$A$22))</f>
        <v>1</v>
      </c>
    </row>
    <row r="1232" spans="1:16" ht="15.75" customHeight="1">
      <c r="A1232" s="4" t="s">
        <v>1438</v>
      </c>
      <c r="B1232" s="6">
        <v>45411</v>
      </c>
      <c r="C1232" s="4">
        <v>2024</v>
      </c>
      <c r="D1232" s="4">
        <v>4</v>
      </c>
      <c r="E1232" s="4" t="s">
        <v>106</v>
      </c>
      <c r="F1232" s="4" t="s">
        <v>14</v>
      </c>
      <c r="G1232" s="4" t="s">
        <v>9</v>
      </c>
      <c r="H1232" s="4" t="s">
        <v>64</v>
      </c>
      <c r="I1232" s="4" t="s">
        <v>7</v>
      </c>
      <c r="J1232" s="4" t="s">
        <v>346</v>
      </c>
      <c r="K1232" s="4">
        <v>1</v>
      </c>
      <c r="L1232" s="5">
        <v>62.7</v>
      </c>
      <c r="M1232" s="5">
        <v>62.7</v>
      </c>
      <c r="N1232" s="5">
        <v>31.32</v>
      </c>
      <c r="O1232" s="5">
        <v>31.38</v>
      </c>
      <c r="P1232" s="4">
        <f>--AND(OR(Dashboard!$A$10="All",C1232=Dashboard!$A$10),OR(Dashboard!$A$14="All",F1232=Dashboard!$A$14),OR(Dashboard!$A$18="All",G1232=Dashboard!$A$18),OR(Dashboard!$A$22="All",I1232=Dashboard!$A$22))</f>
        <v>1</v>
      </c>
    </row>
    <row r="1233" spans="1:16" ht="15.75" customHeight="1">
      <c r="A1233" s="4" t="s">
        <v>1439</v>
      </c>
      <c r="B1233" s="6">
        <v>45748</v>
      </c>
      <c r="C1233" s="4">
        <v>2025</v>
      </c>
      <c r="D1233" s="4">
        <v>4</v>
      </c>
      <c r="E1233" s="4" t="s">
        <v>106</v>
      </c>
      <c r="F1233" s="4" t="s">
        <v>5</v>
      </c>
      <c r="G1233" s="4" t="s">
        <v>12</v>
      </c>
      <c r="H1233" s="4" t="s">
        <v>58</v>
      </c>
      <c r="I1233" s="4" t="s">
        <v>7</v>
      </c>
      <c r="J1233" s="4" t="s">
        <v>257</v>
      </c>
      <c r="K1233" s="4">
        <v>4</v>
      </c>
      <c r="L1233" s="5">
        <v>136.75</v>
      </c>
      <c r="M1233" s="5">
        <v>547</v>
      </c>
      <c r="N1233" s="5">
        <v>322.27999999999997</v>
      </c>
      <c r="O1233" s="5">
        <v>224.72</v>
      </c>
      <c r="P1233" s="4">
        <f>--AND(OR(Dashboard!$A$10="All",C1233=Dashboard!$A$10),OR(Dashboard!$A$14="All",F1233=Dashboard!$A$14),OR(Dashboard!$A$18="All",G1233=Dashboard!$A$18),OR(Dashboard!$A$22="All",I1233=Dashboard!$A$22))</f>
        <v>1</v>
      </c>
    </row>
    <row r="1234" spans="1:16" ht="15.75" customHeight="1">
      <c r="A1234" s="4" t="s">
        <v>1440</v>
      </c>
      <c r="B1234" s="6">
        <v>45759</v>
      </c>
      <c r="C1234" s="4">
        <v>2025</v>
      </c>
      <c r="D1234" s="4">
        <v>4</v>
      </c>
      <c r="E1234" s="4" t="s">
        <v>106</v>
      </c>
      <c r="F1234" s="4" t="s">
        <v>8</v>
      </c>
      <c r="G1234" s="4" t="s">
        <v>6</v>
      </c>
      <c r="H1234" s="4" t="s">
        <v>114</v>
      </c>
      <c r="I1234" s="4" t="s">
        <v>10</v>
      </c>
      <c r="J1234" s="4" t="s">
        <v>162</v>
      </c>
      <c r="K1234" s="4">
        <v>2</v>
      </c>
      <c r="L1234" s="5">
        <v>170.37</v>
      </c>
      <c r="M1234" s="5">
        <v>340.74</v>
      </c>
      <c r="N1234" s="5">
        <v>230.39</v>
      </c>
      <c r="O1234" s="5">
        <v>110.35</v>
      </c>
      <c r="P1234" s="4">
        <f>--AND(OR(Dashboard!$A$10="All",C1234=Dashboard!$A$10),OR(Dashboard!$A$14="All",F1234=Dashboard!$A$14),OR(Dashboard!$A$18="All",G1234=Dashboard!$A$18),OR(Dashboard!$A$22="All",I1234=Dashboard!$A$22))</f>
        <v>1</v>
      </c>
    </row>
    <row r="1235" spans="1:16" ht="15.75" customHeight="1">
      <c r="A1235" s="4" t="s">
        <v>1441</v>
      </c>
      <c r="B1235" s="6">
        <v>45906</v>
      </c>
      <c r="C1235" s="4">
        <v>2025</v>
      </c>
      <c r="D1235" s="4">
        <v>9</v>
      </c>
      <c r="E1235" s="4" t="s">
        <v>79</v>
      </c>
      <c r="F1235" s="4" t="s">
        <v>14</v>
      </c>
      <c r="G1235" s="4" t="s">
        <v>12</v>
      </c>
      <c r="H1235" s="4" t="s">
        <v>124</v>
      </c>
      <c r="I1235" s="4" t="s">
        <v>7</v>
      </c>
      <c r="J1235" s="4" t="s">
        <v>494</v>
      </c>
      <c r="K1235" s="4">
        <v>4</v>
      </c>
      <c r="L1235" s="5">
        <v>315.31</v>
      </c>
      <c r="M1235" s="5">
        <v>1261.24</v>
      </c>
      <c r="N1235" s="5">
        <v>737.36</v>
      </c>
      <c r="O1235" s="5">
        <v>523.88</v>
      </c>
      <c r="P1235" s="4">
        <f>--AND(OR(Dashboard!$A$10="All",C1235=Dashboard!$A$10),OR(Dashboard!$A$14="All",F1235=Dashboard!$A$14),OR(Dashboard!$A$18="All",G1235=Dashboard!$A$18),OR(Dashboard!$A$22="All",I1235=Dashboard!$A$22))</f>
        <v>1</v>
      </c>
    </row>
    <row r="1236" spans="1:16" ht="15.75" customHeight="1">
      <c r="A1236" s="4" t="s">
        <v>1442</v>
      </c>
      <c r="B1236" s="6">
        <v>45667</v>
      </c>
      <c r="C1236" s="4">
        <v>2025</v>
      </c>
      <c r="D1236" s="4">
        <v>1</v>
      </c>
      <c r="E1236" s="4" t="s">
        <v>30</v>
      </c>
      <c r="F1236" s="4" t="s">
        <v>14</v>
      </c>
      <c r="G1236" s="4" t="s">
        <v>6</v>
      </c>
      <c r="H1236" s="4" t="s">
        <v>136</v>
      </c>
      <c r="I1236" s="4" t="s">
        <v>10</v>
      </c>
      <c r="J1236" s="4" t="s">
        <v>344</v>
      </c>
      <c r="K1236" s="4">
        <v>4</v>
      </c>
      <c r="L1236" s="5">
        <v>149.35</v>
      </c>
      <c r="M1236" s="5">
        <v>597.4</v>
      </c>
      <c r="N1236" s="5">
        <v>403.51</v>
      </c>
      <c r="O1236" s="5">
        <v>193.89</v>
      </c>
      <c r="P1236" s="4">
        <f>--AND(OR(Dashboard!$A$10="All",C1236=Dashboard!$A$10),OR(Dashboard!$A$14="All",F1236=Dashboard!$A$14),OR(Dashboard!$A$18="All",G1236=Dashboard!$A$18),OR(Dashboard!$A$22="All",I1236=Dashboard!$A$22))</f>
        <v>1</v>
      </c>
    </row>
    <row r="1237" spans="1:16" ht="15.75" customHeight="1">
      <c r="A1237" s="4" t="s">
        <v>1443</v>
      </c>
      <c r="B1237" s="6">
        <v>45486</v>
      </c>
      <c r="C1237" s="4">
        <v>2024</v>
      </c>
      <c r="D1237" s="4">
        <v>7</v>
      </c>
      <c r="E1237" s="4" t="s">
        <v>63</v>
      </c>
      <c r="F1237" s="4" t="s">
        <v>5</v>
      </c>
      <c r="G1237" s="4" t="s">
        <v>6</v>
      </c>
      <c r="H1237" s="4" t="s">
        <v>98</v>
      </c>
      <c r="I1237" s="4" t="s">
        <v>10</v>
      </c>
      <c r="J1237" s="4" t="s">
        <v>371</v>
      </c>
      <c r="K1237" s="4">
        <v>1</v>
      </c>
      <c r="L1237" s="5">
        <v>172.67</v>
      </c>
      <c r="M1237" s="5">
        <v>172.67</v>
      </c>
      <c r="N1237" s="5">
        <v>110.04</v>
      </c>
      <c r="O1237" s="5">
        <v>62.63</v>
      </c>
      <c r="P1237" s="4">
        <f>--AND(OR(Dashboard!$A$10="All",C1237=Dashboard!$A$10),OR(Dashboard!$A$14="All",F1237=Dashboard!$A$14),OR(Dashboard!$A$18="All",G1237=Dashboard!$A$18),OR(Dashboard!$A$22="All",I1237=Dashboard!$A$22))</f>
        <v>1</v>
      </c>
    </row>
    <row r="1238" spans="1:16" ht="15.75" customHeight="1">
      <c r="A1238" s="4" t="s">
        <v>1444</v>
      </c>
      <c r="B1238" s="6">
        <v>45322</v>
      </c>
      <c r="C1238" s="4">
        <v>2024</v>
      </c>
      <c r="D1238" s="4">
        <v>1</v>
      </c>
      <c r="E1238" s="4" t="s">
        <v>30</v>
      </c>
      <c r="F1238" s="4" t="s">
        <v>8</v>
      </c>
      <c r="G1238" s="4" t="s">
        <v>12</v>
      </c>
      <c r="H1238" s="4" t="s">
        <v>127</v>
      </c>
      <c r="I1238" s="4" t="s">
        <v>13</v>
      </c>
      <c r="J1238" s="4" t="s">
        <v>249</v>
      </c>
      <c r="K1238" s="4">
        <v>1</v>
      </c>
      <c r="L1238" s="5">
        <v>174.05</v>
      </c>
      <c r="M1238" s="5">
        <v>174.05</v>
      </c>
      <c r="N1238" s="5">
        <v>109.33</v>
      </c>
      <c r="O1238" s="5">
        <v>64.72</v>
      </c>
      <c r="P1238" s="4">
        <f>--AND(OR(Dashboard!$A$10="All",C1238=Dashboard!$A$10),OR(Dashboard!$A$14="All",F1238=Dashboard!$A$14),OR(Dashboard!$A$18="All",G1238=Dashboard!$A$18),OR(Dashboard!$A$22="All",I1238=Dashboard!$A$22))</f>
        <v>1</v>
      </c>
    </row>
    <row r="1239" spans="1:16" ht="15.75" customHeight="1">
      <c r="A1239" s="4" t="s">
        <v>1445</v>
      </c>
      <c r="B1239" s="6">
        <v>45592</v>
      </c>
      <c r="C1239" s="4">
        <v>2024</v>
      </c>
      <c r="D1239" s="4">
        <v>10</v>
      </c>
      <c r="E1239" s="4" t="s">
        <v>120</v>
      </c>
      <c r="F1239" s="4" t="s">
        <v>5</v>
      </c>
      <c r="G1239" s="4" t="s">
        <v>12</v>
      </c>
      <c r="H1239" s="4" t="s">
        <v>86</v>
      </c>
      <c r="I1239" s="4" t="s">
        <v>10</v>
      </c>
      <c r="J1239" s="4" t="s">
        <v>55</v>
      </c>
      <c r="K1239" s="4">
        <v>4</v>
      </c>
      <c r="L1239" s="5">
        <v>256.63</v>
      </c>
      <c r="M1239" s="5">
        <v>1026.52</v>
      </c>
      <c r="N1239" s="5">
        <v>617.54</v>
      </c>
      <c r="O1239" s="5">
        <v>408.98</v>
      </c>
      <c r="P1239" s="4">
        <f>--AND(OR(Dashboard!$A$10="All",C1239=Dashboard!$A$10),OR(Dashboard!$A$14="All",F1239=Dashboard!$A$14),OR(Dashboard!$A$18="All",G1239=Dashboard!$A$18),OR(Dashboard!$A$22="All",I1239=Dashboard!$A$22))</f>
        <v>1</v>
      </c>
    </row>
    <row r="1240" spans="1:16" ht="15.75" customHeight="1">
      <c r="A1240" s="4" t="s">
        <v>1446</v>
      </c>
      <c r="B1240" s="6">
        <v>45895</v>
      </c>
      <c r="C1240" s="4">
        <v>2025</v>
      </c>
      <c r="D1240" s="4">
        <v>8</v>
      </c>
      <c r="E1240" s="4" t="s">
        <v>67</v>
      </c>
      <c r="F1240" s="4" t="s">
        <v>14</v>
      </c>
      <c r="G1240" s="4" t="s">
        <v>9</v>
      </c>
      <c r="H1240" s="4" t="s">
        <v>110</v>
      </c>
      <c r="I1240" s="4" t="s">
        <v>7</v>
      </c>
      <c r="J1240" s="4" t="s">
        <v>207</v>
      </c>
      <c r="K1240" s="4">
        <v>4</v>
      </c>
      <c r="L1240" s="5">
        <v>51.39</v>
      </c>
      <c r="M1240" s="5">
        <v>205.56</v>
      </c>
      <c r="N1240" s="5">
        <v>100.12</v>
      </c>
      <c r="O1240" s="5">
        <v>105.44</v>
      </c>
      <c r="P1240" s="4">
        <f>--AND(OR(Dashboard!$A$10="All",C1240=Dashboard!$A$10),OR(Dashboard!$A$14="All",F1240=Dashboard!$A$14),OR(Dashboard!$A$18="All",G1240=Dashboard!$A$18),OR(Dashboard!$A$22="All",I1240=Dashboard!$A$22))</f>
        <v>1</v>
      </c>
    </row>
    <row r="1241" spans="1:16" ht="15.75" customHeight="1">
      <c r="A1241" s="4" t="s">
        <v>1447</v>
      </c>
      <c r="B1241" s="6">
        <v>45966</v>
      </c>
      <c r="C1241" s="4">
        <v>2025</v>
      </c>
      <c r="D1241" s="4">
        <v>11</v>
      </c>
      <c r="E1241" s="4" t="s">
        <v>89</v>
      </c>
      <c r="F1241" s="4" t="s">
        <v>5</v>
      </c>
      <c r="G1241" s="4" t="s">
        <v>6</v>
      </c>
      <c r="H1241" s="4" t="s">
        <v>80</v>
      </c>
      <c r="I1241" s="4" t="s">
        <v>7</v>
      </c>
      <c r="J1241" s="4" t="s">
        <v>202</v>
      </c>
      <c r="K1241" s="4">
        <v>1</v>
      </c>
      <c r="L1241" s="5">
        <v>202.9</v>
      </c>
      <c r="M1241" s="5">
        <v>202.9</v>
      </c>
      <c r="N1241" s="5">
        <v>127.25</v>
      </c>
      <c r="O1241" s="5">
        <v>75.650000000000006</v>
      </c>
      <c r="P1241" s="4">
        <f>--AND(OR(Dashboard!$A$10="All",C1241=Dashboard!$A$10),OR(Dashboard!$A$14="All",F1241=Dashboard!$A$14),OR(Dashboard!$A$18="All",G1241=Dashboard!$A$18),OR(Dashboard!$A$22="All",I1241=Dashboard!$A$22))</f>
        <v>1</v>
      </c>
    </row>
    <row r="1242" spans="1:16" ht="15.75" customHeight="1">
      <c r="A1242" s="4" t="s">
        <v>1448</v>
      </c>
      <c r="B1242" s="6">
        <v>45826</v>
      </c>
      <c r="C1242" s="4">
        <v>2025</v>
      </c>
      <c r="D1242" s="4">
        <v>6</v>
      </c>
      <c r="E1242" s="4" t="s">
        <v>34</v>
      </c>
      <c r="F1242" s="4" t="s">
        <v>5</v>
      </c>
      <c r="G1242" s="4" t="s">
        <v>12</v>
      </c>
      <c r="H1242" s="4" t="s">
        <v>86</v>
      </c>
      <c r="I1242" s="4" t="s">
        <v>7</v>
      </c>
      <c r="J1242" s="4" t="s">
        <v>144</v>
      </c>
      <c r="K1242" s="4">
        <v>3</v>
      </c>
      <c r="L1242" s="5">
        <v>139.49</v>
      </c>
      <c r="M1242" s="5">
        <v>418.47</v>
      </c>
      <c r="N1242" s="5">
        <v>250.48</v>
      </c>
      <c r="O1242" s="5">
        <v>167.99</v>
      </c>
      <c r="P1242" s="4">
        <f>--AND(OR(Dashboard!$A$10="All",C1242=Dashboard!$A$10),OR(Dashboard!$A$14="All",F1242=Dashboard!$A$14),OR(Dashboard!$A$18="All",G1242=Dashboard!$A$18),OR(Dashboard!$A$22="All",I1242=Dashboard!$A$22))</f>
        <v>1</v>
      </c>
    </row>
    <row r="1243" spans="1:16" ht="15.75" customHeight="1">
      <c r="A1243" s="4" t="s">
        <v>1449</v>
      </c>
      <c r="B1243" s="6">
        <v>45708</v>
      </c>
      <c r="C1243" s="4">
        <v>2025</v>
      </c>
      <c r="D1243" s="4">
        <v>2</v>
      </c>
      <c r="E1243" s="4" t="s">
        <v>70</v>
      </c>
      <c r="F1243" s="4" t="s">
        <v>5</v>
      </c>
      <c r="G1243" s="4" t="s">
        <v>12</v>
      </c>
      <c r="H1243" s="4" t="s">
        <v>124</v>
      </c>
      <c r="I1243" s="4" t="s">
        <v>7</v>
      </c>
      <c r="J1243" s="4" t="s">
        <v>81</v>
      </c>
      <c r="K1243" s="4">
        <v>1</v>
      </c>
      <c r="L1243" s="5">
        <v>279.05</v>
      </c>
      <c r="M1243" s="5">
        <v>279.05</v>
      </c>
      <c r="N1243" s="5">
        <v>160.19999999999999</v>
      </c>
      <c r="O1243" s="5">
        <v>118.85</v>
      </c>
      <c r="P1243" s="4">
        <f>--AND(OR(Dashboard!$A$10="All",C1243=Dashboard!$A$10),OR(Dashboard!$A$14="All",F1243=Dashboard!$A$14),OR(Dashboard!$A$18="All",G1243=Dashboard!$A$18),OR(Dashboard!$A$22="All",I1243=Dashboard!$A$22))</f>
        <v>1</v>
      </c>
    </row>
    <row r="1244" spans="1:16" ht="15.75" customHeight="1">
      <c r="A1244" s="4" t="s">
        <v>1450</v>
      </c>
      <c r="B1244" s="6">
        <v>45859</v>
      </c>
      <c r="C1244" s="4">
        <v>2025</v>
      </c>
      <c r="D1244" s="4">
        <v>7</v>
      </c>
      <c r="E1244" s="4" t="s">
        <v>63</v>
      </c>
      <c r="F1244" s="4" t="s">
        <v>8</v>
      </c>
      <c r="G1244" s="4" t="s">
        <v>9</v>
      </c>
      <c r="H1244" s="4" t="s">
        <v>64</v>
      </c>
      <c r="I1244" s="4" t="s">
        <v>7</v>
      </c>
      <c r="J1244" s="4" t="s">
        <v>65</v>
      </c>
      <c r="K1244" s="4">
        <v>1</v>
      </c>
      <c r="L1244" s="5">
        <v>31.83</v>
      </c>
      <c r="M1244" s="5">
        <v>31.83</v>
      </c>
      <c r="N1244" s="5">
        <v>15.8</v>
      </c>
      <c r="O1244" s="5">
        <v>16.03</v>
      </c>
      <c r="P1244" s="4">
        <f>--AND(OR(Dashboard!$A$10="All",C1244=Dashboard!$A$10),OR(Dashboard!$A$14="All",F1244=Dashboard!$A$14),OR(Dashboard!$A$18="All",G1244=Dashboard!$A$18),OR(Dashboard!$A$22="All",I1244=Dashboard!$A$22))</f>
        <v>1</v>
      </c>
    </row>
    <row r="1245" spans="1:16" ht="15.75" customHeight="1">
      <c r="A1245" s="4" t="s">
        <v>1451</v>
      </c>
      <c r="B1245" s="6">
        <v>45963</v>
      </c>
      <c r="C1245" s="4">
        <v>2025</v>
      </c>
      <c r="D1245" s="4">
        <v>11</v>
      </c>
      <c r="E1245" s="4" t="s">
        <v>89</v>
      </c>
      <c r="F1245" s="4" t="s">
        <v>8</v>
      </c>
      <c r="G1245" s="4" t="s">
        <v>6</v>
      </c>
      <c r="H1245" s="4" t="s">
        <v>80</v>
      </c>
      <c r="I1245" s="4" t="s">
        <v>7</v>
      </c>
      <c r="J1245" s="4" t="s">
        <v>149</v>
      </c>
      <c r="K1245" s="4">
        <v>1</v>
      </c>
      <c r="L1245" s="5">
        <v>147.16</v>
      </c>
      <c r="M1245" s="5">
        <v>147.16</v>
      </c>
      <c r="N1245" s="5">
        <v>95.51</v>
      </c>
      <c r="O1245" s="5">
        <v>51.65</v>
      </c>
      <c r="P1245" s="4">
        <f>--AND(OR(Dashboard!$A$10="All",C1245=Dashboard!$A$10),OR(Dashboard!$A$14="All",F1245=Dashboard!$A$14),OR(Dashboard!$A$18="All",G1245=Dashboard!$A$18),OR(Dashboard!$A$22="All",I1245=Dashboard!$A$22))</f>
        <v>1</v>
      </c>
    </row>
    <row r="1246" spans="1:16" ht="15.75" customHeight="1">
      <c r="A1246" s="4" t="s">
        <v>1452</v>
      </c>
      <c r="B1246" s="6">
        <v>45729</v>
      </c>
      <c r="C1246" s="4">
        <v>2025</v>
      </c>
      <c r="D1246" s="4">
        <v>3</v>
      </c>
      <c r="E1246" s="4" t="s">
        <v>100</v>
      </c>
      <c r="F1246" s="4" t="s">
        <v>8</v>
      </c>
      <c r="G1246" s="4" t="s">
        <v>12</v>
      </c>
      <c r="H1246" s="4" t="s">
        <v>86</v>
      </c>
      <c r="I1246" s="4" t="s">
        <v>7</v>
      </c>
      <c r="J1246" s="4" t="s">
        <v>59</v>
      </c>
      <c r="K1246" s="4">
        <v>1</v>
      </c>
      <c r="L1246" s="5">
        <v>167.18</v>
      </c>
      <c r="M1246" s="5">
        <v>167.18</v>
      </c>
      <c r="N1246" s="5">
        <v>100.69</v>
      </c>
      <c r="O1246" s="5">
        <v>66.489999999999995</v>
      </c>
      <c r="P1246" s="4">
        <f>--AND(OR(Dashboard!$A$10="All",C1246=Dashboard!$A$10),OR(Dashboard!$A$14="All",F1246=Dashboard!$A$14),OR(Dashboard!$A$18="All",G1246=Dashboard!$A$18),OR(Dashboard!$A$22="All",I1246=Dashboard!$A$22))</f>
        <v>1</v>
      </c>
    </row>
    <row r="1247" spans="1:16" ht="15.75" customHeight="1">
      <c r="A1247" s="4" t="s">
        <v>1453</v>
      </c>
      <c r="B1247" s="6">
        <v>45977</v>
      </c>
      <c r="C1247" s="4">
        <v>2025</v>
      </c>
      <c r="D1247" s="4">
        <v>11</v>
      </c>
      <c r="E1247" s="4" t="s">
        <v>89</v>
      </c>
      <c r="F1247" s="4" t="s">
        <v>5</v>
      </c>
      <c r="G1247" s="4" t="s">
        <v>9</v>
      </c>
      <c r="H1247" s="4" t="s">
        <v>35</v>
      </c>
      <c r="I1247" s="4" t="s">
        <v>7</v>
      </c>
      <c r="J1247" s="4" t="s">
        <v>321</v>
      </c>
      <c r="K1247" s="4">
        <v>2</v>
      </c>
      <c r="L1247" s="5">
        <v>48.85</v>
      </c>
      <c r="M1247" s="5">
        <v>97.7</v>
      </c>
      <c r="N1247" s="5">
        <v>50.94</v>
      </c>
      <c r="O1247" s="5">
        <v>46.76</v>
      </c>
      <c r="P1247" s="4">
        <f>--AND(OR(Dashboard!$A$10="All",C1247=Dashboard!$A$10),OR(Dashboard!$A$14="All",F1247=Dashboard!$A$14),OR(Dashboard!$A$18="All",G1247=Dashboard!$A$18),OR(Dashboard!$A$22="All",I1247=Dashboard!$A$22))</f>
        <v>1</v>
      </c>
    </row>
    <row r="1248" spans="1:16" ht="15.75" customHeight="1">
      <c r="A1248" s="4" t="s">
        <v>1454</v>
      </c>
      <c r="B1248" s="6">
        <v>45650</v>
      </c>
      <c r="C1248" s="4">
        <v>2024</v>
      </c>
      <c r="D1248" s="4">
        <v>12</v>
      </c>
      <c r="E1248" s="4" t="s">
        <v>57</v>
      </c>
      <c r="F1248" s="4" t="s">
        <v>5</v>
      </c>
      <c r="G1248" s="4" t="s">
        <v>6</v>
      </c>
      <c r="H1248" s="4" t="s">
        <v>80</v>
      </c>
      <c r="I1248" s="4" t="s">
        <v>7</v>
      </c>
      <c r="J1248" s="4" t="s">
        <v>118</v>
      </c>
      <c r="K1248" s="4">
        <v>2</v>
      </c>
      <c r="L1248" s="5">
        <v>147.27000000000001</v>
      </c>
      <c r="M1248" s="5">
        <v>294.54000000000002</v>
      </c>
      <c r="N1248" s="5">
        <v>196.36</v>
      </c>
      <c r="O1248" s="5">
        <v>98.18</v>
      </c>
      <c r="P1248" s="4">
        <f>--AND(OR(Dashboard!$A$10="All",C1248=Dashboard!$A$10),OR(Dashboard!$A$14="All",F1248=Dashboard!$A$14),OR(Dashboard!$A$18="All",G1248=Dashboard!$A$18),OR(Dashboard!$A$22="All",I1248=Dashboard!$A$22))</f>
        <v>1</v>
      </c>
    </row>
    <row r="1249" spans="1:16" ht="15.75" customHeight="1">
      <c r="A1249" s="4" t="s">
        <v>1455</v>
      </c>
      <c r="B1249" s="6">
        <v>45682</v>
      </c>
      <c r="C1249" s="4">
        <v>2025</v>
      </c>
      <c r="D1249" s="4">
        <v>1</v>
      </c>
      <c r="E1249" s="4" t="s">
        <v>30</v>
      </c>
      <c r="F1249" s="4" t="s">
        <v>5</v>
      </c>
      <c r="G1249" s="4" t="s">
        <v>9</v>
      </c>
      <c r="H1249" s="4" t="s">
        <v>142</v>
      </c>
      <c r="I1249" s="4" t="s">
        <v>7</v>
      </c>
      <c r="J1249" s="4" t="s">
        <v>362</v>
      </c>
      <c r="K1249" s="4">
        <v>3</v>
      </c>
      <c r="L1249" s="5">
        <v>55.62</v>
      </c>
      <c r="M1249" s="5">
        <v>166.86</v>
      </c>
      <c r="N1249" s="5">
        <v>87.24</v>
      </c>
      <c r="O1249" s="5">
        <v>79.62</v>
      </c>
      <c r="P1249" s="4">
        <f>--AND(OR(Dashboard!$A$10="All",C1249=Dashboard!$A$10),OR(Dashboard!$A$14="All",F1249=Dashboard!$A$14),OR(Dashboard!$A$18="All",G1249=Dashboard!$A$18),OR(Dashboard!$A$22="All",I1249=Dashboard!$A$22))</f>
        <v>1</v>
      </c>
    </row>
    <row r="1250" spans="1:16" ht="15.75" customHeight="1">
      <c r="A1250" s="4" t="s">
        <v>1456</v>
      </c>
      <c r="B1250" s="6">
        <v>45362</v>
      </c>
      <c r="C1250" s="4">
        <v>2024</v>
      </c>
      <c r="D1250" s="4">
        <v>3</v>
      </c>
      <c r="E1250" s="4" t="s">
        <v>100</v>
      </c>
      <c r="F1250" s="4" t="s">
        <v>8</v>
      </c>
      <c r="G1250" s="4" t="s">
        <v>12</v>
      </c>
      <c r="H1250" s="4" t="s">
        <v>86</v>
      </c>
      <c r="I1250" s="4" t="s">
        <v>13</v>
      </c>
      <c r="J1250" s="4" t="s">
        <v>199</v>
      </c>
      <c r="K1250" s="4">
        <v>1</v>
      </c>
      <c r="L1250" s="5">
        <v>239.43</v>
      </c>
      <c r="M1250" s="5">
        <v>239.43</v>
      </c>
      <c r="N1250" s="5">
        <v>136.71</v>
      </c>
      <c r="O1250" s="5">
        <v>102.72</v>
      </c>
      <c r="P1250" s="4">
        <f>--AND(OR(Dashboard!$A$10="All",C1250=Dashboard!$A$10),OR(Dashboard!$A$14="All",F1250=Dashboard!$A$14),OR(Dashboard!$A$18="All",G1250=Dashboard!$A$18),OR(Dashboard!$A$22="All",I1250=Dashboard!$A$22))</f>
        <v>1</v>
      </c>
    </row>
    <row r="1251" spans="1:16" ht="15.75" customHeight="1">
      <c r="A1251" s="4" t="s">
        <v>1457</v>
      </c>
      <c r="B1251" s="6">
        <v>45533</v>
      </c>
      <c r="C1251" s="4">
        <v>2024</v>
      </c>
      <c r="D1251" s="4">
        <v>8</v>
      </c>
      <c r="E1251" s="4" t="s">
        <v>67</v>
      </c>
      <c r="F1251" s="4" t="s">
        <v>5</v>
      </c>
      <c r="G1251" s="4" t="s">
        <v>9</v>
      </c>
      <c r="H1251" s="4" t="s">
        <v>110</v>
      </c>
      <c r="I1251" s="4" t="s">
        <v>7</v>
      </c>
      <c r="J1251" s="4" t="s">
        <v>276</v>
      </c>
      <c r="K1251" s="4">
        <v>6</v>
      </c>
      <c r="L1251" s="5">
        <v>48.5</v>
      </c>
      <c r="M1251" s="5">
        <v>291</v>
      </c>
      <c r="N1251" s="5">
        <v>144.68</v>
      </c>
      <c r="O1251" s="5">
        <v>146.32</v>
      </c>
      <c r="P1251" s="4">
        <f>--AND(OR(Dashboard!$A$10="All",C1251=Dashboard!$A$10),OR(Dashboard!$A$14="All",F1251=Dashboard!$A$14),OR(Dashboard!$A$18="All",G1251=Dashboard!$A$18),OR(Dashboard!$A$22="All",I1251=Dashboard!$A$22))</f>
        <v>1</v>
      </c>
    </row>
    <row r="1252" spans="1:16" ht="15.75" customHeight="1">
      <c r="A1252" s="4" t="s">
        <v>1458</v>
      </c>
      <c r="B1252" s="6">
        <v>45343</v>
      </c>
      <c r="C1252" s="4">
        <v>2024</v>
      </c>
      <c r="D1252" s="4">
        <v>2</v>
      </c>
      <c r="E1252" s="4" t="s">
        <v>70</v>
      </c>
      <c r="F1252" s="4" t="s">
        <v>5</v>
      </c>
      <c r="G1252" s="4" t="s">
        <v>12</v>
      </c>
      <c r="H1252" s="4" t="s">
        <v>86</v>
      </c>
      <c r="I1252" s="4" t="s">
        <v>7</v>
      </c>
      <c r="J1252" s="4" t="s">
        <v>317</v>
      </c>
      <c r="K1252" s="4">
        <v>2</v>
      </c>
      <c r="L1252" s="5">
        <v>115.58</v>
      </c>
      <c r="M1252" s="5">
        <v>231.16</v>
      </c>
      <c r="N1252" s="5">
        <v>139.75</v>
      </c>
      <c r="O1252" s="5">
        <v>91.41</v>
      </c>
      <c r="P1252" s="4">
        <f>--AND(OR(Dashboard!$A$10="All",C1252=Dashboard!$A$10),OR(Dashboard!$A$14="All",F1252=Dashboard!$A$14),OR(Dashboard!$A$18="All",G1252=Dashboard!$A$18),OR(Dashboard!$A$22="All",I1252=Dashboard!$A$22))</f>
        <v>1</v>
      </c>
    </row>
    <row r="1253" spans="1:16" ht="15.75" customHeight="1">
      <c r="A1253" s="4" t="s">
        <v>1459</v>
      </c>
      <c r="B1253" s="6">
        <v>45474</v>
      </c>
      <c r="C1253" s="4">
        <v>2024</v>
      </c>
      <c r="D1253" s="4">
        <v>7</v>
      </c>
      <c r="E1253" s="4" t="s">
        <v>63</v>
      </c>
      <c r="F1253" s="4" t="s">
        <v>8</v>
      </c>
      <c r="G1253" s="4" t="s">
        <v>12</v>
      </c>
      <c r="H1253" s="4" t="s">
        <v>124</v>
      </c>
      <c r="I1253" s="4" t="s">
        <v>13</v>
      </c>
      <c r="J1253" s="4" t="s">
        <v>170</v>
      </c>
      <c r="K1253" s="4">
        <v>2</v>
      </c>
      <c r="L1253" s="5">
        <v>132.96</v>
      </c>
      <c r="M1253" s="5">
        <v>265.92</v>
      </c>
      <c r="N1253" s="5">
        <v>157.30000000000001</v>
      </c>
      <c r="O1253" s="5">
        <v>108.62</v>
      </c>
      <c r="P1253" s="4">
        <f>--AND(OR(Dashboard!$A$10="All",C1253=Dashboard!$A$10),OR(Dashboard!$A$14="All",F1253=Dashboard!$A$14),OR(Dashboard!$A$18="All",G1253=Dashboard!$A$18),OR(Dashboard!$A$22="All",I1253=Dashboard!$A$22))</f>
        <v>1</v>
      </c>
    </row>
    <row r="1254" spans="1:16" ht="15.75" customHeight="1">
      <c r="A1254" s="4" t="s">
        <v>1460</v>
      </c>
      <c r="B1254" s="6">
        <v>45359</v>
      </c>
      <c r="C1254" s="4">
        <v>2024</v>
      </c>
      <c r="D1254" s="4">
        <v>3</v>
      </c>
      <c r="E1254" s="4" t="s">
        <v>100</v>
      </c>
      <c r="F1254" s="4" t="s">
        <v>11</v>
      </c>
      <c r="G1254" s="4" t="s">
        <v>9</v>
      </c>
      <c r="H1254" s="4" t="s">
        <v>142</v>
      </c>
      <c r="I1254" s="4" t="s">
        <v>7</v>
      </c>
      <c r="J1254" s="4" t="s">
        <v>199</v>
      </c>
      <c r="K1254" s="4">
        <v>4</v>
      </c>
      <c r="L1254" s="5">
        <v>42.9</v>
      </c>
      <c r="M1254" s="5">
        <v>171.6</v>
      </c>
      <c r="N1254" s="5">
        <v>86.25</v>
      </c>
      <c r="O1254" s="5">
        <v>85.35</v>
      </c>
      <c r="P1254" s="4">
        <f>--AND(OR(Dashboard!$A$10="All",C1254=Dashboard!$A$10),OR(Dashboard!$A$14="All",F1254=Dashboard!$A$14),OR(Dashboard!$A$18="All",G1254=Dashboard!$A$18),OR(Dashboard!$A$22="All",I1254=Dashboard!$A$22))</f>
        <v>1</v>
      </c>
    </row>
    <row r="1255" spans="1:16" ht="15.75" customHeight="1">
      <c r="A1255" s="4" t="s">
        <v>1461</v>
      </c>
      <c r="B1255" s="6">
        <v>45350</v>
      </c>
      <c r="C1255" s="4">
        <v>2024</v>
      </c>
      <c r="D1255" s="4">
        <v>2</v>
      </c>
      <c r="E1255" s="4" t="s">
        <v>70</v>
      </c>
      <c r="F1255" s="4" t="s">
        <v>5</v>
      </c>
      <c r="G1255" s="4" t="s">
        <v>6</v>
      </c>
      <c r="H1255" s="4" t="s">
        <v>98</v>
      </c>
      <c r="I1255" s="4" t="s">
        <v>7</v>
      </c>
      <c r="J1255" s="4" t="s">
        <v>257</v>
      </c>
      <c r="K1255" s="4">
        <v>2</v>
      </c>
      <c r="L1255" s="5">
        <v>88.02</v>
      </c>
      <c r="M1255" s="5">
        <v>176.04</v>
      </c>
      <c r="N1255" s="5">
        <v>115.15</v>
      </c>
      <c r="O1255" s="5">
        <v>60.89</v>
      </c>
      <c r="P1255" s="4">
        <f>--AND(OR(Dashboard!$A$10="All",C1255=Dashboard!$A$10),OR(Dashboard!$A$14="All",F1255=Dashboard!$A$14),OR(Dashboard!$A$18="All",G1255=Dashboard!$A$18),OR(Dashboard!$A$22="All",I1255=Dashboard!$A$22))</f>
        <v>1</v>
      </c>
    </row>
    <row r="1256" spans="1:16" ht="15.75" customHeight="1">
      <c r="A1256" s="4" t="s">
        <v>1462</v>
      </c>
      <c r="B1256" s="6">
        <v>45554</v>
      </c>
      <c r="C1256" s="4">
        <v>2024</v>
      </c>
      <c r="D1256" s="4">
        <v>9</v>
      </c>
      <c r="E1256" s="4" t="s">
        <v>79</v>
      </c>
      <c r="F1256" s="4" t="s">
        <v>5</v>
      </c>
      <c r="G1256" s="4" t="s">
        <v>12</v>
      </c>
      <c r="H1256" s="4" t="s">
        <v>86</v>
      </c>
      <c r="I1256" s="4" t="s">
        <v>10</v>
      </c>
      <c r="J1256" s="4" t="s">
        <v>186</v>
      </c>
      <c r="K1256" s="4">
        <v>1</v>
      </c>
      <c r="L1256" s="5">
        <v>203.29</v>
      </c>
      <c r="M1256" s="5">
        <v>203.29</v>
      </c>
      <c r="N1256" s="5">
        <v>119.11</v>
      </c>
      <c r="O1256" s="5">
        <v>84.18</v>
      </c>
      <c r="P1256" s="4">
        <f>--AND(OR(Dashboard!$A$10="All",C1256=Dashboard!$A$10),OR(Dashboard!$A$14="All",F1256=Dashboard!$A$14),OR(Dashboard!$A$18="All",G1256=Dashboard!$A$18),OR(Dashboard!$A$22="All",I1256=Dashboard!$A$22))</f>
        <v>1</v>
      </c>
    </row>
    <row r="1257" spans="1:16" ht="15.75" customHeight="1">
      <c r="A1257" s="4" t="s">
        <v>1463</v>
      </c>
      <c r="B1257" s="6">
        <v>45315</v>
      </c>
      <c r="C1257" s="4">
        <v>2024</v>
      </c>
      <c r="D1257" s="4">
        <v>1</v>
      </c>
      <c r="E1257" s="4" t="s">
        <v>30</v>
      </c>
      <c r="F1257" s="4" t="s">
        <v>8</v>
      </c>
      <c r="G1257" s="4" t="s">
        <v>12</v>
      </c>
      <c r="H1257" s="4" t="s">
        <v>86</v>
      </c>
      <c r="I1257" s="4" t="s">
        <v>7</v>
      </c>
      <c r="J1257" s="4" t="s">
        <v>162</v>
      </c>
      <c r="K1257" s="4">
        <v>1</v>
      </c>
      <c r="L1257" s="5">
        <v>116.71</v>
      </c>
      <c r="M1257" s="5">
        <v>116.71</v>
      </c>
      <c r="N1257" s="5">
        <v>66.59</v>
      </c>
      <c r="O1257" s="5">
        <v>50.12</v>
      </c>
      <c r="P1257" s="4">
        <f>--AND(OR(Dashboard!$A$10="All",C1257=Dashboard!$A$10),OR(Dashboard!$A$14="All",F1257=Dashboard!$A$14),OR(Dashboard!$A$18="All",G1257=Dashboard!$A$18),OR(Dashboard!$A$22="All",I1257=Dashboard!$A$22))</f>
        <v>1</v>
      </c>
    </row>
    <row r="1258" spans="1:16" ht="15.75" customHeight="1">
      <c r="A1258" s="4" t="s">
        <v>1464</v>
      </c>
      <c r="B1258" s="6">
        <v>45317</v>
      </c>
      <c r="C1258" s="4">
        <v>2024</v>
      </c>
      <c r="D1258" s="4">
        <v>1</v>
      </c>
      <c r="E1258" s="4" t="s">
        <v>30</v>
      </c>
      <c r="F1258" s="4" t="s">
        <v>8</v>
      </c>
      <c r="G1258" s="4" t="s">
        <v>12</v>
      </c>
      <c r="H1258" s="4" t="s">
        <v>58</v>
      </c>
      <c r="I1258" s="4" t="s">
        <v>7</v>
      </c>
      <c r="J1258" s="4" t="s">
        <v>255</v>
      </c>
      <c r="K1258" s="4">
        <v>1</v>
      </c>
      <c r="L1258" s="5">
        <v>181.53</v>
      </c>
      <c r="M1258" s="5">
        <v>181.53</v>
      </c>
      <c r="N1258" s="5">
        <v>106.4</v>
      </c>
      <c r="O1258" s="5">
        <v>75.13</v>
      </c>
      <c r="P1258" s="4">
        <f>--AND(OR(Dashboard!$A$10="All",C1258=Dashboard!$A$10),OR(Dashboard!$A$14="All",F1258=Dashboard!$A$14),OR(Dashboard!$A$18="All",G1258=Dashboard!$A$18),OR(Dashboard!$A$22="All",I1258=Dashboard!$A$22))</f>
        <v>1</v>
      </c>
    </row>
    <row r="1259" spans="1:16" ht="15.75" customHeight="1">
      <c r="A1259" s="4" t="s">
        <v>1465</v>
      </c>
      <c r="B1259" s="6">
        <v>45861</v>
      </c>
      <c r="C1259" s="4">
        <v>2025</v>
      </c>
      <c r="D1259" s="4">
        <v>7</v>
      </c>
      <c r="E1259" s="4" t="s">
        <v>63</v>
      </c>
      <c r="F1259" s="4" t="s">
        <v>8</v>
      </c>
      <c r="G1259" s="4" t="s">
        <v>12</v>
      </c>
      <c r="H1259" s="4" t="s">
        <v>127</v>
      </c>
      <c r="I1259" s="4" t="s">
        <v>7</v>
      </c>
      <c r="J1259" s="4" t="s">
        <v>379</v>
      </c>
      <c r="K1259" s="4">
        <v>2</v>
      </c>
      <c r="L1259" s="5">
        <v>121.49</v>
      </c>
      <c r="M1259" s="5">
        <v>242.98</v>
      </c>
      <c r="N1259" s="5">
        <v>150.36000000000001</v>
      </c>
      <c r="O1259" s="5">
        <v>92.62</v>
      </c>
      <c r="P1259" s="4">
        <f>--AND(OR(Dashboard!$A$10="All",C1259=Dashboard!$A$10),OR(Dashboard!$A$14="All",F1259=Dashboard!$A$14),OR(Dashboard!$A$18="All",G1259=Dashboard!$A$18),OR(Dashboard!$A$22="All",I1259=Dashboard!$A$22))</f>
        <v>1</v>
      </c>
    </row>
    <row r="1260" spans="1:16" ht="15.75" customHeight="1">
      <c r="A1260" s="4" t="s">
        <v>1466</v>
      </c>
      <c r="B1260" s="6">
        <v>45686</v>
      </c>
      <c r="C1260" s="4">
        <v>2025</v>
      </c>
      <c r="D1260" s="4">
        <v>1</v>
      </c>
      <c r="E1260" s="4" t="s">
        <v>30</v>
      </c>
      <c r="F1260" s="4" t="s">
        <v>8</v>
      </c>
      <c r="G1260" s="4" t="s">
        <v>12</v>
      </c>
      <c r="H1260" s="4" t="s">
        <v>86</v>
      </c>
      <c r="I1260" s="4" t="s">
        <v>7</v>
      </c>
      <c r="J1260" s="4" t="s">
        <v>232</v>
      </c>
      <c r="K1260" s="4">
        <v>3</v>
      </c>
      <c r="L1260" s="5">
        <v>278.64</v>
      </c>
      <c r="M1260" s="5">
        <v>835.92</v>
      </c>
      <c r="N1260" s="5">
        <v>504</v>
      </c>
      <c r="O1260" s="5">
        <v>331.92</v>
      </c>
      <c r="P1260" s="4">
        <f>--AND(OR(Dashboard!$A$10="All",C1260=Dashboard!$A$10),OR(Dashboard!$A$14="All",F1260=Dashboard!$A$14),OR(Dashboard!$A$18="All",G1260=Dashboard!$A$18),OR(Dashboard!$A$22="All",I1260=Dashboard!$A$22))</f>
        <v>1</v>
      </c>
    </row>
    <row r="1261" spans="1:16" ht="15.75" customHeight="1">
      <c r="A1261" s="4" t="s">
        <v>1467</v>
      </c>
      <c r="B1261" s="6">
        <v>45311</v>
      </c>
      <c r="C1261" s="4">
        <v>2024</v>
      </c>
      <c r="D1261" s="4">
        <v>1</v>
      </c>
      <c r="E1261" s="4" t="s">
        <v>30</v>
      </c>
      <c r="F1261" s="4" t="s">
        <v>8</v>
      </c>
      <c r="G1261" s="4" t="s">
        <v>9</v>
      </c>
      <c r="H1261" s="4" t="s">
        <v>35</v>
      </c>
      <c r="I1261" s="4" t="s">
        <v>7</v>
      </c>
      <c r="J1261" s="4" t="s">
        <v>211</v>
      </c>
      <c r="K1261" s="4">
        <v>3</v>
      </c>
      <c r="L1261" s="5">
        <v>42.83</v>
      </c>
      <c r="M1261" s="5">
        <v>128.49</v>
      </c>
      <c r="N1261" s="5">
        <v>64.14</v>
      </c>
      <c r="O1261" s="5">
        <v>64.349999999999994</v>
      </c>
      <c r="P1261" s="4">
        <f>--AND(OR(Dashboard!$A$10="All",C1261=Dashboard!$A$10),OR(Dashboard!$A$14="All",F1261=Dashboard!$A$14),OR(Dashboard!$A$18="All",G1261=Dashboard!$A$18),OR(Dashboard!$A$22="All",I1261=Dashboard!$A$22))</f>
        <v>1</v>
      </c>
    </row>
    <row r="1262" spans="1:16" ht="15.75" customHeight="1">
      <c r="A1262" s="4" t="s">
        <v>1468</v>
      </c>
      <c r="B1262" s="6">
        <v>45830</v>
      </c>
      <c r="C1262" s="4">
        <v>2025</v>
      </c>
      <c r="D1262" s="4">
        <v>6</v>
      </c>
      <c r="E1262" s="4" t="s">
        <v>34</v>
      </c>
      <c r="F1262" s="4" t="s">
        <v>5</v>
      </c>
      <c r="G1262" s="4" t="s">
        <v>6</v>
      </c>
      <c r="H1262" s="4" t="s">
        <v>98</v>
      </c>
      <c r="I1262" s="4" t="s">
        <v>13</v>
      </c>
      <c r="J1262" s="4" t="s">
        <v>319</v>
      </c>
      <c r="K1262" s="4">
        <v>2</v>
      </c>
      <c r="L1262" s="5">
        <v>107.36</v>
      </c>
      <c r="M1262" s="5">
        <v>214.72</v>
      </c>
      <c r="N1262" s="5">
        <v>142.37</v>
      </c>
      <c r="O1262" s="5">
        <v>72.349999999999994</v>
      </c>
      <c r="P1262" s="4">
        <f>--AND(OR(Dashboard!$A$10="All",C1262=Dashboard!$A$10),OR(Dashboard!$A$14="All",F1262=Dashboard!$A$14),OR(Dashboard!$A$18="All",G1262=Dashboard!$A$18),OR(Dashboard!$A$22="All",I1262=Dashboard!$A$22))</f>
        <v>1</v>
      </c>
    </row>
    <row r="1263" spans="1:16" ht="15.75" customHeight="1">
      <c r="A1263" s="4" t="s">
        <v>1469</v>
      </c>
      <c r="B1263" s="6">
        <v>45968</v>
      </c>
      <c r="C1263" s="4">
        <v>2025</v>
      </c>
      <c r="D1263" s="4">
        <v>11</v>
      </c>
      <c r="E1263" s="4" t="s">
        <v>89</v>
      </c>
      <c r="F1263" s="4" t="s">
        <v>8</v>
      </c>
      <c r="G1263" s="4" t="s">
        <v>12</v>
      </c>
      <c r="H1263" s="4" t="s">
        <v>86</v>
      </c>
      <c r="I1263" s="4" t="s">
        <v>7</v>
      </c>
      <c r="J1263" s="4" t="s">
        <v>144</v>
      </c>
      <c r="K1263" s="4">
        <v>4</v>
      </c>
      <c r="L1263" s="5">
        <v>321.45999999999998</v>
      </c>
      <c r="M1263" s="5">
        <v>1285.8399999999999</v>
      </c>
      <c r="N1263" s="5">
        <v>758.89</v>
      </c>
      <c r="O1263" s="5">
        <v>526.95000000000005</v>
      </c>
      <c r="P1263" s="4">
        <f>--AND(OR(Dashboard!$A$10="All",C1263=Dashboard!$A$10),OR(Dashboard!$A$14="All",F1263=Dashboard!$A$14),OR(Dashboard!$A$18="All",G1263=Dashboard!$A$18),OR(Dashboard!$A$22="All",I1263=Dashboard!$A$22))</f>
        <v>1</v>
      </c>
    </row>
    <row r="1264" spans="1:16" ht="15.75" customHeight="1">
      <c r="A1264" s="4" t="s">
        <v>1470</v>
      </c>
      <c r="B1264" s="6">
        <v>46022</v>
      </c>
      <c r="C1264" s="4">
        <v>2025</v>
      </c>
      <c r="D1264" s="4">
        <v>12</v>
      </c>
      <c r="E1264" s="4" t="s">
        <v>57</v>
      </c>
      <c r="F1264" s="4" t="s">
        <v>8</v>
      </c>
      <c r="G1264" s="4" t="s">
        <v>6</v>
      </c>
      <c r="H1264" s="4" t="s">
        <v>136</v>
      </c>
      <c r="I1264" s="4" t="s">
        <v>13</v>
      </c>
      <c r="J1264" s="4" t="s">
        <v>125</v>
      </c>
      <c r="K1264" s="4">
        <v>4</v>
      </c>
      <c r="L1264" s="5">
        <v>78.819999999999993</v>
      </c>
      <c r="M1264" s="5">
        <v>315.27999999999997</v>
      </c>
      <c r="N1264" s="5">
        <v>217.44</v>
      </c>
      <c r="O1264" s="5">
        <v>97.84</v>
      </c>
      <c r="P1264" s="4">
        <f>--AND(OR(Dashboard!$A$10="All",C1264=Dashboard!$A$10),OR(Dashboard!$A$14="All",F1264=Dashboard!$A$14),OR(Dashboard!$A$18="All",G1264=Dashboard!$A$18),OR(Dashboard!$A$22="All",I1264=Dashboard!$A$22))</f>
        <v>1</v>
      </c>
    </row>
    <row r="1265" spans="1:16" ht="15.75" customHeight="1">
      <c r="A1265" s="4" t="s">
        <v>1471</v>
      </c>
      <c r="B1265" s="6">
        <v>45973</v>
      </c>
      <c r="C1265" s="4">
        <v>2025</v>
      </c>
      <c r="D1265" s="4">
        <v>11</v>
      </c>
      <c r="E1265" s="4" t="s">
        <v>89</v>
      </c>
      <c r="F1265" s="4" t="s">
        <v>11</v>
      </c>
      <c r="G1265" s="4" t="s">
        <v>9</v>
      </c>
      <c r="H1265" s="4" t="s">
        <v>110</v>
      </c>
      <c r="I1265" s="4" t="s">
        <v>7</v>
      </c>
      <c r="J1265" s="4" t="s">
        <v>379</v>
      </c>
      <c r="K1265" s="4">
        <v>2</v>
      </c>
      <c r="L1265" s="5">
        <v>63.77</v>
      </c>
      <c r="M1265" s="5">
        <v>127.54</v>
      </c>
      <c r="N1265" s="5">
        <v>63.61</v>
      </c>
      <c r="O1265" s="5">
        <v>63.93</v>
      </c>
      <c r="P1265" s="4">
        <f>--AND(OR(Dashboard!$A$10="All",C1265=Dashboard!$A$10),OR(Dashboard!$A$14="All",F1265=Dashboard!$A$14),OR(Dashboard!$A$18="All",G1265=Dashboard!$A$18),OR(Dashboard!$A$22="All",I1265=Dashboard!$A$22))</f>
        <v>1</v>
      </c>
    </row>
    <row r="1266" spans="1:16" ht="15.75" customHeight="1">
      <c r="A1266" s="4" t="s">
        <v>1472</v>
      </c>
      <c r="B1266" s="6">
        <v>45777</v>
      </c>
      <c r="C1266" s="4">
        <v>2025</v>
      </c>
      <c r="D1266" s="4">
        <v>4</v>
      </c>
      <c r="E1266" s="4" t="s">
        <v>106</v>
      </c>
      <c r="F1266" s="4" t="s">
        <v>5</v>
      </c>
      <c r="G1266" s="4" t="s">
        <v>12</v>
      </c>
      <c r="H1266" s="4" t="s">
        <v>86</v>
      </c>
      <c r="I1266" s="4" t="s">
        <v>7</v>
      </c>
      <c r="J1266" s="4" t="s">
        <v>407</v>
      </c>
      <c r="K1266" s="4">
        <v>1</v>
      </c>
      <c r="L1266" s="5">
        <v>280.91000000000003</v>
      </c>
      <c r="M1266" s="5">
        <v>280.91000000000003</v>
      </c>
      <c r="N1266" s="5">
        <v>170.8</v>
      </c>
      <c r="O1266" s="5">
        <v>110.11</v>
      </c>
      <c r="P1266" s="4">
        <f>--AND(OR(Dashboard!$A$10="All",C1266=Dashboard!$A$10),OR(Dashboard!$A$14="All",F1266=Dashboard!$A$14),OR(Dashboard!$A$18="All",G1266=Dashboard!$A$18),OR(Dashboard!$A$22="All",I1266=Dashboard!$A$22))</f>
        <v>1</v>
      </c>
    </row>
    <row r="1267" spans="1:16" ht="15.75" customHeight="1">
      <c r="A1267" s="4" t="s">
        <v>1473</v>
      </c>
      <c r="B1267" s="6">
        <v>45697</v>
      </c>
      <c r="C1267" s="4">
        <v>2025</v>
      </c>
      <c r="D1267" s="4">
        <v>2</v>
      </c>
      <c r="E1267" s="4" t="s">
        <v>70</v>
      </c>
      <c r="F1267" s="4" t="s">
        <v>5</v>
      </c>
      <c r="G1267" s="4" t="s">
        <v>6</v>
      </c>
      <c r="H1267" s="4" t="s">
        <v>136</v>
      </c>
      <c r="I1267" s="4" t="s">
        <v>10</v>
      </c>
      <c r="J1267" s="4" t="s">
        <v>211</v>
      </c>
      <c r="K1267" s="4">
        <v>4</v>
      </c>
      <c r="L1267" s="5">
        <v>161.43</v>
      </c>
      <c r="M1267" s="5">
        <v>645.72</v>
      </c>
      <c r="N1267" s="5">
        <v>420.29</v>
      </c>
      <c r="O1267" s="5">
        <v>225.43</v>
      </c>
      <c r="P1267" s="4">
        <f>--AND(OR(Dashboard!$A$10="All",C1267=Dashboard!$A$10),OR(Dashboard!$A$14="All",F1267=Dashboard!$A$14),OR(Dashboard!$A$18="All",G1267=Dashboard!$A$18),OR(Dashboard!$A$22="All",I1267=Dashboard!$A$22))</f>
        <v>1</v>
      </c>
    </row>
    <row r="1268" spans="1:16" ht="15.75" customHeight="1">
      <c r="A1268" s="4" t="s">
        <v>1474</v>
      </c>
      <c r="B1268" s="6">
        <v>45352</v>
      </c>
      <c r="C1268" s="4">
        <v>2024</v>
      </c>
      <c r="D1268" s="4">
        <v>3</v>
      </c>
      <c r="E1268" s="4" t="s">
        <v>100</v>
      </c>
      <c r="F1268" s="4" t="s">
        <v>8</v>
      </c>
      <c r="G1268" s="4" t="s">
        <v>9</v>
      </c>
      <c r="H1268" s="4" t="s">
        <v>71</v>
      </c>
      <c r="I1268" s="4" t="s">
        <v>7</v>
      </c>
      <c r="J1268" s="4" t="s">
        <v>299</v>
      </c>
      <c r="K1268" s="4">
        <v>2</v>
      </c>
      <c r="L1268" s="5">
        <v>58.22</v>
      </c>
      <c r="M1268" s="5">
        <v>116.44</v>
      </c>
      <c r="N1268" s="5">
        <v>58.02</v>
      </c>
      <c r="O1268" s="5">
        <v>58.42</v>
      </c>
      <c r="P1268" s="4">
        <f>--AND(OR(Dashboard!$A$10="All",C1268=Dashboard!$A$10),OR(Dashboard!$A$14="All",F1268=Dashboard!$A$14),OR(Dashboard!$A$18="All",G1268=Dashboard!$A$18),OR(Dashboard!$A$22="All",I1268=Dashboard!$A$22))</f>
        <v>1</v>
      </c>
    </row>
    <row r="1269" spans="1:16" ht="15.75" customHeight="1">
      <c r="A1269" s="4" t="s">
        <v>1475</v>
      </c>
      <c r="B1269" s="6">
        <v>45493</v>
      </c>
      <c r="C1269" s="4">
        <v>2024</v>
      </c>
      <c r="D1269" s="4">
        <v>7</v>
      </c>
      <c r="E1269" s="4" t="s">
        <v>63</v>
      </c>
      <c r="F1269" s="4" t="s">
        <v>5</v>
      </c>
      <c r="G1269" s="4" t="s">
        <v>9</v>
      </c>
      <c r="H1269" s="4" t="s">
        <v>142</v>
      </c>
      <c r="I1269" s="4" t="s">
        <v>10</v>
      </c>
      <c r="J1269" s="4" t="s">
        <v>115</v>
      </c>
      <c r="K1269" s="4">
        <v>1</v>
      </c>
      <c r="L1269" s="5">
        <v>30.84</v>
      </c>
      <c r="M1269" s="5">
        <v>30.84</v>
      </c>
      <c r="N1269" s="5">
        <v>15.17</v>
      </c>
      <c r="O1269" s="5">
        <v>15.67</v>
      </c>
      <c r="P1269" s="4">
        <f>--AND(OR(Dashboard!$A$10="All",C1269=Dashboard!$A$10),OR(Dashboard!$A$14="All",F1269=Dashboard!$A$14),OR(Dashboard!$A$18="All",G1269=Dashboard!$A$18),OR(Dashboard!$A$22="All",I1269=Dashboard!$A$22))</f>
        <v>1</v>
      </c>
    </row>
    <row r="1270" spans="1:16" ht="15.75" customHeight="1">
      <c r="A1270" s="4" t="s">
        <v>1476</v>
      </c>
      <c r="B1270" s="6">
        <v>45600</v>
      </c>
      <c r="C1270" s="4">
        <v>2024</v>
      </c>
      <c r="D1270" s="4">
        <v>11</v>
      </c>
      <c r="E1270" s="4" t="s">
        <v>89</v>
      </c>
      <c r="F1270" s="4" t="s">
        <v>11</v>
      </c>
      <c r="G1270" s="4" t="s">
        <v>6</v>
      </c>
      <c r="H1270" s="4" t="s">
        <v>114</v>
      </c>
      <c r="I1270" s="4" t="s">
        <v>7</v>
      </c>
      <c r="J1270" s="4" t="s">
        <v>348</v>
      </c>
      <c r="K1270" s="4">
        <v>1</v>
      </c>
      <c r="L1270" s="5">
        <v>86.36</v>
      </c>
      <c r="M1270" s="5">
        <v>86.36</v>
      </c>
      <c r="N1270" s="5">
        <v>55.72</v>
      </c>
      <c r="O1270" s="5">
        <v>30.64</v>
      </c>
      <c r="P1270" s="4">
        <f>--AND(OR(Dashboard!$A$10="All",C1270=Dashboard!$A$10),OR(Dashboard!$A$14="All",F1270=Dashboard!$A$14),OR(Dashboard!$A$18="All",G1270=Dashboard!$A$18),OR(Dashboard!$A$22="All",I1270=Dashboard!$A$22))</f>
        <v>1</v>
      </c>
    </row>
    <row r="1271" spans="1:16" ht="15.75" customHeight="1">
      <c r="A1271" s="4" t="s">
        <v>1477</v>
      </c>
      <c r="B1271" s="6">
        <v>45853</v>
      </c>
      <c r="C1271" s="4">
        <v>2025</v>
      </c>
      <c r="D1271" s="4">
        <v>7</v>
      </c>
      <c r="E1271" s="4" t="s">
        <v>63</v>
      </c>
      <c r="F1271" s="4" t="s">
        <v>5</v>
      </c>
      <c r="G1271" s="4" t="s">
        <v>9</v>
      </c>
      <c r="H1271" s="4" t="s">
        <v>142</v>
      </c>
      <c r="I1271" s="4" t="s">
        <v>7</v>
      </c>
      <c r="J1271" s="4" t="s">
        <v>104</v>
      </c>
      <c r="K1271" s="4">
        <v>3</v>
      </c>
      <c r="L1271" s="5">
        <v>44.98</v>
      </c>
      <c r="M1271" s="5">
        <v>134.94</v>
      </c>
      <c r="N1271" s="5">
        <v>64.75</v>
      </c>
      <c r="O1271" s="5">
        <v>70.19</v>
      </c>
      <c r="P1271" s="4">
        <f>--AND(OR(Dashboard!$A$10="All",C1271=Dashboard!$A$10),OR(Dashboard!$A$14="All",F1271=Dashboard!$A$14),OR(Dashboard!$A$18="All",G1271=Dashboard!$A$18),OR(Dashboard!$A$22="All",I1271=Dashboard!$A$22))</f>
        <v>1</v>
      </c>
    </row>
    <row r="1272" spans="1:16" ht="15.75" customHeight="1">
      <c r="A1272" s="4" t="s">
        <v>1478</v>
      </c>
      <c r="B1272" s="6">
        <v>45419</v>
      </c>
      <c r="C1272" s="4">
        <v>2024</v>
      </c>
      <c r="D1272" s="4">
        <v>5</v>
      </c>
      <c r="E1272" s="4" t="s">
        <v>108</v>
      </c>
      <c r="F1272" s="4" t="s">
        <v>5</v>
      </c>
      <c r="G1272" s="4" t="s">
        <v>12</v>
      </c>
      <c r="H1272" s="4" t="s">
        <v>92</v>
      </c>
      <c r="I1272" s="4" t="s">
        <v>10</v>
      </c>
      <c r="J1272" s="4" t="s">
        <v>118</v>
      </c>
      <c r="K1272" s="4">
        <v>3</v>
      </c>
      <c r="L1272" s="5">
        <v>276.39999999999998</v>
      </c>
      <c r="M1272" s="5">
        <v>829.2</v>
      </c>
      <c r="N1272" s="5">
        <v>519.27</v>
      </c>
      <c r="O1272" s="5">
        <v>309.93</v>
      </c>
      <c r="P1272" s="4">
        <f>--AND(OR(Dashboard!$A$10="All",C1272=Dashboard!$A$10),OR(Dashboard!$A$14="All",F1272=Dashboard!$A$14),OR(Dashboard!$A$18="All",G1272=Dashboard!$A$18),OR(Dashboard!$A$22="All",I1272=Dashboard!$A$22))</f>
        <v>1</v>
      </c>
    </row>
    <row r="1273" spans="1:16" ht="15.75" customHeight="1">
      <c r="A1273" s="4" t="s">
        <v>1479</v>
      </c>
      <c r="B1273" s="6">
        <v>45677</v>
      </c>
      <c r="C1273" s="4">
        <v>2025</v>
      </c>
      <c r="D1273" s="4">
        <v>1</v>
      </c>
      <c r="E1273" s="4" t="s">
        <v>30</v>
      </c>
      <c r="F1273" s="4" t="s">
        <v>8</v>
      </c>
      <c r="G1273" s="4" t="s">
        <v>9</v>
      </c>
      <c r="H1273" s="4" t="s">
        <v>71</v>
      </c>
      <c r="I1273" s="4" t="s">
        <v>10</v>
      </c>
      <c r="J1273" s="4" t="s">
        <v>99</v>
      </c>
      <c r="K1273" s="4">
        <v>2</v>
      </c>
      <c r="L1273" s="5">
        <v>38.75</v>
      </c>
      <c r="M1273" s="5">
        <v>77.5</v>
      </c>
      <c r="N1273" s="5">
        <v>39.93</v>
      </c>
      <c r="O1273" s="5">
        <v>37.57</v>
      </c>
      <c r="P1273" s="4">
        <f>--AND(OR(Dashboard!$A$10="All",C1273=Dashboard!$A$10),OR(Dashboard!$A$14="All",F1273=Dashboard!$A$14),OR(Dashboard!$A$18="All",G1273=Dashboard!$A$18),OR(Dashboard!$A$22="All",I1273=Dashboard!$A$22))</f>
        <v>1</v>
      </c>
    </row>
    <row r="1274" spans="1:16" ht="15.75" customHeight="1">
      <c r="A1274" s="4" t="s">
        <v>1480</v>
      </c>
      <c r="B1274" s="6">
        <v>45798</v>
      </c>
      <c r="C1274" s="4">
        <v>2025</v>
      </c>
      <c r="D1274" s="4">
        <v>5</v>
      </c>
      <c r="E1274" s="4" t="s">
        <v>108</v>
      </c>
      <c r="F1274" s="4" t="s">
        <v>5</v>
      </c>
      <c r="G1274" s="4" t="s">
        <v>12</v>
      </c>
      <c r="H1274" s="4" t="s">
        <v>92</v>
      </c>
      <c r="I1274" s="4" t="s">
        <v>7</v>
      </c>
      <c r="J1274" s="4" t="s">
        <v>68</v>
      </c>
      <c r="K1274" s="4">
        <v>2</v>
      </c>
      <c r="L1274" s="5">
        <v>202.92</v>
      </c>
      <c r="M1274" s="5">
        <v>405.84</v>
      </c>
      <c r="N1274" s="5">
        <v>239.13</v>
      </c>
      <c r="O1274" s="5">
        <v>166.71</v>
      </c>
      <c r="P1274" s="4">
        <f>--AND(OR(Dashboard!$A$10="All",C1274=Dashboard!$A$10),OR(Dashboard!$A$14="All",F1274=Dashboard!$A$14),OR(Dashboard!$A$18="All",G1274=Dashboard!$A$18),OR(Dashboard!$A$22="All",I1274=Dashboard!$A$22))</f>
        <v>1</v>
      </c>
    </row>
    <row r="1275" spans="1:16" ht="15.75" customHeight="1">
      <c r="A1275" s="4" t="s">
        <v>1481</v>
      </c>
      <c r="B1275" s="6">
        <v>45713</v>
      </c>
      <c r="C1275" s="4">
        <v>2025</v>
      </c>
      <c r="D1275" s="4">
        <v>2</v>
      </c>
      <c r="E1275" s="4" t="s">
        <v>70</v>
      </c>
      <c r="F1275" s="4" t="s">
        <v>5</v>
      </c>
      <c r="G1275" s="4" t="s">
        <v>12</v>
      </c>
      <c r="H1275" s="4" t="s">
        <v>86</v>
      </c>
      <c r="I1275" s="4" t="s">
        <v>7</v>
      </c>
      <c r="J1275" s="4" t="s">
        <v>276</v>
      </c>
      <c r="K1275" s="4">
        <v>5</v>
      </c>
      <c r="L1275" s="5">
        <v>327.57</v>
      </c>
      <c r="M1275" s="5">
        <v>1637.85</v>
      </c>
      <c r="N1275" s="5">
        <v>982.18</v>
      </c>
      <c r="O1275" s="5">
        <v>655.67</v>
      </c>
      <c r="P1275" s="4">
        <f>--AND(OR(Dashboard!$A$10="All",C1275=Dashboard!$A$10),OR(Dashboard!$A$14="All",F1275=Dashboard!$A$14),OR(Dashboard!$A$18="All",G1275=Dashboard!$A$18),OR(Dashboard!$A$22="All",I1275=Dashboard!$A$22))</f>
        <v>1</v>
      </c>
    </row>
    <row r="1276" spans="1:16" ht="15.75" customHeight="1">
      <c r="A1276" s="4" t="s">
        <v>1482</v>
      </c>
      <c r="B1276" s="6">
        <v>45858</v>
      </c>
      <c r="C1276" s="4">
        <v>2025</v>
      </c>
      <c r="D1276" s="4">
        <v>7</v>
      </c>
      <c r="E1276" s="4" t="s">
        <v>63</v>
      </c>
      <c r="F1276" s="4" t="s">
        <v>14</v>
      </c>
      <c r="G1276" s="4" t="s">
        <v>9</v>
      </c>
      <c r="H1276" s="4" t="s">
        <v>110</v>
      </c>
      <c r="I1276" s="4" t="s">
        <v>10</v>
      </c>
      <c r="J1276" s="4" t="s">
        <v>249</v>
      </c>
      <c r="K1276" s="4">
        <v>9</v>
      </c>
      <c r="L1276" s="5">
        <v>61.69</v>
      </c>
      <c r="M1276" s="5">
        <v>555.21</v>
      </c>
      <c r="N1276" s="5">
        <v>285.88</v>
      </c>
      <c r="O1276" s="5">
        <v>269.33</v>
      </c>
      <c r="P1276" s="4">
        <f>--AND(OR(Dashboard!$A$10="All",C1276=Dashboard!$A$10),OR(Dashboard!$A$14="All",F1276=Dashboard!$A$14),OR(Dashboard!$A$18="All",G1276=Dashboard!$A$18),OR(Dashboard!$A$22="All",I1276=Dashboard!$A$22))</f>
        <v>1</v>
      </c>
    </row>
    <row r="1277" spans="1:16" ht="15.75" customHeight="1">
      <c r="A1277" s="4" t="s">
        <v>1483</v>
      </c>
      <c r="B1277" s="6">
        <v>45904</v>
      </c>
      <c r="C1277" s="4">
        <v>2025</v>
      </c>
      <c r="D1277" s="4">
        <v>9</v>
      </c>
      <c r="E1277" s="4" t="s">
        <v>79</v>
      </c>
      <c r="F1277" s="4" t="s">
        <v>5</v>
      </c>
      <c r="G1277" s="4" t="s">
        <v>12</v>
      </c>
      <c r="H1277" s="4" t="s">
        <v>58</v>
      </c>
      <c r="I1277" s="4" t="s">
        <v>7</v>
      </c>
      <c r="J1277" s="4" t="s">
        <v>166</v>
      </c>
      <c r="K1277" s="4">
        <v>1</v>
      </c>
      <c r="L1277" s="5">
        <v>228.45</v>
      </c>
      <c r="M1277" s="5">
        <v>228.45</v>
      </c>
      <c r="N1277" s="5">
        <v>133.5</v>
      </c>
      <c r="O1277" s="5">
        <v>94.95</v>
      </c>
      <c r="P1277" s="4">
        <f>--AND(OR(Dashboard!$A$10="All",C1277=Dashboard!$A$10),OR(Dashboard!$A$14="All",F1277=Dashboard!$A$14),OR(Dashboard!$A$18="All",G1277=Dashboard!$A$18),OR(Dashboard!$A$22="All",I1277=Dashboard!$A$22))</f>
        <v>1</v>
      </c>
    </row>
    <row r="1278" spans="1:16" ht="15.75" customHeight="1">
      <c r="A1278" s="4" t="s">
        <v>1484</v>
      </c>
      <c r="B1278" s="6">
        <v>45476</v>
      </c>
      <c r="C1278" s="4">
        <v>2024</v>
      </c>
      <c r="D1278" s="4">
        <v>7</v>
      </c>
      <c r="E1278" s="4" t="s">
        <v>63</v>
      </c>
      <c r="F1278" s="4" t="s">
        <v>11</v>
      </c>
      <c r="G1278" s="4" t="s">
        <v>12</v>
      </c>
      <c r="H1278" s="4" t="s">
        <v>58</v>
      </c>
      <c r="I1278" s="4" t="s">
        <v>7</v>
      </c>
      <c r="J1278" s="4" t="s">
        <v>532</v>
      </c>
      <c r="K1278" s="4">
        <v>3</v>
      </c>
      <c r="L1278" s="5">
        <v>130.59</v>
      </c>
      <c r="M1278" s="5">
        <v>391.77</v>
      </c>
      <c r="N1278" s="5">
        <v>228.28</v>
      </c>
      <c r="O1278" s="5">
        <v>163.49</v>
      </c>
      <c r="P1278" s="4">
        <f>--AND(OR(Dashboard!$A$10="All",C1278=Dashboard!$A$10),OR(Dashboard!$A$14="All",F1278=Dashboard!$A$14),OR(Dashboard!$A$18="All",G1278=Dashboard!$A$18),OR(Dashboard!$A$22="All",I1278=Dashboard!$A$22))</f>
        <v>1</v>
      </c>
    </row>
    <row r="1279" spans="1:16" ht="15.75" customHeight="1">
      <c r="A1279" s="4" t="s">
        <v>1485</v>
      </c>
      <c r="B1279" s="6">
        <v>45868</v>
      </c>
      <c r="C1279" s="4">
        <v>2025</v>
      </c>
      <c r="D1279" s="4">
        <v>7</v>
      </c>
      <c r="E1279" s="4" t="s">
        <v>63</v>
      </c>
      <c r="F1279" s="4" t="s">
        <v>8</v>
      </c>
      <c r="G1279" s="4" t="s">
        <v>12</v>
      </c>
      <c r="H1279" s="4" t="s">
        <v>92</v>
      </c>
      <c r="I1279" s="4" t="s">
        <v>7</v>
      </c>
      <c r="J1279" s="4" t="s">
        <v>326</v>
      </c>
      <c r="K1279" s="4">
        <v>2</v>
      </c>
      <c r="L1279" s="5">
        <v>242.22</v>
      </c>
      <c r="M1279" s="5">
        <v>484.44</v>
      </c>
      <c r="N1279" s="5">
        <v>280.12</v>
      </c>
      <c r="O1279" s="5">
        <v>204.32</v>
      </c>
      <c r="P1279" s="4">
        <f>--AND(OR(Dashboard!$A$10="All",C1279=Dashboard!$A$10),OR(Dashboard!$A$14="All",F1279=Dashboard!$A$14),OR(Dashboard!$A$18="All",G1279=Dashboard!$A$18),OR(Dashboard!$A$22="All",I1279=Dashboard!$A$22))</f>
        <v>1</v>
      </c>
    </row>
    <row r="1280" spans="1:16" ht="15.75" customHeight="1">
      <c r="A1280" s="4" t="s">
        <v>1486</v>
      </c>
      <c r="B1280" s="6">
        <v>45759</v>
      </c>
      <c r="C1280" s="4">
        <v>2025</v>
      </c>
      <c r="D1280" s="4">
        <v>4</v>
      </c>
      <c r="E1280" s="4" t="s">
        <v>106</v>
      </c>
      <c r="F1280" s="4" t="s">
        <v>5</v>
      </c>
      <c r="G1280" s="4" t="s">
        <v>6</v>
      </c>
      <c r="H1280" s="4" t="s">
        <v>114</v>
      </c>
      <c r="I1280" s="4" t="s">
        <v>13</v>
      </c>
      <c r="J1280" s="4" t="s">
        <v>299</v>
      </c>
      <c r="K1280" s="4">
        <v>3</v>
      </c>
      <c r="L1280" s="5">
        <v>172.06</v>
      </c>
      <c r="M1280" s="5">
        <v>516.17999999999995</v>
      </c>
      <c r="N1280" s="5">
        <v>356.18</v>
      </c>
      <c r="O1280" s="5">
        <v>160</v>
      </c>
      <c r="P1280" s="4">
        <f>--AND(OR(Dashboard!$A$10="All",C1280=Dashboard!$A$10),OR(Dashboard!$A$14="All",F1280=Dashboard!$A$14),OR(Dashboard!$A$18="All",G1280=Dashboard!$A$18),OR(Dashboard!$A$22="All",I1280=Dashboard!$A$22))</f>
        <v>1</v>
      </c>
    </row>
    <row r="1281" spans="1:16" ht="15.75" customHeight="1">
      <c r="A1281" s="4" t="s">
        <v>1487</v>
      </c>
      <c r="B1281" s="6">
        <v>45362</v>
      </c>
      <c r="C1281" s="4">
        <v>2024</v>
      </c>
      <c r="D1281" s="4">
        <v>3</v>
      </c>
      <c r="E1281" s="4" t="s">
        <v>100</v>
      </c>
      <c r="F1281" s="4" t="s">
        <v>8</v>
      </c>
      <c r="G1281" s="4" t="s">
        <v>6</v>
      </c>
      <c r="H1281" s="4" t="s">
        <v>80</v>
      </c>
      <c r="I1281" s="4" t="s">
        <v>7</v>
      </c>
      <c r="J1281" s="4" t="s">
        <v>285</v>
      </c>
      <c r="K1281" s="4">
        <v>2</v>
      </c>
      <c r="L1281" s="5">
        <v>136.41</v>
      </c>
      <c r="M1281" s="5">
        <v>272.82</v>
      </c>
      <c r="N1281" s="5">
        <v>183.66</v>
      </c>
      <c r="O1281" s="5">
        <v>89.16</v>
      </c>
      <c r="P1281" s="4">
        <f>--AND(OR(Dashboard!$A$10="All",C1281=Dashboard!$A$10),OR(Dashboard!$A$14="All",F1281=Dashboard!$A$14),OR(Dashboard!$A$18="All",G1281=Dashboard!$A$18),OR(Dashboard!$A$22="All",I1281=Dashboard!$A$22))</f>
        <v>1</v>
      </c>
    </row>
    <row r="1282" spans="1:16" ht="15.75" customHeight="1">
      <c r="A1282" s="4" t="s">
        <v>1488</v>
      </c>
      <c r="B1282" s="6">
        <v>45429</v>
      </c>
      <c r="C1282" s="4">
        <v>2024</v>
      </c>
      <c r="D1282" s="4">
        <v>5</v>
      </c>
      <c r="E1282" s="4" t="s">
        <v>108</v>
      </c>
      <c r="F1282" s="4" t="s">
        <v>5</v>
      </c>
      <c r="G1282" s="4" t="s">
        <v>9</v>
      </c>
      <c r="H1282" s="4" t="s">
        <v>35</v>
      </c>
      <c r="I1282" s="4" t="s">
        <v>10</v>
      </c>
      <c r="J1282" s="4" t="s">
        <v>177</v>
      </c>
      <c r="K1282" s="4">
        <v>8</v>
      </c>
      <c r="L1282" s="5">
        <v>31.91</v>
      </c>
      <c r="M1282" s="5">
        <v>255.28</v>
      </c>
      <c r="N1282" s="5">
        <v>125.45</v>
      </c>
      <c r="O1282" s="5">
        <v>129.83000000000001</v>
      </c>
      <c r="P1282" s="4">
        <f>--AND(OR(Dashboard!$A$10="All",C1282=Dashboard!$A$10),OR(Dashboard!$A$14="All",F1282=Dashboard!$A$14),OR(Dashboard!$A$18="All",G1282=Dashboard!$A$18),OR(Dashboard!$A$22="All",I1282=Dashboard!$A$22))</f>
        <v>1</v>
      </c>
    </row>
    <row r="1283" spans="1:16" ht="15.75" customHeight="1">
      <c r="A1283" s="4" t="s">
        <v>1489</v>
      </c>
      <c r="B1283" s="6">
        <v>45467</v>
      </c>
      <c r="C1283" s="4">
        <v>2024</v>
      </c>
      <c r="D1283" s="4">
        <v>6</v>
      </c>
      <c r="E1283" s="4" t="s">
        <v>34</v>
      </c>
      <c r="F1283" s="4" t="s">
        <v>5</v>
      </c>
      <c r="G1283" s="4" t="s">
        <v>6</v>
      </c>
      <c r="H1283" s="4" t="s">
        <v>136</v>
      </c>
      <c r="I1283" s="4" t="s">
        <v>13</v>
      </c>
      <c r="J1283" s="4" t="s">
        <v>207</v>
      </c>
      <c r="K1283" s="4">
        <v>2</v>
      </c>
      <c r="L1283" s="5">
        <v>85.24</v>
      </c>
      <c r="M1283" s="5">
        <v>170.48</v>
      </c>
      <c r="N1283" s="5">
        <v>107.17</v>
      </c>
      <c r="O1283" s="5">
        <v>63.31</v>
      </c>
      <c r="P1283" s="4">
        <f>--AND(OR(Dashboard!$A$10="All",C1283=Dashboard!$A$10),OR(Dashboard!$A$14="All",F1283=Dashboard!$A$14),OR(Dashboard!$A$18="All",G1283=Dashboard!$A$18),OR(Dashboard!$A$22="All",I1283=Dashboard!$A$22))</f>
        <v>1</v>
      </c>
    </row>
    <row r="1284" spans="1:16" ht="15.75" customHeight="1">
      <c r="A1284" s="4" t="s">
        <v>1490</v>
      </c>
      <c r="B1284" s="6">
        <v>45430</v>
      </c>
      <c r="C1284" s="4">
        <v>2024</v>
      </c>
      <c r="D1284" s="4">
        <v>5</v>
      </c>
      <c r="E1284" s="4" t="s">
        <v>108</v>
      </c>
      <c r="F1284" s="4" t="s">
        <v>8</v>
      </c>
      <c r="G1284" s="4" t="s">
        <v>9</v>
      </c>
      <c r="H1284" s="4" t="s">
        <v>71</v>
      </c>
      <c r="I1284" s="4" t="s">
        <v>7</v>
      </c>
      <c r="J1284" s="4" t="s">
        <v>144</v>
      </c>
      <c r="K1284" s="4">
        <v>8</v>
      </c>
      <c r="L1284" s="5">
        <v>52.09</v>
      </c>
      <c r="M1284" s="5">
        <v>416.72</v>
      </c>
      <c r="N1284" s="5">
        <v>218.68</v>
      </c>
      <c r="O1284" s="5">
        <v>198.04</v>
      </c>
      <c r="P1284" s="4">
        <f>--AND(OR(Dashboard!$A$10="All",C1284=Dashboard!$A$10),OR(Dashboard!$A$14="All",F1284=Dashboard!$A$14),OR(Dashboard!$A$18="All",G1284=Dashboard!$A$18),OR(Dashboard!$A$22="All",I1284=Dashboard!$A$22))</f>
        <v>1</v>
      </c>
    </row>
    <row r="1285" spans="1:16" ht="15.75" customHeight="1">
      <c r="A1285" s="4" t="s">
        <v>1491</v>
      </c>
      <c r="B1285" s="6">
        <v>45899</v>
      </c>
      <c r="C1285" s="4">
        <v>2025</v>
      </c>
      <c r="D1285" s="4">
        <v>8</v>
      </c>
      <c r="E1285" s="4" t="s">
        <v>67</v>
      </c>
      <c r="F1285" s="4" t="s">
        <v>5</v>
      </c>
      <c r="G1285" s="4" t="s">
        <v>9</v>
      </c>
      <c r="H1285" s="4" t="s">
        <v>71</v>
      </c>
      <c r="I1285" s="4" t="s">
        <v>7</v>
      </c>
      <c r="J1285" s="4" t="s">
        <v>87</v>
      </c>
      <c r="K1285" s="4">
        <v>4</v>
      </c>
      <c r="L1285" s="5">
        <v>58.02</v>
      </c>
      <c r="M1285" s="5">
        <v>232.08</v>
      </c>
      <c r="N1285" s="5">
        <v>116.64</v>
      </c>
      <c r="O1285" s="5">
        <v>115.44</v>
      </c>
      <c r="P1285" s="4">
        <f>--AND(OR(Dashboard!$A$10="All",C1285=Dashboard!$A$10),OR(Dashboard!$A$14="All",F1285=Dashboard!$A$14),OR(Dashboard!$A$18="All",G1285=Dashboard!$A$18),OR(Dashboard!$A$22="All",I1285=Dashboard!$A$22))</f>
        <v>1</v>
      </c>
    </row>
    <row r="1286" spans="1:16" ht="15.75" customHeight="1">
      <c r="A1286" s="4" t="s">
        <v>1492</v>
      </c>
      <c r="B1286" s="6">
        <v>45660</v>
      </c>
      <c r="C1286" s="4">
        <v>2025</v>
      </c>
      <c r="D1286" s="4">
        <v>1</v>
      </c>
      <c r="E1286" s="4" t="s">
        <v>30</v>
      </c>
      <c r="F1286" s="4" t="s">
        <v>5</v>
      </c>
      <c r="G1286" s="4" t="s">
        <v>9</v>
      </c>
      <c r="H1286" s="4" t="s">
        <v>142</v>
      </c>
      <c r="I1286" s="4" t="s">
        <v>7</v>
      </c>
      <c r="J1286" s="4" t="s">
        <v>118</v>
      </c>
      <c r="K1286" s="4">
        <v>14</v>
      </c>
      <c r="L1286" s="5">
        <v>40.32</v>
      </c>
      <c r="M1286" s="5">
        <v>564.48</v>
      </c>
      <c r="N1286" s="5">
        <v>276.11</v>
      </c>
      <c r="O1286" s="5">
        <v>288.37</v>
      </c>
      <c r="P1286" s="4">
        <f>--AND(OR(Dashboard!$A$10="All",C1286=Dashboard!$A$10),OR(Dashboard!$A$14="All",F1286=Dashboard!$A$14),OR(Dashboard!$A$18="All",G1286=Dashboard!$A$18),OR(Dashboard!$A$22="All",I1286=Dashboard!$A$22))</f>
        <v>1</v>
      </c>
    </row>
    <row r="1287" spans="1:16" ht="15.75" customHeight="1">
      <c r="A1287" s="4" t="s">
        <v>1493</v>
      </c>
      <c r="B1287" s="6">
        <v>45396</v>
      </c>
      <c r="C1287" s="4">
        <v>2024</v>
      </c>
      <c r="D1287" s="4">
        <v>4</v>
      </c>
      <c r="E1287" s="4" t="s">
        <v>106</v>
      </c>
      <c r="F1287" s="4" t="s">
        <v>14</v>
      </c>
      <c r="G1287" s="4" t="s">
        <v>12</v>
      </c>
      <c r="H1287" s="4" t="s">
        <v>127</v>
      </c>
      <c r="I1287" s="4" t="s">
        <v>7</v>
      </c>
      <c r="J1287" s="4" t="s">
        <v>317</v>
      </c>
      <c r="K1287" s="4">
        <v>1</v>
      </c>
      <c r="L1287" s="5">
        <v>232.95</v>
      </c>
      <c r="M1287" s="5">
        <v>232.95</v>
      </c>
      <c r="N1287" s="5">
        <v>137.4</v>
      </c>
      <c r="O1287" s="5">
        <v>95.55</v>
      </c>
      <c r="P1287" s="4">
        <f>--AND(OR(Dashboard!$A$10="All",C1287=Dashboard!$A$10),OR(Dashboard!$A$14="All",F1287=Dashboard!$A$14),OR(Dashboard!$A$18="All",G1287=Dashboard!$A$18),OR(Dashboard!$A$22="All",I1287=Dashboard!$A$22))</f>
        <v>1</v>
      </c>
    </row>
    <row r="1288" spans="1:16" ht="15.75" customHeight="1">
      <c r="A1288" s="4" t="s">
        <v>1494</v>
      </c>
      <c r="B1288" s="6">
        <v>45686</v>
      </c>
      <c r="C1288" s="4">
        <v>2025</v>
      </c>
      <c r="D1288" s="4">
        <v>1</v>
      </c>
      <c r="E1288" s="4" t="s">
        <v>30</v>
      </c>
      <c r="F1288" s="4" t="s">
        <v>8</v>
      </c>
      <c r="G1288" s="4" t="s">
        <v>6</v>
      </c>
      <c r="H1288" s="4" t="s">
        <v>136</v>
      </c>
      <c r="I1288" s="4" t="s">
        <v>10</v>
      </c>
      <c r="J1288" s="4" t="s">
        <v>191</v>
      </c>
      <c r="K1288" s="4">
        <v>5</v>
      </c>
      <c r="L1288" s="5">
        <v>76.23</v>
      </c>
      <c r="M1288" s="5">
        <v>381.15</v>
      </c>
      <c r="N1288" s="5">
        <v>249.45</v>
      </c>
      <c r="O1288" s="5">
        <v>131.69999999999999</v>
      </c>
      <c r="P1288" s="4">
        <f>--AND(OR(Dashboard!$A$10="All",C1288=Dashboard!$A$10),OR(Dashboard!$A$14="All",F1288=Dashboard!$A$14),OR(Dashboard!$A$18="All",G1288=Dashboard!$A$18),OR(Dashboard!$A$22="All",I1288=Dashboard!$A$22))</f>
        <v>1</v>
      </c>
    </row>
    <row r="1289" spans="1:16" ht="15.75" customHeight="1">
      <c r="A1289" s="4" t="s">
        <v>1495</v>
      </c>
      <c r="B1289" s="6">
        <v>45957</v>
      </c>
      <c r="C1289" s="4">
        <v>2025</v>
      </c>
      <c r="D1289" s="4">
        <v>10</v>
      </c>
      <c r="E1289" s="4" t="s">
        <v>120</v>
      </c>
      <c r="F1289" s="4" t="s">
        <v>8</v>
      </c>
      <c r="G1289" s="4" t="s">
        <v>12</v>
      </c>
      <c r="H1289" s="4" t="s">
        <v>92</v>
      </c>
      <c r="I1289" s="4" t="s">
        <v>7</v>
      </c>
      <c r="J1289" s="4" t="s">
        <v>532</v>
      </c>
      <c r="K1289" s="4">
        <v>1</v>
      </c>
      <c r="L1289" s="5">
        <v>148.31</v>
      </c>
      <c r="M1289" s="5">
        <v>148.31</v>
      </c>
      <c r="N1289" s="5">
        <v>90.12</v>
      </c>
      <c r="O1289" s="5">
        <v>58.19</v>
      </c>
      <c r="P1289" s="4">
        <f>--AND(OR(Dashboard!$A$10="All",C1289=Dashboard!$A$10),OR(Dashboard!$A$14="All",F1289=Dashboard!$A$14),OR(Dashboard!$A$18="All",G1289=Dashboard!$A$18),OR(Dashboard!$A$22="All",I1289=Dashboard!$A$22))</f>
        <v>1</v>
      </c>
    </row>
    <row r="1290" spans="1:16" ht="15.75" customHeight="1">
      <c r="A1290" s="4" t="s">
        <v>1496</v>
      </c>
      <c r="B1290" s="6">
        <v>45970</v>
      </c>
      <c r="C1290" s="4">
        <v>2025</v>
      </c>
      <c r="D1290" s="4">
        <v>11</v>
      </c>
      <c r="E1290" s="4" t="s">
        <v>89</v>
      </c>
      <c r="F1290" s="4" t="s">
        <v>8</v>
      </c>
      <c r="G1290" s="4" t="s">
        <v>12</v>
      </c>
      <c r="H1290" s="4" t="s">
        <v>127</v>
      </c>
      <c r="I1290" s="4" t="s">
        <v>7</v>
      </c>
      <c r="J1290" s="4" t="s">
        <v>319</v>
      </c>
      <c r="K1290" s="4">
        <v>2</v>
      </c>
      <c r="L1290" s="5">
        <v>303.32</v>
      </c>
      <c r="M1290" s="5">
        <v>606.64</v>
      </c>
      <c r="N1290" s="5">
        <v>362.76</v>
      </c>
      <c r="O1290" s="5">
        <v>243.88</v>
      </c>
      <c r="P1290" s="4">
        <f>--AND(OR(Dashboard!$A$10="All",C1290=Dashboard!$A$10),OR(Dashboard!$A$14="All",F1290=Dashboard!$A$14),OR(Dashboard!$A$18="All",G1290=Dashboard!$A$18),OR(Dashboard!$A$22="All",I1290=Dashboard!$A$22))</f>
        <v>1</v>
      </c>
    </row>
    <row r="1291" spans="1:16" ht="15.75" customHeight="1">
      <c r="A1291" s="4" t="s">
        <v>1497</v>
      </c>
      <c r="B1291" s="6">
        <v>45356</v>
      </c>
      <c r="C1291" s="4">
        <v>2024</v>
      </c>
      <c r="D1291" s="4">
        <v>3</v>
      </c>
      <c r="E1291" s="4" t="s">
        <v>100</v>
      </c>
      <c r="F1291" s="4" t="s">
        <v>5</v>
      </c>
      <c r="G1291" s="4" t="s">
        <v>9</v>
      </c>
      <c r="H1291" s="4" t="s">
        <v>35</v>
      </c>
      <c r="I1291" s="4" t="s">
        <v>10</v>
      </c>
      <c r="J1291" s="4" t="s">
        <v>193</v>
      </c>
      <c r="K1291" s="4">
        <v>1</v>
      </c>
      <c r="L1291" s="5">
        <v>60.17</v>
      </c>
      <c r="M1291" s="5">
        <v>60.17</v>
      </c>
      <c r="N1291" s="5">
        <v>30.43</v>
      </c>
      <c r="O1291" s="5">
        <v>29.74</v>
      </c>
      <c r="P1291" s="4">
        <f>--AND(OR(Dashboard!$A$10="All",C1291=Dashboard!$A$10),OR(Dashboard!$A$14="All",F1291=Dashboard!$A$14),OR(Dashboard!$A$18="All",G1291=Dashboard!$A$18),OR(Dashboard!$A$22="All",I1291=Dashboard!$A$22))</f>
        <v>1</v>
      </c>
    </row>
    <row r="1292" spans="1:16" ht="15.75" customHeight="1">
      <c r="A1292" s="4" t="s">
        <v>1498</v>
      </c>
      <c r="B1292" s="6">
        <v>45482</v>
      </c>
      <c r="C1292" s="4">
        <v>2024</v>
      </c>
      <c r="D1292" s="4">
        <v>7</v>
      </c>
      <c r="E1292" s="4" t="s">
        <v>63</v>
      </c>
      <c r="F1292" s="4" t="s">
        <v>11</v>
      </c>
      <c r="G1292" s="4" t="s">
        <v>12</v>
      </c>
      <c r="H1292" s="4" t="s">
        <v>92</v>
      </c>
      <c r="I1292" s="4" t="s">
        <v>7</v>
      </c>
      <c r="J1292" s="4" t="s">
        <v>134</v>
      </c>
      <c r="K1292" s="4">
        <v>5</v>
      </c>
      <c r="L1292" s="5">
        <v>157.69999999999999</v>
      </c>
      <c r="M1292" s="5">
        <v>788.5</v>
      </c>
      <c r="N1292" s="5">
        <v>466.65</v>
      </c>
      <c r="O1292" s="5">
        <v>321.85000000000002</v>
      </c>
      <c r="P1292" s="4">
        <f>--AND(OR(Dashboard!$A$10="All",C1292=Dashboard!$A$10),OR(Dashboard!$A$14="All",F1292=Dashboard!$A$14),OR(Dashboard!$A$18="All",G1292=Dashboard!$A$18),OR(Dashboard!$A$22="All",I1292=Dashboard!$A$22))</f>
        <v>1</v>
      </c>
    </row>
    <row r="1293" spans="1:16" ht="15.75" customHeight="1">
      <c r="A1293" s="4" t="s">
        <v>1499</v>
      </c>
      <c r="B1293" s="6">
        <v>46009</v>
      </c>
      <c r="C1293" s="4">
        <v>2025</v>
      </c>
      <c r="D1293" s="4">
        <v>12</v>
      </c>
      <c r="E1293" s="4" t="s">
        <v>57</v>
      </c>
      <c r="F1293" s="4" t="s">
        <v>5</v>
      </c>
      <c r="G1293" s="4" t="s">
        <v>12</v>
      </c>
      <c r="H1293" s="4" t="s">
        <v>124</v>
      </c>
      <c r="I1293" s="4" t="s">
        <v>13</v>
      </c>
      <c r="J1293" s="4" t="s">
        <v>249</v>
      </c>
      <c r="K1293" s="4">
        <v>1</v>
      </c>
      <c r="L1293" s="5">
        <v>118.81</v>
      </c>
      <c r="M1293" s="5">
        <v>118.81</v>
      </c>
      <c r="N1293" s="5">
        <v>68.069999999999993</v>
      </c>
      <c r="O1293" s="5">
        <v>50.74</v>
      </c>
      <c r="P1293" s="4">
        <f>--AND(OR(Dashboard!$A$10="All",C1293=Dashboard!$A$10),OR(Dashboard!$A$14="All",F1293=Dashboard!$A$14),OR(Dashboard!$A$18="All",G1293=Dashboard!$A$18),OR(Dashboard!$A$22="All",I1293=Dashboard!$A$22))</f>
        <v>1</v>
      </c>
    </row>
    <row r="1294" spans="1:16" ht="15.75" customHeight="1">
      <c r="A1294" s="4" t="s">
        <v>1500</v>
      </c>
      <c r="B1294" s="6">
        <v>45638</v>
      </c>
      <c r="C1294" s="4">
        <v>2024</v>
      </c>
      <c r="D1294" s="4">
        <v>12</v>
      </c>
      <c r="E1294" s="4" t="s">
        <v>57</v>
      </c>
      <c r="F1294" s="4" t="s">
        <v>5</v>
      </c>
      <c r="G1294" s="4" t="s">
        <v>9</v>
      </c>
      <c r="H1294" s="4" t="s">
        <v>110</v>
      </c>
      <c r="I1294" s="4" t="s">
        <v>7</v>
      </c>
      <c r="J1294" s="4" t="s">
        <v>226</v>
      </c>
      <c r="K1294" s="4">
        <v>3</v>
      </c>
      <c r="L1294" s="5">
        <v>40.33</v>
      </c>
      <c r="M1294" s="5">
        <v>120.99</v>
      </c>
      <c r="N1294" s="5">
        <v>59.16</v>
      </c>
      <c r="O1294" s="5">
        <v>61.83</v>
      </c>
      <c r="P1294" s="4">
        <f>--AND(OR(Dashboard!$A$10="All",C1294=Dashboard!$A$10),OR(Dashboard!$A$14="All",F1294=Dashboard!$A$14),OR(Dashboard!$A$18="All",G1294=Dashboard!$A$18),OR(Dashboard!$A$22="All",I1294=Dashboard!$A$22))</f>
        <v>1</v>
      </c>
    </row>
    <row r="1295" spans="1:16" ht="15.75" customHeight="1">
      <c r="A1295" s="4" t="s">
        <v>1501</v>
      </c>
      <c r="B1295" s="6">
        <v>45955</v>
      </c>
      <c r="C1295" s="4">
        <v>2025</v>
      </c>
      <c r="D1295" s="4">
        <v>10</v>
      </c>
      <c r="E1295" s="4" t="s">
        <v>120</v>
      </c>
      <c r="F1295" s="4" t="s">
        <v>8</v>
      </c>
      <c r="G1295" s="4" t="s">
        <v>9</v>
      </c>
      <c r="H1295" s="4" t="s">
        <v>142</v>
      </c>
      <c r="I1295" s="4" t="s">
        <v>13</v>
      </c>
      <c r="J1295" s="4" t="s">
        <v>164</v>
      </c>
      <c r="K1295" s="4">
        <v>5</v>
      </c>
      <c r="L1295" s="5">
        <v>38.32</v>
      </c>
      <c r="M1295" s="5">
        <v>191.6</v>
      </c>
      <c r="N1295" s="5">
        <v>93.47</v>
      </c>
      <c r="O1295" s="5">
        <v>98.13</v>
      </c>
      <c r="P1295" s="4">
        <f>--AND(OR(Dashboard!$A$10="All",C1295=Dashboard!$A$10),OR(Dashboard!$A$14="All",F1295=Dashboard!$A$14),OR(Dashboard!$A$18="All",G1295=Dashboard!$A$18),OR(Dashboard!$A$22="All",I1295=Dashboard!$A$22))</f>
        <v>1</v>
      </c>
    </row>
    <row r="1296" spans="1:16" ht="15.75" customHeight="1">
      <c r="A1296" s="4" t="s">
        <v>1502</v>
      </c>
      <c r="B1296" s="6">
        <v>45512</v>
      </c>
      <c r="C1296" s="4">
        <v>2024</v>
      </c>
      <c r="D1296" s="4">
        <v>8</v>
      </c>
      <c r="E1296" s="4" t="s">
        <v>67</v>
      </c>
      <c r="F1296" s="4" t="s">
        <v>5</v>
      </c>
      <c r="G1296" s="4" t="s">
        <v>12</v>
      </c>
      <c r="H1296" s="4" t="s">
        <v>124</v>
      </c>
      <c r="I1296" s="4" t="s">
        <v>13</v>
      </c>
      <c r="J1296" s="4" t="s">
        <v>199</v>
      </c>
      <c r="K1296" s="4">
        <v>3</v>
      </c>
      <c r="L1296" s="5">
        <v>213.79</v>
      </c>
      <c r="M1296" s="5">
        <v>641.37</v>
      </c>
      <c r="N1296" s="5">
        <v>389.9</v>
      </c>
      <c r="O1296" s="5">
        <v>251.47</v>
      </c>
      <c r="P1296" s="4">
        <f>--AND(OR(Dashboard!$A$10="All",C1296=Dashboard!$A$10),OR(Dashboard!$A$14="All",F1296=Dashboard!$A$14),OR(Dashboard!$A$18="All",G1296=Dashboard!$A$18),OR(Dashboard!$A$22="All",I1296=Dashboard!$A$22))</f>
        <v>1</v>
      </c>
    </row>
    <row r="1297" spans="1:16" ht="15.75" customHeight="1">
      <c r="A1297" s="4" t="s">
        <v>1503</v>
      </c>
      <c r="B1297" s="6">
        <v>45664</v>
      </c>
      <c r="C1297" s="4">
        <v>2025</v>
      </c>
      <c r="D1297" s="4">
        <v>1</v>
      </c>
      <c r="E1297" s="4" t="s">
        <v>30</v>
      </c>
      <c r="F1297" s="4" t="s">
        <v>5</v>
      </c>
      <c r="G1297" s="4" t="s">
        <v>12</v>
      </c>
      <c r="H1297" s="4" t="s">
        <v>127</v>
      </c>
      <c r="I1297" s="4" t="s">
        <v>7</v>
      </c>
      <c r="J1297" s="4" t="s">
        <v>460</v>
      </c>
      <c r="K1297" s="4">
        <v>2</v>
      </c>
      <c r="L1297" s="5">
        <v>137.53</v>
      </c>
      <c r="M1297" s="5">
        <v>275.06</v>
      </c>
      <c r="N1297" s="5">
        <v>168.79</v>
      </c>
      <c r="O1297" s="5">
        <v>106.27</v>
      </c>
      <c r="P1297" s="4">
        <f>--AND(OR(Dashboard!$A$10="All",C1297=Dashboard!$A$10),OR(Dashboard!$A$14="All",F1297=Dashboard!$A$14),OR(Dashboard!$A$18="All",G1297=Dashboard!$A$18),OR(Dashboard!$A$22="All",I1297=Dashboard!$A$22))</f>
        <v>1</v>
      </c>
    </row>
    <row r="1298" spans="1:16" ht="15.75" customHeight="1">
      <c r="A1298" s="4" t="s">
        <v>1504</v>
      </c>
      <c r="B1298" s="6">
        <v>45988</v>
      </c>
      <c r="C1298" s="4">
        <v>2025</v>
      </c>
      <c r="D1298" s="4">
        <v>11</v>
      </c>
      <c r="E1298" s="4" t="s">
        <v>89</v>
      </c>
      <c r="F1298" s="4" t="s">
        <v>5</v>
      </c>
      <c r="G1298" s="4" t="s">
        <v>12</v>
      </c>
      <c r="H1298" s="4" t="s">
        <v>124</v>
      </c>
      <c r="I1298" s="4" t="s">
        <v>7</v>
      </c>
      <c r="J1298" s="4" t="s">
        <v>216</v>
      </c>
      <c r="K1298" s="4">
        <v>7</v>
      </c>
      <c r="L1298" s="5">
        <v>261.91000000000003</v>
      </c>
      <c r="M1298" s="5">
        <v>1833.37</v>
      </c>
      <c r="N1298" s="5">
        <v>1111.8599999999999</v>
      </c>
      <c r="O1298" s="5">
        <v>721.51</v>
      </c>
      <c r="P1298" s="4">
        <f>--AND(OR(Dashboard!$A$10="All",C1298=Dashboard!$A$10),OR(Dashboard!$A$14="All",F1298=Dashboard!$A$14),OR(Dashboard!$A$18="All",G1298=Dashboard!$A$18),OR(Dashboard!$A$22="All",I1298=Dashboard!$A$22))</f>
        <v>1</v>
      </c>
    </row>
    <row r="1299" spans="1:16" ht="15.75" customHeight="1">
      <c r="A1299" s="4" t="s">
        <v>1505</v>
      </c>
      <c r="B1299" s="6">
        <v>45474</v>
      </c>
      <c r="C1299" s="4">
        <v>2024</v>
      </c>
      <c r="D1299" s="4">
        <v>7</v>
      </c>
      <c r="E1299" s="4" t="s">
        <v>63</v>
      </c>
      <c r="F1299" s="4" t="s">
        <v>8</v>
      </c>
      <c r="G1299" s="4" t="s">
        <v>6</v>
      </c>
      <c r="H1299" s="4" t="s">
        <v>54</v>
      </c>
      <c r="I1299" s="4" t="s">
        <v>13</v>
      </c>
      <c r="J1299" s="4" t="s">
        <v>393</v>
      </c>
      <c r="K1299" s="4">
        <v>1</v>
      </c>
      <c r="L1299" s="5">
        <v>171.26</v>
      </c>
      <c r="M1299" s="5">
        <v>171.26</v>
      </c>
      <c r="N1299" s="5">
        <v>115.65</v>
      </c>
      <c r="O1299" s="5">
        <v>55.61</v>
      </c>
      <c r="P1299" s="4">
        <f>--AND(OR(Dashboard!$A$10="All",C1299=Dashboard!$A$10),OR(Dashboard!$A$14="All",F1299=Dashboard!$A$14),OR(Dashboard!$A$18="All",G1299=Dashboard!$A$18),OR(Dashboard!$A$22="All",I1299=Dashboard!$A$22))</f>
        <v>1</v>
      </c>
    </row>
    <row r="1300" spans="1:16" ht="15.75" customHeight="1">
      <c r="A1300" s="4" t="s">
        <v>1506</v>
      </c>
      <c r="B1300" s="6">
        <v>45744</v>
      </c>
      <c r="C1300" s="4">
        <v>2025</v>
      </c>
      <c r="D1300" s="4">
        <v>3</v>
      </c>
      <c r="E1300" s="4" t="s">
        <v>100</v>
      </c>
      <c r="F1300" s="4" t="s">
        <v>5</v>
      </c>
      <c r="G1300" s="4" t="s">
        <v>12</v>
      </c>
      <c r="H1300" s="4" t="s">
        <v>58</v>
      </c>
      <c r="I1300" s="4" t="s">
        <v>13</v>
      </c>
      <c r="J1300" s="4" t="s">
        <v>362</v>
      </c>
      <c r="K1300" s="4">
        <v>3</v>
      </c>
      <c r="L1300" s="5">
        <v>243.26</v>
      </c>
      <c r="M1300" s="5">
        <v>729.78</v>
      </c>
      <c r="N1300" s="5">
        <v>436.55</v>
      </c>
      <c r="O1300" s="5">
        <v>293.23</v>
      </c>
      <c r="P1300" s="4">
        <f>--AND(OR(Dashboard!$A$10="All",C1300=Dashboard!$A$10),OR(Dashboard!$A$14="All",F1300=Dashboard!$A$14),OR(Dashboard!$A$18="All",G1300=Dashboard!$A$18),OR(Dashboard!$A$22="All",I1300=Dashboard!$A$22))</f>
        <v>1</v>
      </c>
    </row>
    <row r="1301" spans="1:16" ht="15.75" customHeight="1">
      <c r="A1301" s="4" t="s">
        <v>1507</v>
      </c>
      <c r="B1301" s="6">
        <v>45953</v>
      </c>
      <c r="C1301" s="4">
        <v>2025</v>
      </c>
      <c r="D1301" s="4">
        <v>10</v>
      </c>
      <c r="E1301" s="4" t="s">
        <v>120</v>
      </c>
      <c r="F1301" s="4" t="s">
        <v>5</v>
      </c>
      <c r="G1301" s="4" t="s">
        <v>9</v>
      </c>
      <c r="H1301" s="4" t="s">
        <v>35</v>
      </c>
      <c r="I1301" s="4" t="s">
        <v>7</v>
      </c>
      <c r="J1301" s="4" t="s">
        <v>146</v>
      </c>
      <c r="K1301" s="4">
        <v>2</v>
      </c>
      <c r="L1301" s="5">
        <v>40.47</v>
      </c>
      <c r="M1301" s="5">
        <v>80.94</v>
      </c>
      <c r="N1301" s="5">
        <v>41.27</v>
      </c>
      <c r="O1301" s="5">
        <v>39.67</v>
      </c>
      <c r="P1301" s="4">
        <f>--AND(OR(Dashboard!$A$10="All",C1301=Dashboard!$A$10),OR(Dashboard!$A$14="All",F1301=Dashboard!$A$14),OR(Dashboard!$A$18="All",G1301=Dashboard!$A$18),OR(Dashboard!$A$22="All",I1301=Dashboard!$A$22))</f>
        <v>1</v>
      </c>
    </row>
    <row r="1302" spans="1:16" ht="15.75" customHeight="1">
      <c r="A1302" s="4" t="s">
        <v>1508</v>
      </c>
      <c r="B1302" s="6">
        <v>45490</v>
      </c>
      <c r="C1302" s="4">
        <v>2024</v>
      </c>
      <c r="D1302" s="4">
        <v>7</v>
      </c>
      <c r="E1302" s="4" t="s">
        <v>63</v>
      </c>
      <c r="F1302" s="4" t="s">
        <v>5</v>
      </c>
      <c r="G1302" s="4" t="s">
        <v>12</v>
      </c>
      <c r="H1302" s="4" t="s">
        <v>58</v>
      </c>
      <c r="I1302" s="4" t="s">
        <v>10</v>
      </c>
      <c r="J1302" s="4" t="s">
        <v>301</v>
      </c>
      <c r="K1302" s="4">
        <v>3</v>
      </c>
      <c r="L1302" s="5">
        <v>283.20999999999998</v>
      </c>
      <c r="M1302" s="5">
        <v>849.63</v>
      </c>
      <c r="N1302" s="5">
        <v>524.98</v>
      </c>
      <c r="O1302" s="5">
        <v>324.64999999999998</v>
      </c>
      <c r="P1302" s="4">
        <f>--AND(OR(Dashboard!$A$10="All",C1302=Dashboard!$A$10),OR(Dashboard!$A$14="All",F1302=Dashboard!$A$14),OR(Dashboard!$A$18="All",G1302=Dashboard!$A$18),OR(Dashboard!$A$22="All",I1302=Dashboard!$A$22))</f>
        <v>1</v>
      </c>
    </row>
    <row r="1303" spans="1:16" ht="15.75" customHeight="1">
      <c r="A1303" s="4" t="s">
        <v>1509</v>
      </c>
      <c r="B1303" s="6">
        <v>45924</v>
      </c>
      <c r="C1303" s="4">
        <v>2025</v>
      </c>
      <c r="D1303" s="4">
        <v>9</v>
      </c>
      <c r="E1303" s="4" t="s">
        <v>79</v>
      </c>
      <c r="F1303" s="4" t="s">
        <v>5</v>
      </c>
      <c r="G1303" s="4" t="s">
        <v>9</v>
      </c>
      <c r="H1303" s="4" t="s">
        <v>110</v>
      </c>
      <c r="I1303" s="4" t="s">
        <v>13</v>
      </c>
      <c r="J1303" s="4" t="s">
        <v>168</v>
      </c>
      <c r="K1303" s="4">
        <v>4</v>
      </c>
      <c r="L1303" s="5">
        <v>36.22</v>
      </c>
      <c r="M1303" s="5">
        <v>144.88</v>
      </c>
      <c r="N1303" s="5">
        <v>76.02</v>
      </c>
      <c r="O1303" s="5">
        <v>68.86</v>
      </c>
      <c r="P1303" s="4">
        <f>--AND(OR(Dashboard!$A$10="All",C1303=Dashboard!$A$10),OR(Dashboard!$A$14="All",F1303=Dashboard!$A$14),OR(Dashboard!$A$18="All",G1303=Dashboard!$A$18),OR(Dashboard!$A$22="All",I1303=Dashboard!$A$22))</f>
        <v>1</v>
      </c>
    </row>
    <row r="1304" spans="1:16" ht="15.75" customHeight="1">
      <c r="A1304" s="4" t="s">
        <v>1510</v>
      </c>
      <c r="B1304" s="6">
        <v>45642</v>
      </c>
      <c r="C1304" s="4">
        <v>2024</v>
      </c>
      <c r="D1304" s="4">
        <v>12</v>
      </c>
      <c r="E1304" s="4" t="s">
        <v>57</v>
      </c>
      <c r="F1304" s="4" t="s">
        <v>5</v>
      </c>
      <c r="G1304" s="4" t="s">
        <v>9</v>
      </c>
      <c r="H1304" s="4" t="s">
        <v>110</v>
      </c>
      <c r="I1304" s="4" t="s">
        <v>13</v>
      </c>
      <c r="J1304" s="4" t="s">
        <v>532</v>
      </c>
      <c r="K1304" s="4">
        <v>1</v>
      </c>
      <c r="L1304" s="5">
        <v>41.28</v>
      </c>
      <c r="M1304" s="5">
        <v>41.28</v>
      </c>
      <c r="N1304" s="5">
        <v>21.3</v>
      </c>
      <c r="O1304" s="5">
        <v>19.98</v>
      </c>
      <c r="P1304" s="4">
        <f>--AND(OR(Dashboard!$A$10="All",C1304=Dashboard!$A$10),OR(Dashboard!$A$14="All",F1304=Dashboard!$A$14),OR(Dashboard!$A$18="All",G1304=Dashboard!$A$18),OR(Dashboard!$A$22="All",I1304=Dashboard!$A$22))</f>
        <v>1</v>
      </c>
    </row>
    <row r="1305" spans="1:16" ht="15.75" customHeight="1">
      <c r="A1305" s="4" t="s">
        <v>1511</v>
      </c>
      <c r="B1305" s="6">
        <v>45993</v>
      </c>
      <c r="C1305" s="4">
        <v>2025</v>
      </c>
      <c r="D1305" s="4">
        <v>12</v>
      </c>
      <c r="E1305" s="4" t="s">
        <v>57</v>
      </c>
      <c r="F1305" s="4" t="s">
        <v>11</v>
      </c>
      <c r="G1305" s="4" t="s">
        <v>9</v>
      </c>
      <c r="H1305" s="4" t="s">
        <v>64</v>
      </c>
      <c r="I1305" s="4" t="s">
        <v>7</v>
      </c>
      <c r="J1305" s="4" t="s">
        <v>168</v>
      </c>
      <c r="K1305" s="4">
        <v>4</v>
      </c>
      <c r="L1305" s="5">
        <v>27.41</v>
      </c>
      <c r="M1305" s="5">
        <v>109.64</v>
      </c>
      <c r="N1305" s="5">
        <v>55.82</v>
      </c>
      <c r="O1305" s="5">
        <v>53.82</v>
      </c>
      <c r="P1305" s="4">
        <f>--AND(OR(Dashboard!$A$10="All",C1305=Dashboard!$A$10),OR(Dashboard!$A$14="All",F1305=Dashboard!$A$14),OR(Dashboard!$A$18="All",G1305=Dashboard!$A$18),OR(Dashboard!$A$22="All",I1305=Dashboard!$A$22))</f>
        <v>1</v>
      </c>
    </row>
    <row r="1306" spans="1:16" ht="15.75" customHeight="1">
      <c r="A1306" s="4" t="s">
        <v>1512</v>
      </c>
      <c r="B1306" s="6">
        <v>45743</v>
      </c>
      <c r="C1306" s="4">
        <v>2025</v>
      </c>
      <c r="D1306" s="4">
        <v>3</v>
      </c>
      <c r="E1306" s="4" t="s">
        <v>100</v>
      </c>
      <c r="F1306" s="4" t="s">
        <v>11</v>
      </c>
      <c r="G1306" s="4" t="s">
        <v>12</v>
      </c>
      <c r="H1306" s="4" t="s">
        <v>86</v>
      </c>
      <c r="I1306" s="4" t="s">
        <v>7</v>
      </c>
      <c r="J1306" s="4" t="s">
        <v>311</v>
      </c>
      <c r="K1306" s="4">
        <v>4</v>
      </c>
      <c r="L1306" s="5">
        <v>279.54000000000002</v>
      </c>
      <c r="M1306" s="5">
        <v>1118.1600000000001</v>
      </c>
      <c r="N1306" s="5">
        <v>658.75</v>
      </c>
      <c r="O1306" s="5">
        <v>459.41</v>
      </c>
      <c r="P1306" s="4">
        <f>--AND(OR(Dashboard!$A$10="All",C1306=Dashboard!$A$10),OR(Dashboard!$A$14="All",F1306=Dashboard!$A$14),OR(Dashboard!$A$18="All",G1306=Dashboard!$A$18),OR(Dashboard!$A$22="All",I1306=Dashboard!$A$22))</f>
        <v>1</v>
      </c>
    </row>
    <row r="1307" spans="1:16" ht="15.75" customHeight="1">
      <c r="A1307" s="4" t="s">
        <v>1513</v>
      </c>
      <c r="B1307" s="6">
        <v>45933</v>
      </c>
      <c r="C1307" s="4">
        <v>2025</v>
      </c>
      <c r="D1307" s="4">
        <v>10</v>
      </c>
      <c r="E1307" s="4" t="s">
        <v>120</v>
      </c>
      <c r="F1307" s="4" t="s">
        <v>5</v>
      </c>
      <c r="G1307" s="4" t="s">
        <v>6</v>
      </c>
      <c r="H1307" s="4" t="s">
        <v>98</v>
      </c>
      <c r="I1307" s="4" t="s">
        <v>13</v>
      </c>
      <c r="J1307" s="4" t="s">
        <v>494</v>
      </c>
      <c r="K1307" s="4">
        <v>6</v>
      </c>
      <c r="L1307" s="5">
        <v>214.34</v>
      </c>
      <c r="M1307" s="5">
        <v>1286.04</v>
      </c>
      <c r="N1307" s="5">
        <v>886.4</v>
      </c>
      <c r="O1307" s="5">
        <v>399.64</v>
      </c>
      <c r="P1307" s="4">
        <f>--AND(OR(Dashboard!$A$10="All",C1307=Dashboard!$A$10),OR(Dashboard!$A$14="All",F1307=Dashboard!$A$14),OR(Dashboard!$A$18="All",G1307=Dashboard!$A$18),OR(Dashboard!$A$22="All",I1307=Dashboard!$A$22))</f>
        <v>1</v>
      </c>
    </row>
    <row r="1308" spans="1:16" ht="15.75" customHeight="1">
      <c r="A1308" s="4" t="s">
        <v>1514</v>
      </c>
      <c r="B1308" s="6">
        <v>45539</v>
      </c>
      <c r="C1308" s="4">
        <v>2024</v>
      </c>
      <c r="D1308" s="4">
        <v>9</v>
      </c>
      <c r="E1308" s="4" t="s">
        <v>79</v>
      </c>
      <c r="F1308" s="4" t="s">
        <v>5</v>
      </c>
      <c r="G1308" s="4" t="s">
        <v>6</v>
      </c>
      <c r="H1308" s="4" t="s">
        <v>136</v>
      </c>
      <c r="I1308" s="4" t="s">
        <v>10</v>
      </c>
      <c r="J1308" s="4" t="s">
        <v>202</v>
      </c>
      <c r="K1308" s="4">
        <v>1</v>
      </c>
      <c r="L1308" s="5">
        <v>81.25</v>
      </c>
      <c r="M1308" s="5">
        <v>81.25</v>
      </c>
      <c r="N1308" s="5">
        <v>52.13</v>
      </c>
      <c r="O1308" s="5">
        <v>29.12</v>
      </c>
      <c r="P1308" s="4">
        <f>--AND(OR(Dashboard!$A$10="All",C1308=Dashboard!$A$10),OR(Dashboard!$A$14="All",F1308=Dashboard!$A$14),OR(Dashboard!$A$18="All",G1308=Dashboard!$A$18),OR(Dashboard!$A$22="All",I1308=Dashboard!$A$22))</f>
        <v>1</v>
      </c>
    </row>
    <row r="1309" spans="1:16" ht="15.75" customHeight="1">
      <c r="A1309" s="4" t="s">
        <v>1515</v>
      </c>
      <c r="B1309" s="6">
        <v>46022</v>
      </c>
      <c r="C1309" s="4">
        <v>2025</v>
      </c>
      <c r="D1309" s="4">
        <v>12</v>
      </c>
      <c r="E1309" s="4" t="s">
        <v>57</v>
      </c>
      <c r="F1309" s="4" t="s">
        <v>5</v>
      </c>
      <c r="G1309" s="4" t="s">
        <v>6</v>
      </c>
      <c r="H1309" s="4" t="s">
        <v>114</v>
      </c>
      <c r="I1309" s="4" t="s">
        <v>7</v>
      </c>
      <c r="J1309" s="4" t="s">
        <v>195</v>
      </c>
      <c r="K1309" s="4">
        <v>2</v>
      </c>
      <c r="L1309" s="5">
        <v>82.7</v>
      </c>
      <c r="M1309" s="5">
        <v>165.4</v>
      </c>
      <c r="N1309" s="5">
        <v>110.52</v>
      </c>
      <c r="O1309" s="5">
        <v>54.88</v>
      </c>
      <c r="P1309" s="4">
        <f>--AND(OR(Dashboard!$A$10="All",C1309=Dashboard!$A$10),OR(Dashboard!$A$14="All",F1309=Dashboard!$A$14),OR(Dashboard!$A$18="All",G1309=Dashboard!$A$18),OR(Dashboard!$A$22="All",I1309=Dashboard!$A$22))</f>
        <v>1</v>
      </c>
    </row>
    <row r="1310" spans="1:16" ht="15.75" customHeight="1">
      <c r="A1310" s="4" t="s">
        <v>1516</v>
      </c>
      <c r="B1310" s="6">
        <v>45439</v>
      </c>
      <c r="C1310" s="4">
        <v>2024</v>
      </c>
      <c r="D1310" s="4">
        <v>5</v>
      </c>
      <c r="E1310" s="4" t="s">
        <v>108</v>
      </c>
      <c r="F1310" s="4" t="s">
        <v>5</v>
      </c>
      <c r="G1310" s="4" t="s">
        <v>9</v>
      </c>
      <c r="H1310" s="4" t="s">
        <v>71</v>
      </c>
      <c r="I1310" s="4" t="s">
        <v>7</v>
      </c>
      <c r="J1310" s="4" t="s">
        <v>276</v>
      </c>
      <c r="K1310" s="4">
        <v>6</v>
      </c>
      <c r="L1310" s="5">
        <v>26</v>
      </c>
      <c r="M1310" s="5">
        <v>156</v>
      </c>
      <c r="N1310" s="5">
        <v>81.58</v>
      </c>
      <c r="O1310" s="5">
        <v>74.42</v>
      </c>
      <c r="P1310" s="4">
        <f>--AND(OR(Dashboard!$A$10="All",C1310=Dashboard!$A$10),OR(Dashboard!$A$14="All",F1310=Dashboard!$A$14),OR(Dashboard!$A$18="All",G1310=Dashboard!$A$18),OR(Dashboard!$A$22="All",I1310=Dashboard!$A$22))</f>
        <v>1</v>
      </c>
    </row>
    <row r="1311" spans="1:16" ht="15.75" customHeight="1">
      <c r="A1311" s="4" t="s">
        <v>1517</v>
      </c>
      <c r="B1311" s="6">
        <v>45961</v>
      </c>
      <c r="C1311" s="4">
        <v>2025</v>
      </c>
      <c r="D1311" s="4">
        <v>10</v>
      </c>
      <c r="E1311" s="4" t="s">
        <v>120</v>
      </c>
      <c r="F1311" s="4" t="s">
        <v>5</v>
      </c>
      <c r="G1311" s="4" t="s">
        <v>12</v>
      </c>
      <c r="H1311" s="4" t="s">
        <v>127</v>
      </c>
      <c r="I1311" s="4" t="s">
        <v>7</v>
      </c>
      <c r="J1311" s="4" t="s">
        <v>134</v>
      </c>
      <c r="K1311" s="4">
        <v>2</v>
      </c>
      <c r="L1311" s="5">
        <v>302</v>
      </c>
      <c r="M1311" s="5">
        <v>604</v>
      </c>
      <c r="N1311" s="5">
        <v>361.58</v>
      </c>
      <c r="O1311" s="5">
        <v>242.42</v>
      </c>
      <c r="P1311" s="4">
        <f>--AND(OR(Dashboard!$A$10="All",C1311=Dashboard!$A$10),OR(Dashboard!$A$14="All",F1311=Dashboard!$A$14),OR(Dashboard!$A$18="All",G1311=Dashboard!$A$18),OR(Dashboard!$A$22="All",I1311=Dashboard!$A$22))</f>
        <v>1</v>
      </c>
    </row>
    <row r="1312" spans="1:16" ht="15.75" customHeight="1">
      <c r="A1312" s="4" t="s">
        <v>1518</v>
      </c>
      <c r="B1312" s="6">
        <v>45818</v>
      </c>
      <c r="C1312" s="4">
        <v>2025</v>
      </c>
      <c r="D1312" s="4">
        <v>6</v>
      </c>
      <c r="E1312" s="4" t="s">
        <v>34</v>
      </c>
      <c r="F1312" s="4" t="s">
        <v>5</v>
      </c>
      <c r="G1312" s="4" t="s">
        <v>9</v>
      </c>
      <c r="H1312" s="4" t="s">
        <v>71</v>
      </c>
      <c r="I1312" s="4" t="s">
        <v>7</v>
      </c>
      <c r="J1312" s="4" t="s">
        <v>491</v>
      </c>
      <c r="K1312" s="4">
        <v>1</v>
      </c>
      <c r="L1312" s="5">
        <v>59.1</v>
      </c>
      <c r="M1312" s="5">
        <v>59.1</v>
      </c>
      <c r="N1312" s="5">
        <v>29.49</v>
      </c>
      <c r="O1312" s="5">
        <v>29.61</v>
      </c>
      <c r="P1312" s="4">
        <f>--AND(OR(Dashboard!$A$10="All",C1312=Dashboard!$A$10),OR(Dashboard!$A$14="All",F1312=Dashboard!$A$14),OR(Dashboard!$A$18="All",G1312=Dashboard!$A$18),OR(Dashboard!$A$22="All",I1312=Dashboard!$A$22))</f>
        <v>1</v>
      </c>
    </row>
    <row r="1313" spans="1:16" ht="15.75" customHeight="1">
      <c r="A1313" s="4" t="s">
        <v>1519</v>
      </c>
      <c r="B1313" s="6">
        <v>45674</v>
      </c>
      <c r="C1313" s="4">
        <v>2025</v>
      </c>
      <c r="D1313" s="4">
        <v>1</v>
      </c>
      <c r="E1313" s="4" t="s">
        <v>30</v>
      </c>
      <c r="F1313" s="4" t="s">
        <v>5</v>
      </c>
      <c r="G1313" s="4" t="s">
        <v>6</v>
      </c>
      <c r="H1313" s="4" t="s">
        <v>80</v>
      </c>
      <c r="I1313" s="4" t="s">
        <v>10</v>
      </c>
      <c r="J1313" s="4" t="s">
        <v>407</v>
      </c>
      <c r="K1313" s="4">
        <v>1</v>
      </c>
      <c r="L1313" s="5">
        <v>130.65</v>
      </c>
      <c r="M1313" s="5">
        <v>130.65</v>
      </c>
      <c r="N1313" s="5">
        <v>82.7</v>
      </c>
      <c r="O1313" s="5">
        <v>47.95</v>
      </c>
      <c r="P1313" s="4">
        <f>--AND(OR(Dashboard!$A$10="All",C1313=Dashboard!$A$10),OR(Dashboard!$A$14="All",F1313=Dashboard!$A$14),OR(Dashboard!$A$18="All",G1313=Dashboard!$A$18),OR(Dashboard!$A$22="All",I1313=Dashboard!$A$22))</f>
        <v>1</v>
      </c>
    </row>
    <row r="1314" spans="1:16" ht="15.75" customHeight="1">
      <c r="A1314" s="4" t="s">
        <v>1520</v>
      </c>
      <c r="B1314" s="6">
        <v>45328</v>
      </c>
      <c r="C1314" s="4">
        <v>2024</v>
      </c>
      <c r="D1314" s="4">
        <v>2</v>
      </c>
      <c r="E1314" s="4" t="s">
        <v>70</v>
      </c>
      <c r="F1314" s="4" t="s">
        <v>8</v>
      </c>
      <c r="G1314" s="4" t="s">
        <v>6</v>
      </c>
      <c r="H1314" s="4" t="s">
        <v>136</v>
      </c>
      <c r="I1314" s="4" t="s">
        <v>7</v>
      </c>
      <c r="J1314" s="4" t="s">
        <v>118</v>
      </c>
      <c r="K1314" s="4">
        <v>4</v>
      </c>
      <c r="L1314" s="5">
        <v>91.86</v>
      </c>
      <c r="M1314" s="5">
        <v>367.44</v>
      </c>
      <c r="N1314" s="5">
        <v>232.02</v>
      </c>
      <c r="O1314" s="5">
        <v>135.41999999999999</v>
      </c>
      <c r="P1314" s="4">
        <f>--AND(OR(Dashboard!$A$10="All",C1314=Dashboard!$A$10),OR(Dashboard!$A$14="All",F1314=Dashboard!$A$14),OR(Dashboard!$A$18="All",G1314=Dashboard!$A$18),OR(Dashboard!$A$22="All",I1314=Dashboard!$A$22))</f>
        <v>1</v>
      </c>
    </row>
    <row r="1315" spans="1:16" ht="15.75" customHeight="1">
      <c r="A1315" s="4" t="s">
        <v>1521</v>
      </c>
      <c r="B1315" s="6">
        <v>45698</v>
      </c>
      <c r="C1315" s="4">
        <v>2025</v>
      </c>
      <c r="D1315" s="4">
        <v>2</v>
      </c>
      <c r="E1315" s="4" t="s">
        <v>70</v>
      </c>
      <c r="F1315" s="4" t="s">
        <v>5</v>
      </c>
      <c r="G1315" s="4" t="s">
        <v>6</v>
      </c>
      <c r="H1315" s="4" t="s">
        <v>54</v>
      </c>
      <c r="I1315" s="4" t="s">
        <v>7</v>
      </c>
      <c r="J1315" s="4" t="s">
        <v>289</v>
      </c>
      <c r="K1315" s="4">
        <v>9</v>
      </c>
      <c r="L1315" s="5">
        <v>82.18</v>
      </c>
      <c r="M1315" s="5">
        <v>739.62</v>
      </c>
      <c r="N1315" s="5">
        <v>473.75</v>
      </c>
      <c r="O1315" s="5">
        <v>265.87</v>
      </c>
      <c r="P1315" s="4">
        <f>--AND(OR(Dashboard!$A$10="All",C1315=Dashboard!$A$10),OR(Dashboard!$A$14="All",F1315=Dashboard!$A$14),OR(Dashboard!$A$18="All",G1315=Dashboard!$A$18),OR(Dashboard!$A$22="All",I1315=Dashboard!$A$22))</f>
        <v>1</v>
      </c>
    </row>
    <row r="1316" spans="1:16" ht="15.75" customHeight="1">
      <c r="A1316" s="4" t="s">
        <v>1522</v>
      </c>
      <c r="B1316" s="6">
        <v>45805</v>
      </c>
      <c r="C1316" s="4">
        <v>2025</v>
      </c>
      <c r="D1316" s="4">
        <v>5</v>
      </c>
      <c r="E1316" s="4" t="s">
        <v>108</v>
      </c>
      <c r="F1316" s="4" t="s">
        <v>11</v>
      </c>
      <c r="G1316" s="4" t="s">
        <v>12</v>
      </c>
      <c r="H1316" s="4" t="s">
        <v>127</v>
      </c>
      <c r="I1316" s="4" t="s">
        <v>13</v>
      </c>
      <c r="J1316" s="4" t="s">
        <v>455</v>
      </c>
      <c r="K1316" s="4">
        <v>2</v>
      </c>
      <c r="L1316" s="5">
        <v>180.7</v>
      </c>
      <c r="M1316" s="5">
        <v>361.4</v>
      </c>
      <c r="N1316" s="5">
        <v>214.47</v>
      </c>
      <c r="O1316" s="5">
        <v>146.93</v>
      </c>
      <c r="P1316" s="4">
        <f>--AND(OR(Dashboard!$A$10="All",C1316=Dashboard!$A$10),OR(Dashboard!$A$14="All",F1316=Dashboard!$A$14),OR(Dashboard!$A$18="All",G1316=Dashboard!$A$18),OR(Dashboard!$A$22="All",I1316=Dashboard!$A$22))</f>
        <v>1</v>
      </c>
    </row>
    <row r="1317" spans="1:16" ht="15.75" customHeight="1">
      <c r="A1317" s="4" t="s">
        <v>1523</v>
      </c>
      <c r="B1317" s="6">
        <v>45771</v>
      </c>
      <c r="C1317" s="4">
        <v>2025</v>
      </c>
      <c r="D1317" s="4">
        <v>4</v>
      </c>
      <c r="E1317" s="4" t="s">
        <v>106</v>
      </c>
      <c r="F1317" s="4" t="s">
        <v>11</v>
      </c>
      <c r="G1317" s="4" t="s">
        <v>12</v>
      </c>
      <c r="H1317" s="4" t="s">
        <v>58</v>
      </c>
      <c r="I1317" s="4" t="s">
        <v>13</v>
      </c>
      <c r="J1317" s="4" t="s">
        <v>360</v>
      </c>
      <c r="K1317" s="4">
        <v>9</v>
      </c>
      <c r="L1317" s="5">
        <v>218.69</v>
      </c>
      <c r="M1317" s="5">
        <v>1968.21</v>
      </c>
      <c r="N1317" s="5">
        <v>1193.3</v>
      </c>
      <c r="O1317" s="5">
        <v>774.91</v>
      </c>
      <c r="P1317" s="4">
        <f>--AND(OR(Dashboard!$A$10="All",C1317=Dashboard!$A$10),OR(Dashboard!$A$14="All",F1317=Dashboard!$A$14),OR(Dashboard!$A$18="All",G1317=Dashboard!$A$18),OR(Dashboard!$A$22="All",I1317=Dashboard!$A$22))</f>
        <v>1</v>
      </c>
    </row>
    <row r="1318" spans="1:16" ht="15.75" customHeight="1">
      <c r="A1318" s="4" t="s">
        <v>1524</v>
      </c>
      <c r="B1318" s="6">
        <v>45653</v>
      </c>
      <c r="C1318" s="4">
        <v>2024</v>
      </c>
      <c r="D1318" s="4">
        <v>12</v>
      </c>
      <c r="E1318" s="4" t="s">
        <v>57</v>
      </c>
      <c r="F1318" s="4" t="s">
        <v>11</v>
      </c>
      <c r="G1318" s="4" t="s">
        <v>12</v>
      </c>
      <c r="H1318" s="4" t="s">
        <v>86</v>
      </c>
      <c r="I1318" s="4" t="s">
        <v>7</v>
      </c>
      <c r="J1318" s="4" t="s">
        <v>230</v>
      </c>
      <c r="K1318" s="4">
        <v>4</v>
      </c>
      <c r="L1318" s="5">
        <v>251.95</v>
      </c>
      <c r="M1318" s="5">
        <v>1007.8</v>
      </c>
      <c r="N1318" s="5">
        <v>585.01</v>
      </c>
      <c r="O1318" s="5">
        <v>422.79</v>
      </c>
      <c r="P1318" s="4">
        <f>--AND(OR(Dashboard!$A$10="All",C1318=Dashboard!$A$10),OR(Dashboard!$A$14="All",F1318=Dashboard!$A$14),OR(Dashboard!$A$18="All",G1318=Dashboard!$A$18),OR(Dashboard!$A$22="All",I1318=Dashboard!$A$22))</f>
        <v>1</v>
      </c>
    </row>
    <row r="1319" spans="1:16" ht="15.75" customHeight="1">
      <c r="A1319" s="4" t="s">
        <v>1525</v>
      </c>
      <c r="B1319" s="6">
        <v>46018</v>
      </c>
      <c r="C1319" s="4">
        <v>2025</v>
      </c>
      <c r="D1319" s="4">
        <v>12</v>
      </c>
      <c r="E1319" s="4" t="s">
        <v>57</v>
      </c>
      <c r="F1319" s="4" t="s">
        <v>14</v>
      </c>
      <c r="G1319" s="4" t="s">
        <v>12</v>
      </c>
      <c r="H1319" s="4" t="s">
        <v>124</v>
      </c>
      <c r="I1319" s="4" t="s">
        <v>7</v>
      </c>
      <c r="J1319" s="4" t="s">
        <v>257</v>
      </c>
      <c r="K1319" s="4">
        <v>1</v>
      </c>
      <c r="L1319" s="5">
        <v>118.42</v>
      </c>
      <c r="M1319" s="5">
        <v>118.42</v>
      </c>
      <c r="N1319" s="5">
        <v>70.22</v>
      </c>
      <c r="O1319" s="5">
        <v>48.2</v>
      </c>
      <c r="P1319" s="4">
        <f>--AND(OR(Dashboard!$A$10="All",C1319=Dashboard!$A$10),OR(Dashboard!$A$14="All",F1319=Dashboard!$A$14),OR(Dashboard!$A$18="All",G1319=Dashboard!$A$18),OR(Dashboard!$A$22="All",I1319=Dashboard!$A$22))</f>
        <v>1</v>
      </c>
    </row>
    <row r="1320" spans="1:16" ht="15.75" customHeight="1">
      <c r="A1320" s="4" t="s">
        <v>1526</v>
      </c>
      <c r="B1320" s="6">
        <v>45753</v>
      </c>
      <c r="C1320" s="4">
        <v>2025</v>
      </c>
      <c r="D1320" s="4">
        <v>4</v>
      </c>
      <c r="E1320" s="4" t="s">
        <v>106</v>
      </c>
      <c r="F1320" s="4" t="s">
        <v>5</v>
      </c>
      <c r="G1320" s="4" t="s">
        <v>9</v>
      </c>
      <c r="H1320" s="4" t="s">
        <v>35</v>
      </c>
      <c r="I1320" s="4" t="s">
        <v>10</v>
      </c>
      <c r="J1320" s="4" t="s">
        <v>460</v>
      </c>
      <c r="K1320" s="4">
        <v>2</v>
      </c>
      <c r="L1320" s="5">
        <v>52.05</v>
      </c>
      <c r="M1320" s="5">
        <v>104.1</v>
      </c>
      <c r="N1320" s="5">
        <v>53.85</v>
      </c>
      <c r="O1320" s="5">
        <v>50.25</v>
      </c>
      <c r="P1320" s="4">
        <f>--AND(OR(Dashboard!$A$10="All",C1320=Dashboard!$A$10),OR(Dashboard!$A$14="All",F1320=Dashboard!$A$14),OR(Dashboard!$A$18="All",G1320=Dashboard!$A$18),OR(Dashboard!$A$22="All",I1320=Dashboard!$A$22))</f>
        <v>1</v>
      </c>
    </row>
    <row r="1321" spans="1:16" ht="15.75" customHeight="1">
      <c r="A1321" s="4" t="s">
        <v>1527</v>
      </c>
      <c r="B1321" s="6">
        <v>45967</v>
      </c>
      <c r="C1321" s="4">
        <v>2025</v>
      </c>
      <c r="D1321" s="4">
        <v>11</v>
      </c>
      <c r="E1321" s="4" t="s">
        <v>89</v>
      </c>
      <c r="F1321" s="4" t="s">
        <v>5</v>
      </c>
      <c r="G1321" s="4" t="s">
        <v>12</v>
      </c>
      <c r="H1321" s="4" t="s">
        <v>92</v>
      </c>
      <c r="I1321" s="4" t="s">
        <v>13</v>
      </c>
      <c r="J1321" s="4" t="s">
        <v>226</v>
      </c>
      <c r="K1321" s="4">
        <v>2</v>
      </c>
      <c r="L1321" s="5">
        <v>143.91999999999999</v>
      </c>
      <c r="M1321" s="5">
        <v>287.83999999999997</v>
      </c>
      <c r="N1321" s="5">
        <v>172.45</v>
      </c>
      <c r="O1321" s="5">
        <v>115.39</v>
      </c>
      <c r="P1321" s="4">
        <f>--AND(OR(Dashboard!$A$10="All",C1321=Dashboard!$A$10),OR(Dashboard!$A$14="All",F1321=Dashboard!$A$14),OR(Dashboard!$A$18="All",G1321=Dashboard!$A$18),OR(Dashboard!$A$22="All",I1321=Dashboard!$A$22))</f>
        <v>1</v>
      </c>
    </row>
    <row r="1322" spans="1:16" ht="15.75" customHeight="1">
      <c r="A1322" s="4" t="s">
        <v>1528</v>
      </c>
      <c r="B1322" s="6">
        <v>45327</v>
      </c>
      <c r="C1322" s="4">
        <v>2024</v>
      </c>
      <c r="D1322" s="4">
        <v>2</v>
      </c>
      <c r="E1322" s="4" t="s">
        <v>70</v>
      </c>
      <c r="F1322" s="4" t="s">
        <v>5</v>
      </c>
      <c r="G1322" s="4" t="s">
        <v>12</v>
      </c>
      <c r="H1322" s="4" t="s">
        <v>124</v>
      </c>
      <c r="I1322" s="4" t="s">
        <v>13</v>
      </c>
      <c r="J1322" s="4" t="s">
        <v>181</v>
      </c>
      <c r="K1322" s="4">
        <v>11</v>
      </c>
      <c r="L1322" s="5">
        <v>146.63999999999999</v>
      </c>
      <c r="M1322" s="5">
        <v>1613.04</v>
      </c>
      <c r="N1322" s="5">
        <v>959.79</v>
      </c>
      <c r="O1322" s="5">
        <v>653.25</v>
      </c>
      <c r="P1322" s="4">
        <f>--AND(OR(Dashboard!$A$10="All",C1322=Dashboard!$A$10),OR(Dashboard!$A$14="All",F1322=Dashboard!$A$14),OR(Dashboard!$A$18="All",G1322=Dashboard!$A$18),OR(Dashboard!$A$22="All",I1322=Dashboard!$A$22))</f>
        <v>1</v>
      </c>
    </row>
    <row r="1323" spans="1:16" ht="15.75" customHeight="1">
      <c r="A1323" s="4" t="s">
        <v>1529</v>
      </c>
      <c r="B1323" s="6">
        <v>45323</v>
      </c>
      <c r="C1323" s="4">
        <v>2024</v>
      </c>
      <c r="D1323" s="4">
        <v>2</v>
      </c>
      <c r="E1323" s="4" t="s">
        <v>70</v>
      </c>
      <c r="F1323" s="4" t="s">
        <v>5</v>
      </c>
      <c r="G1323" s="4" t="s">
        <v>12</v>
      </c>
      <c r="H1323" s="4" t="s">
        <v>124</v>
      </c>
      <c r="I1323" s="4" t="s">
        <v>7</v>
      </c>
      <c r="J1323" s="4" t="s">
        <v>494</v>
      </c>
      <c r="K1323" s="4">
        <v>3</v>
      </c>
      <c r="L1323" s="5">
        <v>217.91</v>
      </c>
      <c r="M1323" s="5">
        <v>653.73</v>
      </c>
      <c r="N1323" s="5">
        <v>399.94</v>
      </c>
      <c r="O1323" s="5">
        <v>253.79</v>
      </c>
      <c r="P1323" s="4">
        <f>--AND(OR(Dashboard!$A$10="All",C1323=Dashboard!$A$10),OR(Dashboard!$A$14="All",F1323=Dashboard!$A$14),OR(Dashboard!$A$18="All",G1323=Dashboard!$A$18),OR(Dashboard!$A$22="All",I1323=Dashboard!$A$22))</f>
        <v>1</v>
      </c>
    </row>
    <row r="1324" spans="1:16" ht="15.75" customHeight="1">
      <c r="A1324" s="4" t="s">
        <v>1530</v>
      </c>
      <c r="B1324" s="6">
        <v>45618</v>
      </c>
      <c r="C1324" s="4">
        <v>2024</v>
      </c>
      <c r="D1324" s="4">
        <v>11</v>
      </c>
      <c r="E1324" s="4" t="s">
        <v>89</v>
      </c>
      <c r="F1324" s="4" t="s">
        <v>5</v>
      </c>
      <c r="G1324" s="4" t="s">
        <v>9</v>
      </c>
      <c r="H1324" s="4" t="s">
        <v>142</v>
      </c>
      <c r="I1324" s="4" t="s">
        <v>10</v>
      </c>
      <c r="J1324" s="4" t="s">
        <v>99</v>
      </c>
      <c r="K1324" s="4">
        <v>6</v>
      </c>
      <c r="L1324" s="5">
        <v>28.95</v>
      </c>
      <c r="M1324" s="5">
        <v>173.7</v>
      </c>
      <c r="N1324" s="5">
        <v>87.65</v>
      </c>
      <c r="O1324" s="5">
        <v>86.05</v>
      </c>
      <c r="P1324" s="4">
        <f>--AND(OR(Dashboard!$A$10="All",C1324=Dashboard!$A$10),OR(Dashboard!$A$14="All",F1324=Dashboard!$A$14),OR(Dashboard!$A$18="All",G1324=Dashboard!$A$18),OR(Dashboard!$A$22="All",I1324=Dashboard!$A$22))</f>
        <v>1</v>
      </c>
    </row>
    <row r="1325" spans="1:16" ht="15.75" customHeight="1">
      <c r="A1325" s="4" t="s">
        <v>1531</v>
      </c>
      <c r="B1325" s="6">
        <v>45475</v>
      </c>
      <c r="C1325" s="4">
        <v>2024</v>
      </c>
      <c r="D1325" s="4">
        <v>7</v>
      </c>
      <c r="E1325" s="4" t="s">
        <v>63</v>
      </c>
      <c r="F1325" s="4" t="s">
        <v>8</v>
      </c>
      <c r="G1325" s="4" t="s">
        <v>12</v>
      </c>
      <c r="H1325" s="4" t="s">
        <v>86</v>
      </c>
      <c r="I1325" s="4" t="s">
        <v>7</v>
      </c>
      <c r="J1325" s="4" t="s">
        <v>55</v>
      </c>
      <c r="K1325" s="4">
        <v>1</v>
      </c>
      <c r="L1325" s="5">
        <v>237.4</v>
      </c>
      <c r="M1325" s="5">
        <v>237.4</v>
      </c>
      <c r="N1325" s="5">
        <v>142.97</v>
      </c>
      <c r="O1325" s="5">
        <v>94.43</v>
      </c>
      <c r="P1325" s="4">
        <f>--AND(OR(Dashboard!$A$10="All",C1325=Dashboard!$A$10),OR(Dashboard!$A$14="All",F1325=Dashboard!$A$14),OR(Dashboard!$A$18="All",G1325=Dashboard!$A$18),OR(Dashboard!$A$22="All",I1325=Dashboard!$A$22))</f>
        <v>1</v>
      </c>
    </row>
    <row r="1326" spans="1:16" ht="15.75" customHeight="1">
      <c r="A1326" s="4" t="s">
        <v>1532</v>
      </c>
      <c r="B1326" s="6">
        <v>45701</v>
      </c>
      <c r="C1326" s="4">
        <v>2025</v>
      </c>
      <c r="D1326" s="4">
        <v>2</v>
      </c>
      <c r="E1326" s="4" t="s">
        <v>70</v>
      </c>
      <c r="F1326" s="4" t="s">
        <v>14</v>
      </c>
      <c r="G1326" s="4" t="s">
        <v>9</v>
      </c>
      <c r="H1326" s="4" t="s">
        <v>71</v>
      </c>
      <c r="I1326" s="4" t="s">
        <v>7</v>
      </c>
      <c r="J1326" s="4" t="s">
        <v>205</v>
      </c>
      <c r="K1326" s="4">
        <v>8</v>
      </c>
      <c r="L1326" s="5">
        <v>57.42</v>
      </c>
      <c r="M1326" s="5">
        <v>459.36</v>
      </c>
      <c r="N1326" s="5">
        <v>227.83</v>
      </c>
      <c r="O1326" s="5">
        <v>231.53</v>
      </c>
      <c r="P1326" s="4">
        <f>--AND(OR(Dashboard!$A$10="All",C1326=Dashboard!$A$10),OR(Dashboard!$A$14="All",F1326=Dashboard!$A$14),OR(Dashboard!$A$18="All",G1326=Dashboard!$A$18),OR(Dashboard!$A$22="All",I1326=Dashboard!$A$22))</f>
        <v>1</v>
      </c>
    </row>
    <row r="1327" spans="1:16" ht="15.75" customHeight="1">
      <c r="A1327" s="4" t="s">
        <v>1533</v>
      </c>
      <c r="B1327" s="6">
        <v>45776</v>
      </c>
      <c r="C1327" s="4">
        <v>2025</v>
      </c>
      <c r="D1327" s="4">
        <v>4</v>
      </c>
      <c r="E1327" s="4" t="s">
        <v>106</v>
      </c>
      <c r="F1327" s="4" t="s">
        <v>11</v>
      </c>
      <c r="G1327" s="4" t="s">
        <v>12</v>
      </c>
      <c r="H1327" s="4" t="s">
        <v>86</v>
      </c>
      <c r="I1327" s="4" t="s">
        <v>13</v>
      </c>
      <c r="J1327" s="4" t="s">
        <v>59</v>
      </c>
      <c r="K1327" s="4">
        <v>1</v>
      </c>
      <c r="L1327" s="5">
        <v>270.79000000000002</v>
      </c>
      <c r="M1327" s="5">
        <v>270.79000000000002</v>
      </c>
      <c r="N1327" s="5">
        <v>159.29</v>
      </c>
      <c r="O1327" s="5">
        <v>111.5</v>
      </c>
      <c r="P1327" s="4">
        <f>--AND(OR(Dashboard!$A$10="All",C1327=Dashboard!$A$10),OR(Dashboard!$A$14="All",F1327=Dashboard!$A$14),OR(Dashboard!$A$18="All",G1327=Dashboard!$A$18),OR(Dashboard!$A$22="All",I1327=Dashboard!$A$22))</f>
        <v>1</v>
      </c>
    </row>
    <row r="1328" spans="1:16" ht="15.75" customHeight="1">
      <c r="A1328" s="4" t="s">
        <v>1534</v>
      </c>
      <c r="B1328" s="6">
        <v>45568</v>
      </c>
      <c r="C1328" s="4">
        <v>2024</v>
      </c>
      <c r="D1328" s="4">
        <v>10</v>
      </c>
      <c r="E1328" s="4" t="s">
        <v>120</v>
      </c>
      <c r="F1328" s="4" t="s">
        <v>14</v>
      </c>
      <c r="G1328" s="4" t="s">
        <v>12</v>
      </c>
      <c r="H1328" s="4" t="s">
        <v>127</v>
      </c>
      <c r="I1328" s="4" t="s">
        <v>7</v>
      </c>
      <c r="J1328" s="4" t="s">
        <v>59</v>
      </c>
      <c r="K1328" s="4">
        <v>1</v>
      </c>
      <c r="L1328" s="5">
        <v>149.13999999999999</v>
      </c>
      <c r="M1328" s="5">
        <v>149.13999999999999</v>
      </c>
      <c r="N1328" s="5">
        <v>91.4</v>
      </c>
      <c r="O1328" s="5">
        <v>57.74</v>
      </c>
      <c r="P1328" s="4">
        <f>--AND(OR(Dashboard!$A$10="All",C1328=Dashboard!$A$10),OR(Dashboard!$A$14="All",F1328=Dashboard!$A$14),OR(Dashboard!$A$18="All",G1328=Dashboard!$A$18),OR(Dashboard!$A$22="All",I1328=Dashboard!$A$22))</f>
        <v>1</v>
      </c>
    </row>
    <row r="1329" spans="1:16" ht="15.75" customHeight="1">
      <c r="A1329" s="4" t="s">
        <v>1535</v>
      </c>
      <c r="B1329" s="6">
        <v>45978</v>
      </c>
      <c r="C1329" s="4">
        <v>2025</v>
      </c>
      <c r="D1329" s="4">
        <v>11</v>
      </c>
      <c r="E1329" s="4" t="s">
        <v>89</v>
      </c>
      <c r="F1329" s="4" t="s">
        <v>8</v>
      </c>
      <c r="G1329" s="4" t="s">
        <v>9</v>
      </c>
      <c r="H1329" s="4" t="s">
        <v>142</v>
      </c>
      <c r="I1329" s="4" t="s">
        <v>7</v>
      </c>
      <c r="J1329" s="4" t="s">
        <v>528</v>
      </c>
      <c r="K1329" s="4">
        <v>1</v>
      </c>
      <c r="L1329" s="5">
        <v>32.32</v>
      </c>
      <c r="M1329" s="5">
        <v>32.32</v>
      </c>
      <c r="N1329" s="5">
        <v>15.73</v>
      </c>
      <c r="O1329" s="5">
        <v>16.59</v>
      </c>
      <c r="P1329" s="4">
        <f>--AND(OR(Dashboard!$A$10="All",C1329=Dashboard!$A$10),OR(Dashboard!$A$14="All",F1329=Dashboard!$A$14),OR(Dashboard!$A$18="All",G1329=Dashboard!$A$18),OR(Dashboard!$A$22="All",I1329=Dashboard!$A$22))</f>
        <v>1</v>
      </c>
    </row>
    <row r="1330" spans="1:16" ht="15.75" customHeight="1">
      <c r="A1330" s="4" t="s">
        <v>1536</v>
      </c>
      <c r="B1330" s="6">
        <v>46003</v>
      </c>
      <c r="C1330" s="4">
        <v>2025</v>
      </c>
      <c r="D1330" s="4">
        <v>12</v>
      </c>
      <c r="E1330" s="4" t="s">
        <v>57</v>
      </c>
      <c r="F1330" s="4" t="s">
        <v>14</v>
      </c>
      <c r="G1330" s="4" t="s">
        <v>6</v>
      </c>
      <c r="H1330" s="4" t="s">
        <v>136</v>
      </c>
      <c r="I1330" s="4" t="s">
        <v>7</v>
      </c>
      <c r="J1330" s="4" t="s">
        <v>195</v>
      </c>
      <c r="K1330" s="4">
        <v>5</v>
      </c>
      <c r="L1330" s="5">
        <v>154.66999999999999</v>
      </c>
      <c r="M1330" s="5">
        <v>773.35</v>
      </c>
      <c r="N1330" s="5">
        <v>488.28</v>
      </c>
      <c r="O1330" s="5">
        <v>285.07</v>
      </c>
      <c r="P1330" s="4">
        <f>--AND(OR(Dashboard!$A$10="All",C1330=Dashboard!$A$10),OR(Dashboard!$A$14="All",F1330=Dashboard!$A$14),OR(Dashboard!$A$18="All",G1330=Dashboard!$A$18),OR(Dashboard!$A$22="All",I1330=Dashboard!$A$22))</f>
        <v>1</v>
      </c>
    </row>
    <row r="1331" spans="1:16" ht="15.75" customHeight="1">
      <c r="A1331" s="4" t="s">
        <v>1537</v>
      </c>
      <c r="B1331" s="6">
        <v>45352</v>
      </c>
      <c r="C1331" s="4">
        <v>2024</v>
      </c>
      <c r="D1331" s="4">
        <v>3</v>
      </c>
      <c r="E1331" s="4" t="s">
        <v>100</v>
      </c>
      <c r="F1331" s="4" t="s">
        <v>8</v>
      </c>
      <c r="G1331" s="4" t="s">
        <v>12</v>
      </c>
      <c r="H1331" s="4" t="s">
        <v>124</v>
      </c>
      <c r="I1331" s="4" t="s">
        <v>7</v>
      </c>
      <c r="J1331" s="4" t="s">
        <v>257</v>
      </c>
      <c r="K1331" s="4">
        <v>1</v>
      </c>
      <c r="L1331" s="5">
        <v>202.11</v>
      </c>
      <c r="M1331" s="5">
        <v>202.11</v>
      </c>
      <c r="N1331" s="5">
        <v>123.1</v>
      </c>
      <c r="O1331" s="5">
        <v>79.010000000000005</v>
      </c>
      <c r="P1331" s="4">
        <f>--AND(OR(Dashboard!$A$10="All",C1331=Dashboard!$A$10),OR(Dashboard!$A$14="All",F1331=Dashboard!$A$14),OR(Dashboard!$A$18="All",G1331=Dashboard!$A$18),OR(Dashboard!$A$22="All",I1331=Dashboard!$A$22))</f>
        <v>1</v>
      </c>
    </row>
    <row r="1332" spans="1:16" ht="15.75" customHeight="1">
      <c r="A1332" s="4" t="s">
        <v>1538</v>
      </c>
      <c r="B1332" s="6">
        <v>45461</v>
      </c>
      <c r="C1332" s="4">
        <v>2024</v>
      </c>
      <c r="D1332" s="4">
        <v>6</v>
      </c>
      <c r="E1332" s="4" t="s">
        <v>34</v>
      </c>
      <c r="F1332" s="4" t="s">
        <v>11</v>
      </c>
      <c r="G1332" s="4" t="s">
        <v>12</v>
      </c>
      <c r="H1332" s="4" t="s">
        <v>58</v>
      </c>
      <c r="I1332" s="4" t="s">
        <v>13</v>
      </c>
      <c r="J1332" s="4" t="s">
        <v>263</v>
      </c>
      <c r="K1332" s="4">
        <v>3</v>
      </c>
      <c r="L1332" s="5">
        <v>213.45</v>
      </c>
      <c r="M1332" s="5">
        <v>640.35</v>
      </c>
      <c r="N1332" s="5">
        <v>400.55</v>
      </c>
      <c r="O1332" s="5">
        <v>239.8</v>
      </c>
      <c r="P1332" s="4">
        <f>--AND(OR(Dashboard!$A$10="All",C1332=Dashboard!$A$10),OR(Dashboard!$A$14="All",F1332=Dashboard!$A$14),OR(Dashboard!$A$18="All",G1332=Dashboard!$A$18),OR(Dashboard!$A$22="All",I1332=Dashboard!$A$22))</f>
        <v>1</v>
      </c>
    </row>
    <row r="1333" spans="1:16" ht="15.75" customHeight="1">
      <c r="A1333" s="4" t="s">
        <v>1539</v>
      </c>
      <c r="B1333" s="6">
        <v>45846</v>
      </c>
      <c r="C1333" s="4">
        <v>2025</v>
      </c>
      <c r="D1333" s="4">
        <v>7</v>
      </c>
      <c r="E1333" s="4" t="s">
        <v>63</v>
      </c>
      <c r="F1333" s="4" t="s">
        <v>5</v>
      </c>
      <c r="G1333" s="4" t="s">
        <v>6</v>
      </c>
      <c r="H1333" s="4" t="s">
        <v>80</v>
      </c>
      <c r="I1333" s="4" t="s">
        <v>7</v>
      </c>
      <c r="J1333" s="4" t="s">
        <v>72</v>
      </c>
      <c r="K1333" s="4">
        <v>4</v>
      </c>
      <c r="L1333" s="5">
        <v>141.49</v>
      </c>
      <c r="M1333" s="5">
        <v>565.96</v>
      </c>
      <c r="N1333" s="5">
        <v>369.01</v>
      </c>
      <c r="O1333" s="5">
        <v>196.95</v>
      </c>
      <c r="P1333" s="4">
        <f>--AND(OR(Dashboard!$A$10="All",C1333=Dashboard!$A$10),OR(Dashboard!$A$14="All",F1333=Dashboard!$A$14),OR(Dashboard!$A$18="All",G1333=Dashboard!$A$18),OR(Dashboard!$A$22="All",I1333=Dashboard!$A$22))</f>
        <v>1</v>
      </c>
    </row>
    <row r="1334" spans="1:16" ht="15.75" customHeight="1">
      <c r="A1334" s="4" t="s">
        <v>1540</v>
      </c>
      <c r="B1334" s="6">
        <v>45799</v>
      </c>
      <c r="C1334" s="4">
        <v>2025</v>
      </c>
      <c r="D1334" s="4">
        <v>5</v>
      </c>
      <c r="E1334" s="4" t="s">
        <v>108</v>
      </c>
      <c r="F1334" s="4" t="s">
        <v>11</v>
      </c>
      <c r="G1334" s="4" t="s">
        <v>6</v>
      </c>
      <c r="H1334" s="4" t="s">
        <v>114</v>
      </c>
      <c r="I1334" s="4" t="s">
        <v>7</v>
      </c>
      <c r="J1334" s="4" t="s">
        <v>532</v>
      </c>
      <c r="K1334" s="4">
        <v>3</v>
      </c>
      <c r="L1334" s="5">
        <v>83.98</v>
      </c>
      <c r="M1334" s="5">
        <v>251.94</v>
      </c>
      <c r="N1334" s="5">
        <v>168.05</v>
      </c>
      <c r="O1334" s="5">
        <v>83.89</v>
      </c>
      <c r="P1334" s="4">
        <f>--AND(OR(Dashboard!$A$10="All",C1334=Dashboard!$A$10),OR(Dashboard!$A$14="All",F1334=Dashboard!$A$14),OR(Dashboard!$A$18="All",G1334=Dashboard!$A$18),OR(Dashboard!$A$22="All",I1334=Dashboard!$A$22))</f>
        <v>1</v>
      </c>
    </row>
    <row r="1335" spans="1:16" ht="15.75" customHeight="1">
      <c r="A1335" s="4" t="s">
        <v>1541</v>
      </c>
      <c r="B1335" s="6">
        <v>45793</v>
      </c>
      <c r="C1335" s="4">
        <v>2025</v>
      </c>
      <c r="D1335" s="4">
        <v>5</v>
      </c>
      <c r="E1335" s="4" t="s">
        <v>108</v>
      </c>
      <c r="F1335" s="4" t="s">
        <v>8</v>
      </c>
      <c r="G1335" s="4" t="s">
        <v>6</v>
      </c>
      <c r="H1335" s="4" t="s">
        <v>80</v>
      </c>
      <c r="I1335" s="4" t="s">
        <v>7</v>
      </c>
      <c r="J1335" s="4" t="s">
        <v>420</v>
      </c>
      <c r="K1335" s="4">
        <v>3</v>
      </c>
      <c r="L1335" s="5">
        <v>106.12</v>
      </c>
      <c r="M1335" s="5">
        <v>318.36</v>
      </c>
      <c r="N1335" s="5">
        <v>218.64</v>
      </c>
      <c r="O1335" s="5">
        <v>99.72</v>
      </c>
      <c r="P1335" s="4">
        <f>--AND(OR(Dashboard!$A$10="All",C1335=Dashboard!$A$10),OR(Dashboard!$A$14="All",F1335=Dashboard!$A$14),OR(Dashboard!$A$18="All",G1335=Dashboard!$A$18),OR(Dashboard!$A$22="All",I1335=Dashboard!$A$22))</f>
        <v>1</v>
      </c>
    </row>
    <row r="1336" spans="1:16" ht="15.75" customHeight="1">
      <c r="A1336" s="4" t="s">
        <v>1542</v>
      </c>
      <c r="B1336" s="6">
        <v>45592</v>
      </c>
      <c r="C1336" s="4">
        <v>2024</v>
      </c>
      <c r="D1336" s="4">
        <v>10</v>
      </c>
      <c r="E1336" s="4" t="s">
        <v>120</v>
      </c>
      <c r="F1336" s="4" t="s">
        <v>14</v>
      </c>
      <c r="G1336" s="4" t="s">
        <v>12</v>
      </c>
      <c r="H1336" s="4" t="s">
        <v>58</v>
      </c>
      <c r="I1336" s="4" t="s">
        <v>10</v>
      </c>
      <c r="J1336" s="4" t="s">
        <v>494</v>
      </c>
      <c r="K1336" s="4">
        <v>6</v>
      </c>
      <c r="L1336" s="5">
        <v>218.04</v>
      </c>
      <c r="M1336" s="5">
        <v>1308.24</v>
      </c>
      <c r="N1336" s="5">
        <v>811.35</v>
      </c>
      <c r="O1336" s="5">
        <v>496.89</v>
      </c>
      <c r="P1336" s="4">
        <f>--AND(OR(Dashboard!$A$10="All",C1336=Dashboard!$A$10),OR(Dashboard!$A$14="All",F1336=Dashboard!$A$14),OR(Dashboard!$A$18="All",G1336=Dashboard!$A$18),OR(Dashboard!$A$22="All",I1336=Dashboard!$A$22))</f>
        <v>1</v>
      </c>
    </row>
    <row r="1337" spans="1:16" ht="15.75" customHeight="1">
      <c r="A1337" s="4" t="s">
        <v>1543</v>
      </c>
      <c r="B1337" s="6">
        <v>45939</v>
      </c>
      <c r="C1337" s="4">
        <v>2025</v>
      </c>
      <c r="D1337" s="4">
        <v>10</v>
      </c>
      <c r="E1337" s="4" t="s">
        <v>120</v>
      </c>
      <c r="F1337" s="4" t="s">
        <v>5</v>
      </c>
      <c r="G1337" s="4" t="s">
        <v>12</v>
      </c>
      <c r="H1337" s="4" t="s">
        <v>58</v>
      </c>
      <c r="I1337" s="4" t="s">
        <v>7</v>
      </c>
      <c r="J1337" s="4" t="s">
        <v>333</v>
      </c>
      <c r="K1337" s="4">
        <v>5</v>
      </c>
      <c r="L1337" s="5">
        <v>222.06</v>
      </c>
      <c r="M1337" s="5">
        <v>1110.3</v>
      </c>
      <c r="N1337" s="5">
        <v>640.73</v>
      </c>
      <c r="O1337" s="5">
        <v>469.57</v>
      </c>
      <c r="P1337" s="4">
        <f>--AND(OR(Dashboard!$A$10="All",C1337=Dashboard!$A$10),OR(Dashboard!$A$14="All",F1337=Dashboard!$A$14),OR(Dashboard!$A$18="All",G1337=Dashboard!$A$18),OR(Dashboard!$A$22="All",I1337=Dashboard!$A$22))</f>
        <v>1</v>
      </c>
    </row>
    <row r="1338" spans="1:16" ht="15.75" customHeight="1">
      <c r="A1338" s="4" t="s">
        <v>1544</v>
      </c>
      <c r="B1338" s="6">
        <v>46012</v>
      </c>
      <c r="C1338" s="4">
        <v>2025</v>
      </c>
      <c r="D1338" s="4">
        <v>12</v>
      </c>
      <c r="E1338" s="4" t="s">
        <v>57</v>
      </c>
      <c r="F1338" s="4" t="s">
        <v>11</v>
      </c>
      <c r="G1338" s="4" t="s">
        <v>12</v>
      </c>
      <c r="H1338" s="4" t="s">
        <v>92</v>
      </c>
      <c r="I1338" s="4" t="s">
        <v>7</v>
      </c>
      <c r="J1338" s="4" t="s">
        <v>420</v>
      </c>
      <c r="K1338" s="4">
        <v>1</v>
      </c>
      <c r="L1338" s="5">
        <v>308.37</v>
      </c>
      <c r="M1338" s="5">
        <v>308.37</v>
      </c>
      <c r="N1338" s="5">
        <v>182.74</v>
      </c>
      <c r="O1338" s="5">
        <v>125.63</v>
      </c>
      <c r="P1338" s="4">
        <f>--AND(OR(Dashboard!$A$10="All",C1338=Dashboard!$A$10),OR(Dashboard!$A$14="All",F1338=Dashboard!$A$14),OR(Dashboard!$A$18="All",G1338=Dashboard!$A$18),OR(Dashboard!$A$22="All",I1338=Dashboard!$A$22))</f>
        <v>1</v>
      </c>
    </row>
    <row r="1339" spans="1:16" ht="15.75" customHeight="1">
      <c r="A1339" s="4" t="s">
        <v>1545</v>
      </c>
      <c r="B1339" s="6">
        <v>45790</v>
      </c>
      <c r="C1339" s="4">
        <v>2025</v>
      </c>
      <c r="D1339" s="4">
        <v>5</v>
      </c>
      <c r="E1339" s="4" t="s">
        <v>108</v>
      </c>
      <c r="F1339" s="4" t="s">
        <v>5</v>
      </c>
      <c r="G1339" s="4" t="s">
        <v>12</v>
      </c>
      <c r="H1339" s="4" t="s">
        <v>124</v>
      </c>
      <c r="I1339" s="4" t="s">
        <v>13</v>
      </c>
      <c r="J1339" s="4" t="s">
        <v>528</v>
      </c>
      <c r="K1339" s="4">
        <v>11</v>
      </c>
      <c r="L1339" s="5">
        <v>144.88999999999999</v>
      </c>
      <c r="M1339" s="5">
        <v>1593.79</v>
      </c>
      <c r="N1339" s="5">
        <v>950.05</v>
      </c>
      <c r="O1339" s="5">
        <v>643.74</v>
      </c>
      <c r="P1339" s="4">
        <f>--AND(OR(Dashboard!$A$10="All",C1339=Dashboard!$A$10),OR(Dashboard!$A$14="All",F1339=Dashboard!$A$14),OR(Dashboard!$A$18="All",G1339=Dashboard!$A$18),OR(Dashboard!$A$22="All",I1339=Dashboard!$A$22))</f>
        <v>1</v>
      </c>
    </row>
    <row r="1340" spans="1:16" ht="15.75" customHeight="1">
      <c r="A1340" s="4" t="s">
        <v>1546</v>
      </c>
      <c r="B1340" s="6">
        <v>45665</v>
      </c>
      <c r="C1340" s="4">
        <v>2025</v>
      </c>
      <c r="D1340" s="4">
        <v>1</v>
      </c>
      <c r="E1340" s="4" t="s">
        <v>30</v>
      </c>
      <c r="F1340" s="4" t="s">
        <v>11</v>
      </c>
      <c r="G1340" s="4" t="s">
        <v>9</v>
      </c>
      <c r="H1340" s="4" t="s">
        <v>142</v>
      </c>
      <c r="I1340" s="4" t="s">
        <v>7</v>
      </c>
      <c r="J1340" s="4" t="s">
        <v>299</v>
      </c>
      <c r="K1340" s="4">
        <v>2</v>
      </c>
      <c r="L1340" s="5">
        <v>28.77</v>
      </c>
      <c r="M1340" s="5">
        <v>57.54</v>
      </c>
      <c r="N1340" s="5">
        <v>28.75</v>
      </c>
      <c r="O1340" s="5">
        <v>28.79</v>
      </c>
      <c r="P1340" s="4">
        <f>--AND(OR(Dashboard!$A$10="All",C1340=Dashboard!$A$10),OR(Dashboard!$A$14="All",F1340=Dashboard!$A$14),OR(Dashboard!$A$18="All",G1340=Dashboard!$A$18),OR(Dashboard!$A$22="All",I1340=Dashboard!$A$22))</f>
        <v>1</v>
      </c>
    </row>
    <row r="1341" spans="1:16" ht="15.75" customHeight="1">
      <c r="A1341" s="4" t="s">
        <v>1547</v>
      </c>
      <c r="B1341" s="6">
        <v>45401</v>
      </c>
      <c r="C1341" s="4">
        <v>2024</v>
      </c>
      <c r="D1341" s="4">
        <v>4</v>
      </c>
      <c r="E1341" s="4" t="s">
        <v>106</v>
      </c>
      <c r="F1341" s="4" t="s">
        <v>8</v>
      </c>
      <c r="G1341" s="4" t="s">
        <v>6</v>
      </c>
      <c r="H1341" s="4" t="s">
        <v>114</v>
      </c>
      <c r="I1341" s="4" t="s">
        <v>10</v>
      </c>
      <c r="J1341" s="4" t="s">
        <v>181</v>
      </c>
      <c r="K1341" s="4">
        <v>8</v>
      </c>
      <c r="L1341" s="5">
        <v>146.31</v>
      </c>
      <c r="M1341" s="5">
        <v>1170.48</v>
      </c>
      <c r="N1341" s="5">
        <v>797.44</v>
      </c>
      <c r="O1341" s="5">
        <v>373.04</v>
      </c>
      <c r="P1341" s="4">
        <f>--AND(OR(Dashboard!$A$10="All",C1341=Dashboard!$A$10),OR(Dashboard!$A$14="All",F1341=Dashboard!$A$14),OR(Dashboard!$A$18="All",G1341=Dashboard!$A$18),OR(Dashboard!$A$22="All",I1341=Dashboard!$A$22))</f>
        <v>1</v>
      </c>
    </row>
    <row r="1342" spans="1:16" ht="15.75" customHeight="1">
      <c r="A1342" s="4" t="s">
        <v>1548</v>
      </c>
      <c r="B1342" s="6">
        <v>45838</v>
      </c>
      <c r="C1342" s="4">
        <v>2025</v>
      </c>
      <c r="D1342" s="4">
        <v>6</v>
      </c>
      <c r="E1342" s="4" t="s">
        <v>34</v>
      </c>
      <c r="F1342" s="4" t="s">
        <v>5</v>
      </c>
      <c r="G1342" s="4" t="s">
        <v>9</v>
      </c>
      <c r="H1342" s="4" t="s">
        <v>71</v>
      </c>
      <c r="I1342" s="4" t="s">
        <v>7</v>
      </c>
      <c r="J1342" s="4" t="s">
        <v>207</v>
      </c>
      <c r="K1342" s="4">
        <v>1</v>
      </c>
      <c r="L1342" s="5">
        <v>22.55</v>
      </c>
      <c r="M1342" s="5">
        <v>22.55</v>
      </c>
      <c r="N1342" s="5">
        <v>11.3</v>
      </c>
      <c r="O1342" s="5">
        <v>11.25</v>
      </c>
      <c r="P1342" s="4">
        <f>--AND(OR(Dashboard!$A$10="All",C1342=Dashboard!$A$10),OR(Dashboard!$A$14="All",F1342=Dashboard!$A$14),OR(Dashboard!$A$18="All",G1342=Dashboard!$A$18),OR(Dashboard!$A$22="All",I1342=Dashboard!$A$22))</f>
        <v>1</v>
      </c>
    </row>
    <row r="1343" spans="1:16" ht="15.75" customHeight="1">
      <c r="A1343" s="4" t="s">
        <v>1549</v>
      </c>
      <c r="B1343" s="6">
        <v>45978</v>
      </c>
      <c r="C1343" s="4">
        <v>2025</v>
      </c>
      <c r="D1343" s="4">
        <v>11</v>
      </c>
      <c r="E1343" s="4" t="s">
        <v>89</v>
      </c>
      <c r="F1343" s="4" t="s">
        <v>14</v>
      </c>
      <c r="G1343" s="4" t="s">
        <v>12</v>
      </c>
      <c r="H1343" s="4" t="s">
        <v>58</v>
      </c>
      <c r="I1343" s="4" t="s">
        <v>13</v>
      </c>
      <c r="J1343" s="4" t="s">
        <v>311</v>
      </c>
      <c r="K1343" s="4">
        <v>1</v>
      </c>
      <c r="L1343" s="5">
        <v>285.70999999999998</v>
      </c>
      <c r="M1343" s="5">
        <v>285.70999999999998</v>
      </c>
      <c r="N1343" s="5">
        <v>174.99</v>
      </c>
      <c r="O1343" s="5">
        <v>110.72</v>
      </c>
      <c r="P1343" s="4">
        <f>--AND(OR(Dashboard!$A$10="All",C1343=Dashboard!$A$10),OR(Dashboard!$A$14="All",F1343=Dashboard!$A$14),OR(Dashboard!$A$18="All",G1343=Dashboard!$A$18),OR(Dashboard!$A$22="All",I1343=Dashboard!$A$22))</f>
        <v>1</v>
      </c>
    </row>
    <row r="1344" spans="1:16" ht="15.75" customHeight="1">
      <c r="A1344" s="4" t="s">
        <v>1550</v>
      </c>
      <c r="B1344" s="6">
        <v>45307</v>
      </c>
      <c r="C1344" s="4">
        <v>2024</v>
      </c>
      <c r="D1344" s="4">
        <v>1</v>
      </c>
      <c r="E1344" s="4" t="s">
        <v>30</v>
      </c>
      <c r="F1344" s="4" t="s">
        <v>8</v>
      </c>
      <c r="G1344" s="4" t="s">
        <v>6</v>
      </c>
      <c r="H1344" s="4" t="s">
        <v>136</v>
      </c>
      <c r="I1344" s="4" t="s">
        <v>7</v>
      </c>
      <c r="J1344" s="4" t="s">
        <v>259</v>
      </c>
      <c r="K1344" s="4">
        <v>10</v>
      </c>
      <c r="L1344" s="5">
        <v>102.67</v>
      </c>
      <c r="M1344" s="5">
        <v>1026.7</v>
      </c>
      <c r="N1344" s="5">
        <v>655.68</v>
      </c>
      <c r="O1344" s="5">
        <v>371.02</v>
      </c>
      <c r="P1344" s="4">
        <f>--AND(OR(Dashboard!$A$10="All",C1344=Dashboard!$A$10),OR(Dashboard!$A$14="All",F1344=Dashboard!$A$14),OR(Dashboard!$A$18="All",G1344=Dashboard!$A$18),OR(Dashboard!$A$22="All",I1344=Dashboard!$A$22))</f>
        <v>1</v>
      </c>
    </row>
    <row r="1345" spans="1:16" ht="15.75" customHeight="1">
      <c r="A1345" s="4" t="s">
        <v>1551</v>
      </c>
      <c r="B1345" s="6">
        <v>45757</v>
      </c>
      <c r="C1345" s="4">
        <v>2025</v>
      </c>
      <c r="D1345" s="4">
        <v>4</v>
      </c>
      <c r="E1345" s="4" t="s">
        <v>106</v>
      </c>
      <c r="F1345" s="4" t="s">
        <v>8</v>
      </c>
      <c r="G1345" s="4" t="s">
        <v>6</v>
      </c>
      <c r="H1345" s="4" t="s">
        <v>136</v>
      </c>
      <c r="I1345" s="4" t="s">
        <v>7</v>
      </c>
      <c r="J1345" s="4" t="s">
        <v>333</v>
      </c>
      <c r="K1345" s="4">
        <v>4</v>
      </c>
      <c r="L1345" s="5">
        <v>168.08</v>
      </c>
      <c r="M1345" s="5">
        <v>672.32</v>
      </c>
      <c r="N1345" s="5">
        <v>454.75</v>
      </c>
      <c r="O1345" s="5">
        <v>217.57</v>
      </c>
      <c r="P1345" s="4">
        <f>--AND(OR(Dashboard!$A$10="All",C1345=Dashboard!$A$10),OR(Dashboard!$A$14="All",F1345=Dashboard!$A$14),OR(Dashboard!$A$18="All",G1345=Dashboard!$A$18),OR(Dashboard!$A$22="All",I1345=Dashboard!$A$22))</f>
        <v>1</v>
      </c>
    </row>
    <row r="1346" spans="1:16" ht="15.75" customHeight="1">
      <c r="A1346" s="4" t="s">
        <v>1552</v>
      </c>
      <c r="B1346" s="6">
        <v>45611</v>
      </c>
      <c r="C1346" s="4">
        <v>2024</v>
      </c>
      <c r="D1346" s="4">
        <v>11</v>
      </c>
      <c r="E1346" s="4" t="s">
        <v>89</v>
      </c>
      <c r="F1346" s="4" t="s">
        <v>8</v>
      </c>
      <c r="G1346" s="4" t="s">
        <v>9</v>
      </c>
      <c r="H1346" s="4" t="s">
        <v>64</v>
      </c>
      <c r="I1346" s="4" t="s">
        <v>7</v>
      </c>
      <c r="J1346" s="4" t="s">
        <v>460</v>
      </c>
      <c r="K1346" s="4">
        <v>2</v>
      </c>
      <c r="L1346" s="5">
        <v>42.04</v>
      </c>
      <c r="M1346" s="5">
        <v>84.08</v>
      </c>
      <c r="N1346" s="5">
        <v>43.11</v>
      </c>
      <c r="O1346" s="5">
        <v>40.97</v>
      </c>
      <c r="P1346" s="4">
        <f>--AND(OR(Dashboard!$A$10="All",C1346=Dashboard!$A$10),OR(Dashboard!$A$14="All",F1346=Dashboard!$A$14),OR(Dashboard!$A$18="All",G1346=Dashboard!$A$18),OR(Dashboard!$A$22="All",I1346=Dashboard!$A$22))</f>
        <v>1</v>
      </c>
    </row>
    <row r="1347" spans="1:16" ht="15.75" customHeight="1">
      <c r="A1347" s="4" t="s">
        <v>1553</v>
      </c>
      <c r="B1347" s="6">
        <v>45638</v>
      </c>
      <c r="C1347" s="4">
        <v>2024</v>
      </c>
      <c r="D1347" s="4">
        <v>12</v>
      </c>
      <c r="E1347" s="4" t="s">
        <v>57</v>
      </c>
      <c r="F1347" s="4" t="s">
        <v>11</v>
      </c>
      <c r="G1347" s="4" t="s">
        <v>12</v>
      </c>
      <c r="H1347" s="4" t="s">
        <v>124</v>
      </c>
      <c r="I1347" s="4" t="s">
        <v>7</v>
      </c>
      <c r="J1347" s="4" t="s">
        <v>255</v>
      </c>
      <c r="K1347" s="4">
        <v>3</v>
      </c>
      <c r="L1347" s="5">
        <v>117.55</v>
      </c>
      <c r="M1347" s="5">
        <v>352.65</v>
      </c>
      <c r="N1347" s="5">
        <v>220.53</v>
      </c>
      <c r="O1347" s="5">
        <v>132.12</v>
      </c>
      <c r="P1347" s="4">
        <f>--AND(OR(Dashboard!$A$10="All",C1347=Dashboard!$A$10),OR(Dashboard!$A$14="All",F1347=Dashboard!$A$14),OR(Dashboard!$A$18="All",G1347=Dashboard!$A$18),OR(Dashboard!$A$22="All",I1347=Dashboard!$A$22))</f>
        <v>1</v>
      </c>
    </row>
    <row r="1348" spans="1:16" ht="15.75" customHeight="1">
      <c r="A1348" s="4" t="s">
        <v>1554</v>
      </c>
      <c r="B1348" s="6">
        <v>45988</v>
      </c>
      <c r="C1348" s="4">
        <v>2025</v>
      </c>
      <c r="D1348" s="4">
        <v>11</v>
      </c>
      <c r="E1348" s="4" t="s">
        <v>89</v>
      </c>
      <c r="F1348" s="4" t="s">
        <v>8</v>
      </c>
      <c r="G1348" s="4" t="s">
        <v>9</v>
      </c>
      <c r="H1348" s="4" t="s">
        <v>64</v>
      </c>
      <c r="I1348" s="4" t="s">
        <v>7</v>
      </c>
      <c r="J1348" s="4" t="s">
        <v>205</v>
      </c>
      <c r="K1348" s="4">
        <v>6</v>
      </c>
      <c r="L1348" s="5">
        <v>34.979999999999997</v>
      </c>
      <c r="M1348" s="5">
        <v>209.88</v>
      </c>
      <c r="N1348" s="5">
        <v>102.16</v>
      </c>
      <c r="O1348" s="5">
        <v>107.72</v>
      </c>
      <c r="P1348" s="4">
        <f>--AND(OR(Dashboard!$A$10="All",C1348=Dashboard!$A$10),OR(Dashboard!$A$14="All",F1348=Dashboard!$A$14),OR(Dashboard!$A$18="All",G1348=Dashboard!$A$18),OR(Dashboard!$A$22="All",I1348=Dashboard!$A$22))</f>
        <v>1</v>
      </c>
    </row>
    <row r="1349" spans="1:16" ht="15.75" customHeight="1">
      <c r="A1349" s="4" t="s">
        <v>1555</v>
      </c>
      <c r="B1349" s="6">
        <v>45615</v>
      </c>
      <c r="C1349" s="4">
        <v>2024</v>
      </c>
      <c r="D1349" s="4">
        <v>11</v>
      </c>
      <c r="E1349" s="4" t="s">
        <v>89</v>
      </c>
      <c r="F1349" s="4" t="s">
        <v>5</v>
      </c>
      <c r="G1349" s="4" t="s">
        <v>12</v>
      </c>
      <c r="H1349" s="4" t="s">
        <v>127</v>
      </c>
      <c r="I1349" s="4" t="s">
        <v>7</v>
      </c>
      <c r="J1349" s="4" t="s">
        <v>257</v>
      </c>
      <c r="K1349" s="4">
        <v>5</v>
      </c>
      <c r="L1349" s="5">
        <v>143.97999999999999</v>
      </c>
      <c r="M1349" s="5">
        <v>719.9</v>
      </c>
      <c r="N1349" s="5">
        <v>414.53</v>
      </c>
      <c r="O1349" s="5">
        <v>305.37</v>
      </c>
      <c r="P1349" s="4">
        <f>--AND(OR(Dashboard!$A$10="All",C1349=Dashboard!$A$10),OR(Dashboard!$A$14="All",F1349=Dashboard!$A$14),OR(Dashboard!$A$18="All",G1349=Dashboard!$A$18),OR(Dashboard!$A$22="All",I1349=Dashboard!$A$22))</f>
        <v>1</v>
      </c>
    </row>
    <row r="1350" spans="1:16" ht="15.75" customHeight="1">
      <c r="A1350" s="4" t="s">
        <v>1556</v>
      </c>
      <c r="B1350" s="6">
        <v>45471</v>
      </c>
      <c r="C1350" s="4">
        <v>2024</v>
      </c>
      <c r="D1350" s="4">
        <v>6</v>
      </c>
      <c r="E1350" s="4" t="s">
        <v>34</v>
      </c>
      <c r="F1350" s="4" t="s">
        <v>11</v>
      </c>
      <c r="G1350" s="4" t="s">
        <v>6</v>
      </c>
      <c r="H1350" s="4" t="s">
        <v>136</v>
      </c>
      <c r="I1350" s="4" t="s">
        <v>13</v>
      </c>
      <c r="J1350" s="4" t="s">
        <v>209</v>
      </c>
      <c r="K1350" s="4">
        <v>7</v>
      </c>
      <c r="L1350" s="5">
        <v>135.88999999999999</v>
      </c>
      <c r="M1350" s="5">
        <v>951.23</v>
      </c>
      <c r="N1350" s="5">
        <v>617.98</v>
      </c>
      <c r="O1350" s="5">
        <v>333.25</v>
      </c>
      <c r="P1350" s="4">
        <f>--AND(OR(Dashboard!$A$10="All",C1350=Dashboard!$A$10),OR(Dashboard!$A$14="All",F1350=Dashboard!$A$14),OR(Dashboard!$A$18="All",G1350=Dashboard!$A$18),OR(Dashboard!$A$22="All",I1350=Dashboard!$A$22))</f>
        <v>1</v>
      </c>
    </row>
    <row r="1351" spans="1:16" ht="15.75" customHeight="1">
      <c r="A1351" s="4" t="s">
        <v>1557</v>
      </c>
      <c r="B1351" s="6">
        <v>45306</v>
      </c>
      <c r="C1351" s="4">
        <v>2024</v>
      </c>
      <c r="D1351" s="4">
        <v>1</v>
      </c>
      <c r="E1351" s="4" t="s">
        <v>30</v>
      </c>
      <c r="F1351" s="4" t="s">
        <v>8</v>
      </c>
      <c r="G1351" s="4" t="s">
        <v>9</v>
      </c>
      <c r="H1351" s="4" t="s">
        <v>110</v>
      </c>
      <c r="I1351" s="4" t="s">
        <v>7</v>
      </c>
      <c r="J1351" s="4" t="s">
        <v>333</v>
      </c>
      <c r="K1351" s="4">
        <v>1</v>
      </c>
      <c r="L1351" s="5">
        <v>56.48</v>
      </c>
      <c r="M1351" s="5">
        <v>56.48</v>
      </c>
      <c r="N1351" s="5">
        <v>26.9</v>
      </c>
      <c r="O1351" s="5">
        <v>29.58</v>
      </c>
      <c r="P1351" s="4">
        <f>--AND(OR(Dashboard!$A$10="All",C1351=Dashboard!$A$10),OR(Dashboard!$A$14="All",F1351=Dashboard!$A$14),OR(Dashboard!$A$18="All",G1351=Dashboard!$A$18),OR(Dashboard!$A$22="All",I1351=Dashboard!$A$22))</f>
        <v>1</v>
      </c>
    </row>
    <row r="1352" spans="1:16" ht="15.75" customHeight="1">
      <c r="A1352" s="4" t="s">
        <v>1558</v>
      </c>
      <c r="B1352" s="6">
        <v>45727</v>
      </c>
      <c r="C1352" s="4">
        <v>2025</v>
      </c>
      <c r="D1352" s="4">
        <v>3</v>
      </c>
      <c r="E1352" s="4" t="s">
        <v>100</v>
      </c>
      <c r="F1352" s="4" t="s">
        <v>8</v>
      </c>
      <c r="G1352" s="4" t="s">
        <v>6</v>
      </c>
      <c r="H1352" s="4" t="s">
        <v>54</v>
      </c>
      <c r="I1352" s="4" t="s">
        <v>13</v>
      </c>
      <c r="J1352" s="4" t="s">
        <v>115</v>
      </c>
      <c r="K1352" s="4">
        <v>2</v>
      </c>
      <c r="L1352" s="5">
        <v>138.69</v>
      </c>
      <c r="M1352" s="5">
        <v>277.38</v>
      </c>
      <c r="N1352" s="5">
        <v>189.22</v>
      </c>
      <c r="O1352" s="5">
        <v>88.16</v>
      </c>
      <c r="P1352" s="4">
        <f>--AND(OR(Dashboard!$A$10="All",C1352=Dashboard!$A$10),OR(Dashboard!$A$14="All",F1352=Dashboard!$A$14),OR(Dashboard!$A$18="All",G1352=Dashboard!$A$18),OR(Dashboard!$A$22="All",I1352=Dashboard!$A$22))</f>
        <v>1</v>
      </c>
    </row>
    <row r="1353" spans="1:16" ht="15.75" customHeight="1">
      <c r="A1353" s="4" t="s">
        <v>1559</v>
      </c>
      <c r="B1353" s="6">
        <v>45873</v>
      </c>
      <c r="C1353" s="4">
        <v>2025</v>
      </c>
      <c r="D1353" s="4">
        <v>8</v>
      </c>
      <c r="E1353" s="4" t="s">
        <v>67</v>
      </c>
      <c r="F1353" s="4" t="s">
        <v>8</v>
      </c>
      <c r="G1353" s="4" t="s">
        <v>9</v>
      </c>
      <c r="H1353" s="4" t="s">
        <v>110</v>
      </c>
      <c r="I1353" s="4" t="s">
        <v>7</v>
      </c>
      <c r="J1353" s="4" t="s">
        <v>195</v>
      </c>
      <c r="K1353" s="4">
        <v>9</v>
      </c>
      <c r="L1353" s="5">
        <v>22.78</v>
      </c>
      <c r="M1353" s="5">
        <v>205.02</v>
      </c>
      <c r="N1353" s="5">
        <v>99.51</v>
      </c>
      <c r="O1353" s="5">
        <v>105.51</v>
      </c>
      <c r="P1353" s="4">
        <f>--AND(OR(Dashboard!$A$10="All",C1353=Dashboard!$A$10),OR(Dashboard!$A$14="All",F1353=Dashboard!$A$14),OR(Dashboard!$A$18="All",G1353=Dashboard!$A$18),OR(Dashboard!$A$22="All",I1353=Dashboard!$A$22))</f>
        <v>1</v>
      </c>
    </row>
    <row r="1354" spans="1:16" ht="15.75" customHeight="1">
      <c r="A1354" s="4" t="s">
        <v>1560</v>
      </c>
      <c r="B1354" s="6">
        <v>45508</v>
      </c>
      <c r="C1354" s="4">
        <v>2024</v>
      </c>
      <c r="D1354" s="4">
        <v>8</v>
      </c>
      <c r="E1354" s="4" t="s">
        <v>67</v>
      </c>
      <c r="F1354" s="4" t="s">
        <v>5</v>
      </c>
      <c r="G1354" s="4" t="s">
        <v>9</v>
      </c>
      <c r="H1354" s="4" t="s">
        <v>35</v>
      </c>
      <c r="I1354" s="4" t="s">
        <v>7</v>
      </c>
      <c r="J1354" s="4" t="s">
        <v>87</v>
      </c>
      <c r="K1354" s="4">
        <v>3</v>
      </c>
      <c r="L1354" s="5">
        <v>32.01</v>
      </c>
      <c r="M1354" s="5">
        <v>96.03</v>
      </c>
      <c r="N1354" s="5">
        <v>48.39</v>
      </c>
      <c r="O1354" s="5">
        <v>47.64</v>
      </c>
      <c r="P1354" s="4">
        <f>--AND(OR(Dashboard!$A$10="All",C1354=Dashboard!$A$10),OR(Dashboard!$A$14="All",F1354=Dashboard!$A$14),OR(Dashboard!$A$18="All",G1354=Dashboard!$A$18),OR(Dashboard!$A$22="All",I1354=Dashboard!$A$22))</f>
        <v>1</v>
      </c>
    </row>
    <row r="1355" spans="1:16" ht="15.75" customHeight="1">
      <c r="A1355" s="4" t="s">
        <v>1561</v>
      </c>
      <c r="B1355" s="6">
        <v>45465</v>
      </c>
      <c r="C1355" s="4">
        <v>2024</v>
      </c>
      <c r="D1355" s="4">
        <v>6</v>
      </c>
      <c r="E1355" s="4" t="s">
        <v>34</v>
      </c>
      <c r="F1355" s="4" t="s">
        <v>5</v>
      </c>
      <c r="G1355" s="4" t="s">
        <v>12</v>
      </c>
      <c r="H1355" s="4" t="s">
        <v>92</v>
      </c>
      <c r="I1355" s="4" t="s">
        <v>7</v>
      </c>
      <c r="J1355" s="4" t="s">
        <v>226</v>
      </c>
      <c r="K1355" s="4">
        <v>7</v>
      </c>
      <c r="L1355" s="5">
        <v>307.31</v>
      </c>
      <c r="M1355" s="5">
        <v>2151.17</v>
      </c>
      <c r="N1355" s="5">
        <v>1328.76</v>
      </c>
      <c r="O1355" s="5">
        <v>822.41</v>
      </c>
      <c r="P1355" s="4">
        <f>--AND(OR(Dashboard!$A$10="All",C1355=Dashboard!$A$10),OR(Dashboard!$A$14="All",F1355=Dashboard!$A$14),OR(Dashboard!$A$18="All",G1355=Dashboard!$A$18),OR(Dashboard!$A$22="All",I1355=Dashboard!$A$22))</f>
        <v>1</v>
      </c>
    </row>
    <row r="1356" spans="1:16" ht="15.75" customHeight="1">
      <c r="A1356" s="4" t="s">
        <v>1562</v>
      </c>
      <c r="B1356" s="6">
        <v>45780</v>
      </c>
      <c r="C1356" s="4">
        <v>2025</v>
      </c>
      <c r="D1356" s="4">
        <v>5</v>
      </c>
      <c r="E1356" s="4" t="s">
        <v>108</v>
      </c>
      <c r="F1356" s="4" t="s">
        <v>5</v>
      </c>
      <c r="G1356" s="4" t="s">
        <v>12</v>
      </c>
      <c r="H1356" s="4" t="s">
        <v>124</v>
      </c>
      <c r="I1356" s="4" t="s">
        <v>7</v>
      </c>
      <c r="J1356" s="4" t="s">
        <v>485</v>
      </c>
      <c r="K1356" s="4">
        <v>1</v>
      </c>
      <c r="L1356" s="5">
        <v>230.76</v>
      </c>
      <c r="M1356" s="5">
        <v>230.76</v>
      </c>
      <c r="N1356" s="5">
        <v>134.13</v>
      </c>
      <c r="O1356" s="5">
        <v>96.63</v>
      </c>
      <c r="P1356" s="4">
        <f>--AND(OR(Dashboard!$A$10="All",C1356=Dashboard!$A$10),OR(Dashboard!$A$14="All",F1356=Dashboard!$A$14),OR(Dashboard!$A$18="All",G1356=Dashboard!$A$18),OR(Dashboard!$A$22="All",I1356=Dashboard!$A$22))</f>
        <v>1</v>
      </c>
    </row>
    <row r="1357" spans="1:16" ht="15.75" customHeight="1">
      <c r="A1357" s="4" t="s">
        <v>1563</v>
      </c>
      <c r="B1357" s="6">
        <v>45785</v>
      </c>
      <c r="C1357" s="4">
        <v>2025</v>
      </c>
      <c r="D1357" s="4">
        <v>5</v>
      </c>
      <c r="E1357" s="4" t="s">
        <v>108</v>
      </c>
      <c r="F1357" s="4" t="s">
        <v>8</v>
      </c>
      <c r="G1357" s="4" t="s">
        <v>6</v>
      </c>
      <c r="H1357" s="4" t="s">
        <v>80</v>
      </c>
      <c r="I1357" s="4" t="s">
        <v>7</v>
      </c>
      <c r="J1357" s="4" t="s">
        <v>301</v>
      </c>
      <c r="K1357" s="4">
        <v>6</v>
      </c>
      <c r="L1357" s="5">
        <v>120.46</v>
      </c>
      <c r="M1357" s="5">
        <v>722.76</v>
      </c>
      <c r="N1357" s="5">
        <v>453.94</v>
      </c>
      <c r="O1357" s="5">
        <v>268.82</v>
      </c>
      <c r="P1357" s="4">
        <f>--AND(OR(Dashboard!$A$10="All",C1357=Dashboard!$A$10),OR(Dashboard!$A$14="All",F1357=Dashboard!$A$14),OR(Dashboard!$A$18="All",G1357=Dashboard!$A$18),OR(Dashboard!$A$22="All",I1357=Dashboard!$A$22))</f>
        <v>1</v>
      </c>
    </row>
    <row r="1358" spans="1:16" ht="15.75" customHeight="1">
      <c r="A1358" s="4" t="s">
        <v>1564</v>
      </c>
      <c r="B1358" s="6">
        <v>45977</v>
      </c>
      <c r="C1358" s="4">
        <v>2025</v>
      </c>
      <c r="D1358" s="4">
        <v>11</v>
      </c>
      <c r="E1358" s="4" t="s">
        <v>89</v>
      </c>
      <c r="F1358" s="4" t="s">
        <v>8</v>
      </c>
      <c r="G1358" s="4" t="s">
        <v>12</v>
      </c>
      <c r="H1358" s="4" t="s">
        <v>124</v>
      </c>
      <c r="I1358" s="4" t="s">
        <v>13</v>
      </c>
      <c r="J1358" s="4" t="s">
        <v>181</v>
      </c>
      <c r="K1358" s="4">
        <v>6</v>
      </c>
      <c r="L1358" s="5">
        <v>132.96</v>
      </c>
      <c r="M1358" s="5">
        <v>797.76</v>
      </c>
      <c r="N1358" s="5">
        <v>479.44</v>
      </c>
      <c r="O1358" s="5">
        <v>318.32</v>
      </c>
      <c r="P1358" s="4">
        <f>--AND(OR(Dashboard!$A$10="All",C1358=Dashboard!$A$10),OR(Dashboard!$A$14="All",F1358=Dashboard!$A$14),OR(Dashboard!$A$18="All",G1358=Dashboard!$A$18),OR(Dashboard!$A$22="All",I1358=Dashboard!$A$22))</f>
        <v>1</v>
      </c>
    </row>
    <row r="1359" spans="1:16" ht="15.75" customHeight="1">
      <c r="A1359" s="4" t="s">
        <v>1565</v>
      </c>
      <c r="B1359" s="6">
        <v>45554</v>
      </c>
      <c r="C1359" s="4">
        <v>2024</v>
      </c>
      <c r="D1359" s="4">
        <v>9</v>
      </c>
      <c r="E1359" s="4" t="s">
        <v>79</v>
      </c>
      <c r="F1359" s="4" t="s">
        <v>5</v>
      </c>
      <c r="G1359" s="4" t="s">
        <v>12</v>
      </c>
      <c r="H1359" s="4" t="s">
        <v>58</v>
      </c>
      <c r="I1359" s="4" t="s">
        <v>7</v>
      </c>
      <c r="J1359" s="4" t="s">
        <v>216</v>
      </c>
      <c r="K1359" s="4">
        <v>4</v>
      </c>
      <c r="L1359" s="5">
        <v>187.46</v>
      </c>
      <c r="M1359" s="5">
        <v>749.84</v>
      </c>
      <c r="N1359" s="5">
        <v>434.43</v>
      </c>
      <c r="O1359" s="5">
        <v>315.41000000000003</v>
      </c>
      <c r="P1359" s="4">
        <f>--AND(OR(Dashboard!$A$10="All",C1359=Dashboard!$A$10),OR(Dashboard!$A$14="All",F1359=Dashboard!$A$14),OR(Dashboard!$A$18="All",G1359=Dashboard!$A$18),OR(Dashboard!$A$22="All",I1359=Dashboard!$A$22))</f>
        <v>1</v>
      </c>
    </row>
    <row r="1360" spans="1:16" ht="15.75" customHeight="1">
      <c r="A1360" s="4" t="s">
        <v>1566</v>
      </c>
      <c r="B1360" s="6">
        <v>45782</v>
      </c>
      <c r="C1360" s="4">
        <v>2025</v>
      </c>
      <c r="D1360" s="4">
        <v>5</v>
      </c>
      <c r="E1360" s="4" t="s">
        <v>108</v>
      </c>
      <c r="F1360" s="4" t="s">
        <v>5</v>
      </c>
      <c r="G1360" s="4" t="s">
        <v>12</v>
      </c>
      <c r="H1360" s="4" t="s">
        <v>86</v>
      </c>
      <c r="I1360" s="4" t="s">
        <v>13</v>
      </c>
      <c r="J1360" s="4" t="s">
        <v>186</v>
      </c>
      <c r="K1360" s="4">
        <v>5</v>
      </c>
      <c r="L1360" s="5">
        <v>147.32</v>
      </c>
      <c r="M1360" s="5">
        <v>736.6</v>
      </c>
      <c r="N1360" s="5">
        <v>434.02</v>
      </c>
      <c r="O1360" s="5">
        <v>302.58</v>
      </c>
      <c r="P1360" s="4">
        <f>--AND(OR(Dashboard!$A$10="All",C1360=Dashboard!$A$10),OR(Dashboard!$A$14="All",F1360=Dashboard!$A$14),OR(Dashboard!$A$18="All",G1360=Dashboard!$A$18),OR(Dashboard!$A$22="All",I1360=Dashboard!$A$22))</f>
        <v>1</v>
      </c>
    </row>
    <row r="1361" spans="1:16" ht="15.75" customHeight="1">
      <c r="A1361" s="4" t="s">
        <v>1567</v>
      </c>
      <c r="B1361" s="6">
        <v>45943</v>
      </c>
      <c r="C1361" s="4">
        <v>2025</v>
      </c>
      <c r="D1361" s="4">
        <v>10</v>
      </c>
      <c r="E1361" s="4" t="s">
        <v>120</v>
      </c>
      <c r="F1361" s="4" t="s">
        <v>5</v>
      </c>
      <c r="G1361" s="4" t="s">
        <v>6</v>
      </c>
      <c r="H1361" s="4" t="s">
        <v>136</v>
      </c>
      <c r="I1361" s="4" t="s">
        <v>7</v>
      </c>
      <c r="J1361" s="4" t="s">
        <v>311</v>
      </c>
      <c r="K1361" s="4">
        <v>3</v>
      </c>
      <c r="L1361" s="5">
        <v>209.12</v>
      </c>
      <c r="M1361" s="5">
        <v>627.36</v>
      </c>
      <c r="N1361" s="5">
        <v>413.89</v>
      </c>
      <c r="O1361" s="5">
        <v>213.47</v>
      </c>
      <c r="P1361" s="4">
        <f>--AND(OR(Dashboard!$A$10="All",C1361=Dashboard!$A$10),OR(Dashboard!$A$14="All",F1361=Dashboard!$A$14),OR(Dashboard!$A$18="All",G1361=Dashboard!$A$18),OR(Dashboard!$A$22="All",I1361=Dashboard!$A$22))</f>
        <v>1</v>
      </c>
    </row>
    <row r="1362" spans="1:16" ht="15.75" customHeight="1">
      <c r="A1362" s="4" t="s">
        <v>1568</v>
      </c>
      <c r="B1362" s="6">
        <v>45842</v>
      </c>
      <c r="C1362" s="4">
        <v>2025</v>
      </c>
      <c r="D1362" s="4">
        <v>7</v>
      </c>
      <c r="E1362" s="4" t="s">
        <v>63</v>
      </c>
      <c r="F1362" s="4" t="s">
        <v>5</v>
      </c>
      <c r="G1362" s="4" t="s">
        <v>6</v>
      </c>
      <c r="H1362" s="4" t="s">
        <v>98</v>
      </c>
      <c r="I1362" s="4" t="s">
        <v>10</v>
      </c>
      <c r="J1362" s="4" t="s">
        <v>292</v>
      </c>
      <c r="K1362" s="4">
        <v>5</v>
      </c>
      <c r="L1362" s="5">
        <v>90.79</v>
      </c>
      <c r="M1362" s="5">
        <v>453.95</v>
      </c>
      <c r="N1362" s="5">
        <v>290.57</v>
      </c>
      <c r="O1362" s="5">
        <v>163.38</v>
      </c>
      <c r="P1362" s="4">
        <f>--AND(OR(Dashboard!$A$10="All",C1362=Dashboard!$A$10),OR(Dashboard!$A$14="All",F1362=Dashboard!$A$14),OR(Dashboard!$A$18="All",G1362=Dashboard!$A$18),OR(Dashboard!$A$22="All",I1362=Dashboard!$A$22))</f>
        <v>1</v>
      </c>
    </row>
    <row r="1363" spans="1:16" ht="15.75" customHeight="1">
      <c r="A1363" s="4" t="s">
        <v>1569</v>
      </c>
      <c r="B1363" s="6">
        <v>45306</v>
      </c>
      <c r="C1363" s="4">
        <v>2024</v>
      </c>
      <c r="D1363" s="4">
        <v>1</v>
      </c>
      <c r="E1363" s="4" t="s">
        <v>30</v>
      </c>
      <c r="F1363" s="4" t="s">
        <v>5</v>
      </c>
      <c r="G1363" s="4" t="s">
        <v>9</v>
      </c>
      <c r="H1363" s="4" t="s">
        <v>35</v>
      </c>
      <c r="I1363" s="4" t="s">
        <v>7</v>
      </c>
      <c r="J1363" s="4" t="s">
        <v>230</v>
      </c>
      <c r="K1363" s="4">
        <v>4</v>
      </c>
      <c r="L1363" s="5">
        <v>50</v>
      </c>
      <c r="M1363" s="5">
        <v>200</v>
      </c>
      <c r="N1363" s="5">
        <v>99.93</v>
      </c>
      <c r="O1363" s="5">
        <v>100.07</v>
      </c>
      <c r="P1363" s="4">
        <f>--AND(OR(Dashboard!$A$10="All",C1363=Dashboard!$A$10),OR(Dashboard!$A$14="All",F1363=Dashboard!$A$14),OR(Dashboard!$A$18="All",G1363=Dashboard!$A$18),OR(Dashboard!$A$22="All",I1363=Dashboard!$A$22))</f>
        <v>1</v>
      </c>
    </row>
    <row r="1364" spans="1:16" ht="15.75" customHeight="1">
      <c r="A1364" s="4" t="s">
        <v>1570</v>
      </c>
      <c r="B1364" s="6">
        <v>45812</v>
      </c>
      <c r="C1364" s="4">
        <v>2025</v>
      </c>
      <c r="D1364" s="4">
        <v>6</v>
      </c>
      <c r="E1364" s="4" t="s">
        <v>34</v>
      </c>
      <c r="F1364" s="4" t="s">
        <v>14</v>
      </c>
      <c r="G1364" s="4" t="s">
        <v>12</v>
      </c>
      <c r="H1364" s="4" t="s">
        <v>92</v>
      </c>
      <c r="I1364" s="4" t="s">
        <v>7</v>
      </c>
      <c r="J1364" s="4" t="s">
        <v>68</v>
      </c>
      <c r="K1364" s="4">
        <v>8</v>
      </c>
      <c r="L1364" s="5">
        <v>225.89</v>
      </c>
      <c r="M1364" s="5">
        <v>1807.12</v>
      </c>
      <c r="N1364" s="5">
        <v>1090.42</v>
      </c>
      <c r="O1364" s="5">
        <v>716.7</v>
      </c>
      <c r="P1364" s="4">
        <f>--AND(OR(Dashboard!$A$10="All",C1364=Dashboard!$A$10),OR(Dashboard!$A$14="All",F1364=Dashboard!$A$14),OR(Dashboard!$A$18="All",G1364=Dashboard!$A$18),OR(Dashboard!$A$22="All",I1364=Dashboard!$A$22))</f>
        <v>1</v>
      </c>
    </row>
    <row r="1365" spans="1:16" ht="15.75" customHeight="1">
      <c r="A1365" s="4" t="s">
        <v>1571</v>
      </c>
      <c r="B1365" s="6">
        <v>45344</v>
      </c>
      <c r="C1365" s="4">
        <v>2024</v>
      </c>
      <c r="D1365" s="4">
        <v>2</v>
      </c>
      <c r="E1365" s="4" t="s">
        <v>70</v>
      </c>
      <c r="F1365" s="4" t="s">
        <v>11</v>
      </c>
      <c r="G1365" s="4" t="s">
        <v>6</v>
      </c>
      <c r="H1365" s="4" t="s">
        <v>114</v>
      </c>
      <c r="I1365" s="4" t="s">
        <v>7</v>
      </c>
      <c r="J1365" s="4" t="s">
        <v>297</v>
      </c>
      <c r="K1365" s="4">
        <v>1</v>
      </c>
      <c r="L1365" s="5">
        <v>164.52</v>
      </c>
      <c r="M1365" s="5">
        <v>164.52</v>
      </c>
      <c r="N1365" s="5">
        <v>110.15</v>
      </c>
      <c r="O1365" s="5">
        <v>54.37</v>
      </c>
      <c r="P1365" s="4">
        <f>--AND(OR(Dashboard!$A$10="All",C1365=Dashboard!$A$10),OR(Dashboard!$A$14="All",F1365=Dashboard!$A$14),OR(Dashboard!$A$18="All",G1365=Dashboard!$A$18),OR(Dashboard!$A$22="All",I1365=Dashboard!$A$22))</f>
        <v>1</v>
      </c>
    </row>
    <row r="1366" spans="1:16" ht="15.75" customHeight="1">
      <c r="A1366" s="4" t="s">
        <v>1572</v>
      </c>
      <c r="B1366" s="6">
        <v>45819</v>
      </c>
      <c r="C1366" s="4">
        <v>2025</v>
      </c>
      <c r="D1366" s="4">
        <v>6</v>
      </c>
      <c r="E1366" s="4" t="s">
        <v>34</v>
      </c>
      <c r="F1366" s="4" t="s">
        <v>8</v>
      </c>
      <c r="G1366" s="4" t="s">
        <v>6</v>
      </c>
      <c r="H1366" s="4" t="s">
        <v>54</v>
      </c>
      <c r="I1366" s="4" t="s">
        <v>7</v>
      </c>
      <c r="J1366" s="4" t="s">
        <v>72</v>
      </c>
      <c r="K1366" s="4">
        <v>1</v>
      </c>
      <c r="L1366" s="5">
        <v>184.07</v>
      </c>
      <c r="M1366" s="5">
        <v>184.07</v>
      </c>
      <c r="N1366" s="5">
        <v>119.13</v>
      </c>
      <c r="O1366" s="5">
        <v>64.94</v>
      </c>
      <c r="P1366" s="4">
        <f>--AND(OR(Dashboard!$A$10="All",C1366=Dashboard!$A$10),OR(Dashboard!$A$14="All",F1366=Dashboard!$A$14),OR(Dashboard!$A$18="All",G1366=Dashboard!$A$18),OR(Dashboard!$A$22="All",I1366=Dashboard!$A$22))</f>
        <v>1</v>
      </c>
    </row>
    <row r="1367" spans="1:16" ht="15.75" customHeight="1">
      <c r="A1367" s="4" t="s">
        <v>1573</v>
      </c>
      <c r="B1367" s="6">
        <v>45699</v>
      </c>
      <c r="C1367" s="4">
        <v>2025</v>
      </c>
      <c r="D1367" s="4">
        <v>2</v>
      </c>
      <c r="E1367" s="4" t="s">
        <v>70</v>
      </c>
      <c r="F1367" s="4" t="s">
        <v>8</v>
      </c>
      <c r="G1367" s="4" t="s">
        <v>12</v>
      </c>
      <c r="H1367" s="4" t="s">
        <v>86</v>
      </c>
      <c r="I1367" s="4" t="s">
        <v>7</v>
      </c>
      <c r="J1367" s="4" t="s">
        <v>230</v>
      </c>
      <c r="K1367" s="4">
        <v>3</v>
      </c>
      <c r="L1367" s="5">
        <v>122.61</v>
      </c>
      <c r="M1367" s="5">
        <v>367.83</v>
      </c>
      <c r="N1367" s="5">
        <v>223.12</v>
      </c>
      <c r="O1367" s="5">
        <v>144.71</v>
      </c>
      <c r="P1367" s="4">
        <f>--AND(OR(Dashboard!$A$10="All",C1367=Dashboard!$A$10),OR(Dashboard!$A$14="All",F1367=Dashboard!$A$14),OR(Dashboard!$A$18="All",G1367=Dashboard!$A$18),OR(Dashboard!$A$22="All",I1367=Dashboard!$A$22))</f>
        <v>1</v>
      </c>
    </row>
    <row r="1368" spans="1:16" ht="15.75" customHeight="1">
      <c r="A1368" s="4" t="s">
        <v>1574</v>
      </c>
      <c r="B1368" s="6">
        <v>45780</v>
      </c>
      <c r="C1368" s="4">
        <v>2025</v>
      </c>
      <c r="D1368" s="4">
        <v>5</v>
      </c>
      <c r="E1368" s="4" t="s">
        <v>108</v>
      </c>
      <c r="F1368" s="4" t="s">
        <v>14</v>
      </c>
      <c r="G1368" s="4" t="s">
        <v>12</v>
      </c>
      <c r="H1368" s="4" t="s">
        <v>58</v>
      </c>
      <c r="I1368" s="4" t="s">
        <v>7</v>
      </c>
      <c r="J1368" s="4" t="s">
        <v>311</v>
      </c>
      <c r="K1368" s="4">
        <v>2</v>
      </c>
      <c r="L1368" s="5">
        <v>220.38</v>
      </c>
      <c r="M1368" s="5">
        <v>440.76</v>
      </c>
      <c r="N1368" s="5">
        <v>271.97000000000003</v>
      </c>
      <c r="O1368" s="5">
        <v>168.79</v>
      </c>
      <c r="P1368" s="4">
        <f>--AND(OR(Dashboard!$A$10="All",C1368=Dashboard!$A$10),OR(Dashboard!$A$14="All",F1368=Dashboard!$A$14),OR(Dashboard!$A$18="All",G1368=Dashboard!$A$18),OR(Dashboard!$A$22="All",I1368=Dashboard!$A$22))</f>
        <v>1</v>
      </c>
    </row>
    <row r="1369" spans="1:16" ht="15.75" customHeight="1">
      <c r="A1369" s="4" t="s">
        <v>1575</v>
      </c>
      <c r="B1369" s="6">
        <v>45532</v>
      </c>
      <c r="C1369" s="4">
        <v>2024</v>
      </c>
      <c r="D1369" s="4">
        <v>8</v>
      </c>
      <c r="E1369" s="4" t="s">
        <v>67</v>
      </c>
      <c r="F1369" s="4" t="s">
        <v>14</v>
      </c>
      <c r="G1369" s="4" t="s">
        <v>12</v>
      </c>
      <c r="H1369" s="4" t="s">
        <v>92</v>
      </c>
      <c r="I1369" s="4" t="s">
        <v>7</v>
      </c>
      <c r="J1369" s="4" t="s">
        <v>149</v>
      </c>
      <c r="K1369" s="4">
        <v>2</v>
      </c>
      <c r="L1369" s="5">
        <v>292.43</v>
      </c>
      <c r="M1369" s="5">
        <v>584.86</v>
      </c>
      <c r="N1369" s="5">
        <v>363.7</v>
      </c>
      <c r="O1369" s="5">
        <v>221.16</v>
      </c>
      <c r="P1369" s="4">
        <f>--AND(OR(Dashboard!$A$10="All",C1369=Dashboard!$A$10),OR(Dashboard!$A$14="All",F1369=Dashboard!$A$14),OR(Dashboard!$A$18="All",G1369=Dashboard!$A$18),OR(Dashboard!$A$22="All",I1369=Dashboard!$A$22))</f>
        <v>1</v>
      </c>
    </row>
    <row r="1370" spans="1:16" ht="15.75" customHeight="1">
      <c r="A1370" s="4" t="s">
        <v>1576</v>
      </c>
      <c r="B1370" s="6">
        <v>45788</v>
      </c>
      <c r="C1370" s="4">
        <v>2025</v>
      </c>
      <c r="D1370" s="4">
        <v>5</v>
      </c>
      <c r="E1370" s="4" t="s">
        <v>108</v>
      </c>
      <c r="F1370" s="4" t="s">
        <v>5</v>
      </c>
      <c r="G1370" s="4" t="s">
        <v>9</v>
      </c>
      <c r="H1370" s="4" t="s">
        <v>142</v>
      </c>
      <c r="I1370" s="4" t="s">
        <v>13</v>
      </c>
      <c r="J1370" s="4" t="s">
        <v>55</v>
      </c>
      <c r="K1370" s="4">
        <v>1</v>
      </c>
      <c r="L1370" s="5">
        <v>63.06</v>
      </c>
      <c r="M1370" s="5">
        <v>63.06</v>
      </c>
      <c r="N1370" s="5">
        <v>32.200000000000003</v>
      </c>
      <c r="O1370" s="5">
        <v>30.86</v>
      </c>
      <c r="P1370" s="4">
        <f>--AND(OR(Dashboard!$A$10="All",C1370=Dashboard!$A$10),OR(Dashboard!$A$14="All",F1370=Dashboard!$A$14),OR(Dashboard!$A$18="All",G1370=Dashboard!$A$18),OR(Dashboard!$A$22="All",I1370=Dashboard!$A$22))</f>
        <v>1</v>
      </c>
    </row>
    <row r="1371" spans="1:16" ht="15.75" customHeight="1">
      <c r="A1371" s="4" t="s">
        <v>1577</v>
      </c>
      <c r="B1371" s="6">
        <v>45364</v>
      </c>
      <c r="C1371" s="4">
        <v>2024</v>
      </c>
      <c r="D1371" s="4">
        <v>3</v>
      </c>
      <c r="E1371" s="4" t="s">
        <v>100</v>
      </c>
      <c r="F1371" s="4" t="s">
        <v>8</v>
      </c>
      <c r="G1371" s="4" t="s">
        <v>12</v>
      </c>
      <c r="H1371" s="4" t="s">
        <v>92</v>
      </c>
      <c r="I1371" s="4" t="s">
        <v>7</v>
      </c>
      <c r="J1371" s="4" t="s">
        <v>230</v>
      </c>
      <c r="K1371" s="4">
        <v>1</v>
      </c>
      <c r="L1371" s="5">
        <v>202.92</v>
      </c>
      <c r="M1371" s="5">
        <v>202.92</v>
      </c>
      <c r="N1371" s="5">
        <v>116.72</v>
      </c>
      <c r="O1371" s="5">
        <v>86.2</v>
      </c>
      <c r="P1371" s="4">
        <f>--AND(OR(Dashboard!$A$10="All",C1371=Dashboard!$A$10),OR(Dashboard!$A$14="All",F1371=Dashboard!$A$14),OR(Dashboard!$A$18="All",G1371=Dashboard!$A$18),OR(Dashboard!$A$22="All",I1371=Dashboard!$A$22))</f>
        <v>1</v>
      </c>
    </row>
    <row r="1372" spans="1:16" ht="15.75" customHeight="1">
      <c r="A1372" s="4" t="s">
        <v>1578</v>
      </c>
      <c r="B1372" s="6">
        <v>45756</v>
      </c>
      <c r="C1372" s="4">
        <v>2025</v>
      </c>
      <c r="D1372" s="4">
        <v>4</v>
      </c>
      <c r="E1372" s="4" t="s">
        <v>106</v>
      </c>
      <c r="F1372" s="4" t="s">
        <v>5</v>
      </c>
      <c r="G1372" s="4" t="s">
        <v>12</v>
      </c>
      <c r="H1372" s="4" t="s">
        <v>127</v>
      </c>
      <c r="I1372" s="4" t="s">
        <v>13</v>
      </c>
      <c r="J1372" s="4" t="s">
        <v>111</v>
      </c>
      <c r="K1372" s="4">
        <v>3</v>
      </c>
      <c r="L1372" s="5">
        <v>215.76</v>
      </c>
      <c r="M1372" s="5">
        <v>647.28</v>
      </c>
      <c r="N1372" s="5">
        <v>393.21</v>
      </c>
      <c r="O1372" s="5">
        <v>254.07</v>
      </c>
      <c r="P1372" s="4">
        <f>--AND(OR(Dashboard!$A$10="All",C1372=Dashboard!$A$10),OR(Dashboard!$A$14="All",F1372=Dashboard!$A$14),OR(Dashboard!$A$18="All",G1372=Dashboard!$A$18),OR(Dashboard!$A$22="All",I1372=Dashboard!$A$22))</f>
        <v>1</v>
      </c>
    </row>
    <row r="1373" spans="1:16" ht="15.75" customHeight="1">
      <c r="A1373" s="4" t="s">
        <v>1579</v>
      </c>
      <c r="B1373" s="6">
        <v>45739</v>
      </c>
      <c r="C1373" s="4">
        <v>2025</v>
      </c>
      <c r="D1373" s="4">
        <v>3</v>
      </c>
      <c r="E1373" s="4" t="s">
        <v>100</v>
      </c>
      <c r="F1373" s="4" t="s">
        <v>5</v>
      </c>
      <c r="G1373" s="4" t="s">
        <v>12</v>
      </c>
      <c r="H1373" s="4" t="s">
        <v>58</v>
      </c>
      <c r="I1373" s="4" t="s">
        <v>7</v>
      </c>
      <c r="J1373" s="4" t="s">
        <v>159</v>
      </c>
      <c r="K1373" s="4">
        <v>5</v>
      </c>
      <c r="L1373" s="5">
        <v>202.43</v>
      </c>
      <c r="M1373" s="5">
        <v>1012.15</v>
      </c>
      <c r="N1373" s="5">
        <v>616.62</v>
      </c>
      <c r="O1373" s="5">
        <v>395.53</v>
      </c>
      <c r="P1373" s="4">
        <f>--AND(OR(Dashboard!$A$10="All",C1373=Dashboard!$A$10),OR(Dashboard!$A$14="All",F1373=Dashboard!$A$14),OR(Dashboard!$A$18="All",G1373=Dashboard!$A$18),OR(Dashboard!$A$22="All",I1373=Dashboard!$A$22))</f>
        <v>1</v>
      </c>
    </row>
    <row r="1374" spans="1:16" ht="15.75" customHeight="1">
      <c r="A1374" s="4" t="s">
        <v>1580</v>
      </c>
      <c r="B1374" s="6">
        <v>45870</v>
      </c>
      <c r="C1374" s="4">
        <v>2025</v>
      </c>
      <c r="D1374" s="4">
        <v>8</v>
      </c>
      <c r="E1374" s="4" t="s">
        <v>67</v>
      </c>
      <c r="F1374" s="4" t="s">
        <v>5</v>
      </c>
      <c r="G1374" s="4" t="s">
        <v>12</v>
      </c>
      <c r="H1374" s="4" t="s">
        <v>127</v>
      </c>
      <c r="I1374" s="4" t="s">
        <v>7</v>
      </c>
      <c r="J1374" s="4" t="s">
        <v>214</v>
      </c>
      <c r="K1374" s="4">
        <v>2</v>
      </c>
      <c r="L1374" s="5">
        <v>113.74</v>
      </c>
      <c r="M1374" s="5">
        <v>227.48</v>
      </c>
      <c r="N1374" s="5">
        <v>138.29</v>
      </c>
      <c r="O1374" s="5">
        <v>89.19</v>
      </c>
      <c r="P1374" s="4">
        <f>--AND(OR(Dashboard!$A$10="All",C1374=Dashboard!$A$10),OR(Dashboard!$A$14="All",F1374=Dashboard!$A$14),OR(Dashboard!$A$18="All",G1374=Dashboard!$A$18),OR(Dashboard!$A$22="All",I1374=Dashboard!$A$22))</f>
        <v>1</v>
      </c>
    </row>
    <row r="1375" spans="1:16" ht="15.75" customHeight="1">
      <c r="A1375" s="4" t="s">
        <v>1581</v>
      </c>
      <c r="B1375" s="6">
        <v>45425</v>
      </c>
      <c r="C1375" s="4">
        <v>2024</v>
      </c>
      <c r="D1375" s="4">
        <v>5</v>
      </c>
      <c r="E1375" s="4" t="s">
        <v>108</v>
      </c>
      <c r="F1375" s="4" t="s">
        <v>14</v>
      </c>
      <c r="G1375" s="4" t="s">
        <v>12</v>
      </c>
      <c r="H1375" s="4" t="s">
        <v>58</v>
      </c>
      <c r="I1375" s="4" t="s">
        <v>7</v>
      </c>
      <c r="J1375" s="4" t="s">
        <v>417</v>
      </c>
      <c r="K1375" s="4">
        <v>5</v>
      </c>
      <c r="L1375" s="5">
        <v>321.42</v>
      </c>
      <c r="M1375" s="5">
        <v>1607.1</v>
      </c>
      <c r="N1375" s="5">
        <v>962.8</v>
      </c>
      <c r="O1375" s="5">
        <v>644.29999999999995</v>
      </c>
      <c r="P1375" s="4">
        <f>--AND(OR(Dashboard!$A$10="All",C1375=Dashboard!$A$10),OR(Dashboard!$A$14="All",F1375=Dashboard!$A$14),OR(Dashboard!$A$18="All",G1375=Dashboard!$A$18),OR(Dashboard!$A$22="All",I1375=Dashboard!$A$22))</f>
        <v>1</v>
      </c>
    </row>
    <row r="1376" spans="1:16" ht="15.75" customHeight="1">
      <c r="A1376" s="4" t="s">
        <v>1582</v>
      </c>
      <c r="B1376" s="6">
        <v>45684</v>
      </c>
      <c r="C1376" s="4">
        <v>2025</v>
      </c>
      <c r="D1376" s="4">
        <v>1</v>
      </c>
      <c r="E1376" s="4" t="s">
        <v>30</v>
      </c>
      <c r="F1376" s="4" t="s">
        <v>5</v>
      </c>
      <c r="G1376" s="4" t="s">
        <v>12</v>
      </c>
      <c r="H1376" s="4" t="s">
        <v>92</v>
      </c>
      <c r="I1376" s="4" t="s">
        <v>13</v>
      </c>
      <c r="J1376" s="4" t="s">
        <v>207</v>
      </c>
      <c r="K1376" s="4">
        <v>7</v>
      </c>
      <c r="L1376" s="5">
        <v>232.55</v>
      </c>
      <c r="M1376" s="5">
        <v>1627.85</v>
      </c>
      <c r="N1376" s="5">
        <v>934.96</v>
      </c>
      <c r="O1376" s="5">
        <v>692.89</v>
      </c>
      <c r="P1376" s="4">
        <f>--AND(OR(Dashboard!$A$10="All",C1376=Dashboard!$A$10),OR(Dashboard!$A$14="All",F1376=Dashboard!$A$14),OR(Dashboard!$A$18="All",G1376=Dashboard!$A$18),OR(Dashboard!$A$22="All",I1376=Dashboard!$A$22))</f>
        <v>1</v>
      </c>
    </row>
    <row r="1377" spans="1:16" ht="15.75" customHeight="1">
      <c r="A1377" s="4" t="s">
        <v>1583</v>
      </c>
      <c r="B1377" s="6">
        <v>45572</v>
      </c>
      <c r="C1377" s="4">
        <v>2024</v>
      </c>
      <c r="D1377" s="4">
        <v>10</v>
      </c>
      <c r="E1377" s="4" t="s">
        <v>120</v>
      </c>
      <c r="F1377" s="4" t="s">
        <v>11</v>
      </c>
      <c r="G1377" s="4" t="s">
        <v>12</v>
      </c>
      <c r="H1377" s="4" t="s">
        <v>92</v>
      </c>
      <c r="I1377" s="4" t="s">
        <v>7</v>
      </c>
      <c r="J1377" s="4" t="s">
        <v>153</v>
      </c>
      <c r="K1377" s="4">
        <v>6</v>
      </c>
      <c r="L1377" s="5">
        <v>315.77999999999997</v>
      </c>
      <c r="M1377" s="5">
        <v>1894.68</v>
      </c>
      <c r="N1377" s="5">
        <v>1151.68</v>
      </c>
      <c r="O1377" s="5">
        <v>743</v>
      </c>
      <c r="P1377" s="4">
        <f>--AND(OR(Dashboard!$A$10="All",C1377=Dashboard!$A$10),OR(Dashboard!$A$14="All",F1377=Dashboard!$A$14),OR(Dashboard!$A$18="All",G1377=Dashboard!$A$18),OR(Dashboard!$A$22="All",I1377=Dashboard!$A$22))</f>
        <v>1</v>
      </c>
    </row>
    <row r="1378" spans="1:16" ht="15.75" customHeight="1">
      <c r="A1378" s="4" t="s">
        <v>1584</v>
      </c>
      <c r="B1378" s="6">
        <v>45542</v>
      </c>
      <c r="C1378" s="4">
        <v>2024</v>
      </c>
      <c r="D1378" s="4">
        <v>9</v>
      </c>
      <c r="E1378" s="4" t="s">
        <v>79</v>
      </c>
      <c r="F1378" s="4" t="s">
        <v>8</v>
      </c>
      <c r="G1378" s="4" t="s">
        <v>12</v>
      </c>
      <c r="H1378" s="4" t="s">
        <v>58</v>
      </c>
      <c r="I1378" s="4" t="s">
        <v>7</v>
      </c>
      <c r="J1378" s="4" t="s">
        <v>189</v>
      </c>
      <c r="K1378" s="4">
        <v>6</v>
      </c>
      <c r="L1378" s="5">
        <v>308.93</v>
      </c>
      <c r="M1378" s="5">
        <v>1853.58</v>
      </c>
      <c r="N1378" s="5">
        <v>1112.46</v>
      </c>
      <c r="O1378" s="5">
        <v>741.12</v>
      </c>
      <c r="P1378" s="4">
        <f>--AND(OR(Dashboard!$A$10="All",C1378=Dashboard!$A$10),OR(Dashboard!$A$14="All",F1378=Dashboard!$A$14),OR(Dashboard!$A$18="All",G1378=Dashboard!$A$18),OR(Dashboard!$A$22="All",I1378=Dashboard!$A$22))</f>
        <v>1</v>
      </c>
    </row>
    <row r="1379" spans="1:16" ht="15.75" customHeight="1">
      <c r="A1379" s="4" t="s">
        <v>1585</v>
      </c>
      <c r="B1379" s="6">
        <v>45919</v>
      </c>
      <c r="C1379" s="4">
        <v>2025</v>
      </c>
      <c r="D1379" s="4">
        <v>9</v>
      </c>
      <c r="E1379" s="4" t="s">
        <v>79</v>
      </c>
      <c r="F1379" s="4" t="s">
        <v>8</v>
      </c>
      <c r="G1379" s="4" t="s">
        <v>6</v>
      </c>
      <c r="H1379" s="4" t="s">
        <v>98</v>
      </c>
      <c r="I1379" s="4" t="s">
        <v>10</v>
      </c>
      <c r="J1379" s="4" t="s">
        <v>240</v>
      </c>
      <c r="K1379" s="4">
        <v>2</v>
      </c>
      <c r="L1379" s="5">
        <v>150.41</v>
      </c>
      <c r="M1379" s="5">
        <v>300.82</v>
      </c>
      <c r="N1379" s="5">
        <v>194.9</v>
      </c>
      <c r="O1379" s="5">
        <v>105.92</v>
      </c>
      <c r="P1379" s="4">
        <f>--AND(OR(Dashboard!$A$10="All",C1379=Dashboard!$A$10),OR(Dashboard!$A$14="All",F1379=Dashboard!$A$14),OR(Dashboard!$A$18="All",G1379=Dashboard!$A$18),OR(Dashboard!$A$22="All",I1379=Dashboard!$A$22))</f>
        <v>1</v>
      </c>
    </row>
    <row r="1380" spans="1:16" ht="15.75" customHeight="1">
      <c r="A1380" s="4" t="s">
        <v>1586</v>
      </c>
      <c r="B1380" s="6">
        <v>46009</v>
      </c>
      <c r="C1380" s="4">
        <v>2025</v>
      </c>
      <c r="D1380" s="4">
        <v>12</v>
      </c>
      <c r="E1380" s="4" t="s">
        <v>57</v>
      </c>
      <c r="F1380" s="4" t="s">
        <v>5</v>
      </c>
      <c r="G1380" s="4" t="s">
        <v>12</v>
      </c>
      <c r="H1380" s="4" t="s">
        <v>92</v>
      </c>
      <c r="I1380" s="4" t="s">
        <v>10</v>
      </c>
      <c r="J1380" s="4" t="s">
        <v>146</v>
      </c>
      <c r="K1380" s="4">
        <v>4</v>
      </c>
      <c r="L1380" s="5">
        <v>119.61</v>
      </c>
      <c r="M1380" s="5">
        <v>478.44</v>
      </c>
      <c r="N1380" s="5">
        <v>297.31</v>
      </c>
      <c r="O1380" s="5">
        <v>181.13</v>
      </c>
      <c r="P1380" s="4">
        <f>--AND(OR(Dashboard!$A$10="All",C1380=Dashboard!$A$10),OR(Dashboard!$A$14="All",F1380=Dashboard!$A$14),OR(Dashboard!$A$18="All",G1380=Dashboard!$A$18),OR(Dashboard!$A$22="All",I1380=Dashboard!$A$22))</f>
        <v>1</v>
      </c>
    </row>
    <row r="1381" spans="1:16" ht="15.75" customHeight="1">
      <c r="A1381" s="4" t="s">
        <v>1587</v>
      </c>
      <c r="B1381" s="6">
        <v>45468</v>
      </c>
      <c r="C1381" s="4">
        <v>2024</v>
      </c>
      <c r="D1381" s="4">
        <v>6</v>
      </c>
      <c r="E1381" s="4" t="s">
        <v>34</v>
      </c>
      <c r="F1381" s="4" t="s">
        <v>5</v>
      </c>
      <c r="G1381" s="4" t="s">
        <v>6</v>
      </c>
      <c r="H1381" s="4" t="s">
        <v>98</v>
      </c>
      <c r="I1381" s="4" t="s">
        <v>7</v>
      </c>
      <c r="J1381" s="4" t="s">
        <v>162</v>
      </c>
      <c r="K1381" s="4">
        <v>1</v>
      </c>
      <c r="L1381" s="5">
        <v>173.66</v>
      </c>
      <c r="M1381" s="5">
        <v>173.66</v>
      </c>
      <c r="N1381" s="5">
        <v>109</v>
      </c>
      <c r="O1381" s="5">
        <v>64.66</v>
      </c>
      <c r="P1381" s="4">
        <f>--AND(OR(Dashboard!$A$10="All",C1381=Dashboard!$A$10),OR(Dashboard!$A$14="All",F1381=Dashboard!$A$14),OR(Dashboard!$A$18="All",G1381=Dashboard!$A$18),OR(Dashboard!$A$22="All",I1381=Dashboard!$A$22))</f>
        <v>1</v>
      </c>
    </row>
    <row r="1382" spans="1:16" ht="15.75" customHeight="1">
      <c r="A1382" s="4" t="s">
        <v>1588</v>
      </c>
      <c r="B1382" s="6">
        <v>45688</v>
      </c>
      <c r="C1382" s="4">
        <v>2025</v>
      </c>
      <c r="D1382" s="4">
        <v>1</v>
      </c>
      <c r="E1382" s="4" t="s">
        <v>30</v>
      </c>
      <c r="F1382" s="4" t="s">
        <v>5</v>
      </c>
      <c r="G1382" s="4" t="s">
        <v>9</v>
      </c>
      <c r="H1382" s="4" t="s">
        <v>35</v>
      </c>
      <c r="I1382" s="4" t="s">
        <v>10</v>
      </c>
      <c r="J1382" s="4" t="s">
        <v>407</v>
      </c>
      <c r="K1382" s="4">
        <v>9</v>
      </c>
      <c r="L1382" s="5">
        <v>35.25</v>
      </c>
      <c r="M1382" s="5">
        <v>317.25</v>
      </c>
      <c r="N1382" s="5">
        <v>162</v>
      </c>
      <c r="O1382" s="5">
        <v>155.25</v>
      </c>
      <c r="P1382" s="4">
        <f>--AND(OR(Dashboard!$A$10="All",C1382=Dashboard!$A$10),OR(Dashboard!$A$14="All",F1382=Dashboard!$A$14),OR(Dashboard!$A$18="All",G1382=Dashboard!$A$18),OR(Dashboard!$A$22="All",I1382=Dashboard!$A$22))</f>
        <v>1</v>
      </c>
    </row>
    <row r="1383" spans="1:16" ht="15.75" customHeight="1">
      <c r="A1383" s="4" t="s">
        <v>1589</v>
      </c>
      <c r="B1383" s="6">
        <v>45736</v>
      </c>
      <c r="C1383" s="4">
        <v>2025</v>
      </c>
      <c r="D1383" s="4">
        <v>3</v>
      </c>
      <c r="E1383" s="4" t="s">
        <v>100</v>
      </c>
      <c r="F1383" s="4" t="s">
        <v>5</v>
      </c>
      <c r="G1383" s="4" t="s">
        <v>12</v>
      </c>
      <c r="H1383" s="4" t="s">
        <v>92</v>
      </c>
      <c r="I1383" s="4" t="s">
        <v>10</v>
      </c>
      <c r="J1383" s="4" t="s">
        <v>159</v>
      </c>
      <c r="K1383" s="4">
        <v>3</v>
      </c>
      <c r="L1383" s="5">
        <v>265.20999999999998</v>
      </c>
      <c r="M1383" s="5">
        <v>795.63</v>
      </c>
      <c r="N1383" s="5">
        <v>497.08</v>
      </c>
      <c r="O1383" s="5">
        <v>298.55</v>
      </c>
      <c r="P1383" s="4">
        <f>--AND(OR(Dashboard!$A$10="All",C1383=Dashboard!$A$10),OR(Dashboard!$A$14="All",F1383=Dashboard!$A$14),OR(Dashboard!$A$18="All",G1383=Dashboard!$A$18),OR(Dashboard!$A$22="All",I1383=Dashboard!$A$22))</f>
        <v>1</v>
      </c>
    </row>
    <row r="1384" spans="1:16" ht="15.75" customHeight="1">
      <c r="A1384" s="4" t="s">
        <v>1590</v>
      </c>
      <c r="B1384" s="6">
        <v>45451</v>
      </c>
      <c r="C1384" s="4">
        <v>2024</v>
      </c>
      <c r="D1384" s="4">
        <v>6</v>
      </c>
      <c r="E1384" s="4" t="s">
        <v>34</v>
      </c>
      <c r="F1384" s="4" t="s">
        <v>5</v>
      </c>
      <c r="G1384" s="4" t="s">
        <v>6</v>
      </c>
      <c r="H1384" s="4" t="s">
        <v>114</v>
      </c>
      <c r="I1384" s="4" t="s">
        <v>7</v>
      </c>
      <c r="J1384" s="4" t="s">
        <v>65</v>
      </c>
      <c r="K1384" s="4">
        <v>7</v>
      </c>
      <c r="L1384" s="5">
        <v>109.67</v>
      </c>
      <c r="M1384" s="5">
        <v>767.69</v>
      </c>
      <c r="N1384" s="5">
        <v>507.27</v>
      </c>
      <c r="O1384" s="5">
        <v>260.42</v>
      </c>
      <c r="P1384" s="4">
        <f>--AND(OR(Dashboard!$A$10="All",C1384=Dashboard!$A$10),OR(Dashboard!$A$14="All",F1384=Dashboard!$A$14),OR(Dashboard!$A$18="All",G1384=Dashboard!$A$18),OR(Dashboard!$A$22="All",I1384=Dashboard!$A$22))</f>
        <v>1</v>
      </c>
    </row>
    <row r="1385" spans="1:16" ht="15.75" customHeight="1">
      <c r="A1385" s="4" t="s">
        <v>1591</v>
      </c>
      <c r="B1385" s="6">
        <v>45566</v>
      </c>
      <c r="C1385" s="4">
        <v>2024</v>
      </c>
      <c r="D1385" s="4">
        <v>10</v>
      </c>
      <c r="E1385" s="4" t="s">
        <v>120</v>
      </c>
      <c r="F1385" s="4" t="s">
        <v>5</v>
      </c>
      <c r="G1385" s="4" t="s">
        <v>6</v>
      </c>
      <c r="H1385" s="4" t="s">
        <v>136</v>
      </c>
      <c r="I1385" s="4" t="s">
        <v>7</v>
      </c>
      <c r="J1385" s="4" t="s">
        <v>230</v>
      </c>
      <c r="K1385" s="4">
        <v>4</v>
      </c>
      <c r="L1385" s="5">
        <v>89.28</v>
      </c>
      <c r="M1385" s="5">
        <v>357.12</v>
      </c>
      <c r="N1385" s="5">
        <v>229.9</v>
      </c>
      <c r="O1385" s="5">
        <v>127.22</v>
      </c>
      <c r="P1385" s="4">
        <f>--AND(OR(Dashboard!$A$10="All",C1385=Dashboard!$A$10),OR(Dashboard!$A$14="All",F1385=Dashboard!$A$14),OR(Dashboard!$A$18="All",G1385=Dashboard!$A$18),OR(Dashboard!$A$22="All",I1385=Dashboard!$A$22))</f>
        <v>1</v>
      </c>
    </row>
    <row r="1386" spans="1:16" ht="15.75" customHeight="1">
      <c r="A1386" s="4" t="s">
        <v>1592</v>
      </c>
      <c r="B1386" s="6">
        <v>45296</v>
      </c>
      <c r="C1386" s="4">
        <v>2024</v>
      </c>
      <c r="D1386" s="4">
        <v>1</v>
      </c>
      <c r="E1386" s="4" t="s">
        <v>30</v>
      </c>
      <c r="F1386" s="4" t="s">
        <v>8</v>
      </c>
      <c r="G1386" s="4" t="s">
        <v>6</v>
      </c>
      <c r="H1386" s="4" t="s">
        <v>98</v>
      </c>
      <c r="I1386" s="4" t="s">
        <v>7</v>
      </c>
      <c r="J1386" s="4" t="s">
        <v>149</v>
      </c>
      <c r="K1386" s="4">
        <v>3</v>
      </c>
      <c r="L1386" s="5">
        <v>126.71</v>
      </c>
      <c r="M1386" s="5">
        <v>380.13</v>
      </c>
      <c r="N1386" s="5">
        <v>243.1</v>
      </c>
      <c r="O1386" s="5">
        <v>137.03</v>
      </c>
      <c r="P1386" s="4">
        <f>--AND(OR(Dashboard!$A$10="All",C1386=Dashboard!$A$10),OR(Dashboard!$A$14="All",F1386=Dashboard!$A$14),OR(Dashboard!$A$18="All",G1386=Dashboard!$A$18),OR(Dashboard!$A$22="All",I1386=Dashboard!$A$22))</f>
        <v>1</v>
      </c>
    </row>
    <row r="1387" spans="1:16" ht="15.75" customHeight="1">
      <c r="A1387" s="4" t="s">
        <v>1593</v>
      </c>
      <c r="B1387" s="6">
        <v>45318</v>
      </c>
      <c r="C1387" s="4">
        <v>2024</v>
      </c>
      <c r="D1387" s="4">
        <v>1</v>
      </c>
      <c r="E1387" s="4" t="s">
        <v>30</v>
      </c>
      <c r="F1387" s="4" t="s">
        <v>8</v>
      </c>
      <c r="G1387" s="4" t="s">
        <v>6</v>
      </c>
      <c r="H1387" s="4" t="s">
        <v>80</v>
      </c>
      <c r="I1387" s="4" t="s">
        <v>7</v>
      </c>
      <c r="J1387" s="4" t="s">
        <v>263</v>
      </c>
      <c r="K1387" s="4">
        <v>1</v>
      </c>
      <c r="L1387" s="5">
        <v>179.19</v>
      </c>
      <c r="M1387" s="5">
        <v>179.19</v>
      </c>
      <c r="N1387" s="5">
        <v>117.3</v>
      </c>
      <c r="O1387" s="5">
        <v>61.89</v>
      </c>
      <c r="P1387" s="4">
        <f>--AND(OR(Dashboard!$A$10="All",C1387=Dashboard!$A$10),OR(Dashboard!$A$14="All",F1387=Dashboard!$A$14),OR(Dashboard!$A$18="All",G1387=Dashboard!$A$18),OR(Dashboard!$A$22="All",I1387=Dashboard!$A$22))</f>
        <v>1</v>
      </c>
    </row>
    <row r="1388" spans="1:16" ht="15.75" customHeight="1">
      <c r="A1388" s="4" t="s">
        <v>1594</v>
      </c>
      <c r="B1388" s="6">
        <v>45928</v>
      </c>
      <c r="C1388" s="4">
        <v>2025</v>
      </c>
      <c r="D1388" s="4">
        <v>9</v>
      </c>
      <c r="E1388" s="4" t="s">
        <v>79</v>
      </c>
      <c r="F1388" s="4" t="s">
        <v>5</v>
      </c>
      <c r="G1388" s="4" t="s">
        <v>9</v>
      </c>
      <c r="H1388" s="4" t="s">
        <v>35</v>
      </c>
      <c r="I1388" s="4" t="s">
        <v>10</v>
      </c>
      <c r="J1388" s="4" t="s">
        <v>125</v>
      </c>
      <c r="K1388" s="4">
        <v>1</v>
      </c>
      <c r="L1388" s="5">
        <v>67.22</v>
      </c>
      <c r="M1388" s="5">
        <v>67.22</v>
      </c>
      <c r="N1388" s="5">
        <v>32</v>
      </c>
      <c r="O1388" s="5">
        <v>35.22</v>
      </c>
      <c r="P1388" s="4">
        <f>--AND(OR(Dashboard!$A$10="All",C1388=Dashboard!$A$10),OR(Dashboard!$A$14="All",F1388=Dashboard!$A$14),OR(Dashboard!$A$18="All",G1388=Dashboard!$A$18),OR(Dashboard!$A$22="All",I1388=Dashboard!$A$22))</f>
        <v>1</v>
      </c>
    </row>
    <row r="1389" spans="1:16" ht="15.75" customHeight="1">
      <c r="A1389" s="4" t="s">
        <v>1595</v>
      </c>
      <c r="B1389" s="6">
        <v>45529</v>
      </c>
      <c r="C1389" s="4">
        <v>2024</v>
      </c>
      <c r="D1389" s="4">
        <v>8</v>
      </c>
      <c r="E1389" s="4" t="s">
        <v>67</v>
      </c>
      <c r="F1389" s="4" t="s">
        <v>5</v>
      </c>
      <c r="G1389" s="4" t="s">
        <v>12</v>
      </c>
      <c r="H1389" s="4" t="s">
        <v>58</v>
      </c>
      <c r="I1389" s="4" t="s">
        <v>7</v>
      </c>
      <c r="J1389" s="4" t="s">
        <v>207</v>
      </c>
      <c r="K1389" s="4">
        <v>3</v>
      </c>
      <c r="L1389" s="5">
        <v>120.2</v>
      </c>
      <c r="M1389" s="5">
        <v>360.6</v>
      </c>
      <c r="N1389" s="5">
        <v>212.9</v>
      </c>
      <c r="O1389" s="5">
        <v>147.69999999999999</v>
      </c>
      <c r="P1389" s="4">
        <f>--AND(OR(Dashboard!$A$10="All",C1389=Dashboard!$A$10),OR(Dashboard!$A$14="All",F1389=Dashboard!$A$14),OR(Dashboard!$A$18="All",G1389=Dashboard!$A$18),OR(Dashboard!$A$22="All",I1389=Dashboard!$A$22))</f>
        <v>1</v>
      </c>
    </row>
    <row r="1390" spans="1:16" ht="15.75" customHeight="1">
      <c r="A1390" s="4" t="s">
        <v>1596</v>
      </c>
      <c r="B1390" s="6">
        <v>46005</v>
      </c>
      <c r="C1390" s="4">
        <v>2025</v>
      </c>
      <c r="D1390" s="4">
        <v>12</v>
      </c>
      <c r="E1390" s="4" t="s">
        <v>57</v>
      </c>
      <c r="F1390" s="4" t="s">
        <v>5</v>
      </c>
      <c r="G1390" s="4" t="s">
        <v>9</v>
      </c>
      <c r="H1390" s="4" t="s">
        <v>35</v>
      </c>
      <c r="I1390" s="4" t="s">
        <v>7</v>
      </c>
      <c r="J1390" s="4" t="s">
        <v>280</v>
      </c>
      <c r="K1390" s="4">
        <v>9</v>
      </c>
      <c r="L1390" s="5">
        <v>30.63</v>
      </c>
      <c r="M1390" s="5">
        <v>275.67</v>
      </c>
      <c r="N1390" s="5">
        <v>134.62</v>
      </c>
      <c r="O1390" s="5">
        <v>141.05000000000001</v>
      </c>
      <c r="P1390" s="4">
        <f>--AND(OR(Dashboard!$A$10="All",C1390=Dashboard!$A$10),OR(Dashboard!$A$14="All",F1390=Dashboard!$A$14),OR(Dashboard!$A$18="All",G1390=Dashboard!$A$18),OR(Dashboard!$A$22="All",I1390=Dashboard!$A$22))</f>
        <v>1</v>
      </c>
    </row>
    <row r="1391" spans="1:16" ht="15.75" customHeight="1">
      <c r="A1391" s="4" t="s">
        <v>1597</v>
      </c>
      <c r="B1391" s="6">
        <v>45799</v>
      </c>
      <c r="C1391" s="4">
        <v>2025</v>
      </c>
      <c r="D1391" s="4">
        <v>5</v>
      </c>
      <c r="E1391" s="4" t="s">
        <v>108</v>
      </c>
      <c r="F1391" s="4" t="s">
        <v>5</v>
      </c>
      <c r="G1391" s="4" t="s">
        <v>9</v>
      </c>
      <c r="H1391" s="4" t="s">
        <v>110</v>
      </c>
      <c r="I1391" s="4" t="s">
        <v>7</v>
      </c>
      <c r="J1391" s="4" t="s">
        <v>99</v>
      </c>
      <c r="K1391" s="4">
        <v>3</v>
      </c>
      <c r="L1391" s="5">
        <v>31.25</v>
      </c>
      <c r="M1391" s="5">
        <v>93.75</v>
      </c>
      <c r="N1391" s="5">
        <v>46.35</v>
      </c>
      <c r="O1391" s="5">
        <v>47.4</v>
      </c>
      <c r="P1391" s="4">
        <f>--AND(OR(Dashboard!$A$10="All",C1391=Dashboard!$A$10),OR(Dashboard!$A$14="All",F1391=Dashboard!$A$14),OR(Dashboard!$A$18="All",G1391=Dashboard!$A$18),OR(Dashboard!$A$22="All",I1391=Dashboard!$A$22))</f>
        <v>1</v>
      </c>
    </row>
    <row r="1392" spans="1:16" ht="15.75" customHeight="1">
      <c r="A1392" s="4" t="s">
        <v>1598</v>
      </c>
      <c r="B1392" s="6">
        <v>45711</v>
      </c>
      <c r="C1392" s="4">
        <v>2025</v>
      </c>
      <c r="D1392" s="4">
        <v>2</v>
      </c>
      <c r="E1392" s="4" t="s">
        <v>70</v>
      </c>
      <c r="F1392" s="4" t="s">
        <v>5</v>
      </c>
      <c r="G1392" s="4" t="s">
        <v>12</v>
      </c>
      <c r="H1392" s="4" t="s">
        <v>86</v>
      </c>
      <c r="I1392" s="4" t="s">
        <v>7</v>
      </c>
      <c r="J1392" s="4" t="s">
        <v>317</v>
      </c>
      <c r="K1392" s="4">
        <v>8</v>
      </c>
      <c r="L1392" s="5">
        <v>254.4</v>
      </c>
      <c r="M1392" s="5">
        <v>2035.2</v>
      </c>
      <c r="N1392" s="5">
        <v>1193.07</v>
      </c>
      <c r="O1392" s="5">
        <v>842.13</v>
      </c>
      <c r="P1392" s="4">
        <f>--AND(OR(Dashboard!$A$10="All",C1392=Dashboard!$A$10),OR(Dashboard!$A$14="All",F1392=Dashboard!$A$14),OR(Dashboard!$A$18="All",G1392=Dashboard!$A$18),OR(Dashboard!$A$22="All",I1392=Dashboard!$A$22))</f>
        <v>1</v>
      </c>
    </row>
    <row r="1393" spans="1:16" ht="15.75" customHeight="1">
      <c r="A1393" s="4" t="s">
        <v>1599</v>
      </c>
      <c r="B1393" s="6">
        <v>45681</v>
      </c>
      <c r="C1393" s="4">
        <v>2025</v>
      </c>
      <c r="D1393" s="4">
        <v>1</v>
      </c>
      <c r="E1393" s="4" t="s">
        <v>30</v>
      </c>
      <c r="F1393" s="4" t="s">
        <v>5</v>
      </c>
      <c r="G1393" s="4" t="s">
        <v>12</v>
      </c>
      <c r="H1393" s="4" t="s">
        <v>58</v>
      </c>
      <c r="I1393" s="4" t="s">
        <v>10</v>
      </c>
      <c r="J1393" s="4" t="s">
        <v>379</v>
      </c>
      <c r="K1393" s="4">
        <v>4</v>
      </c>
      <c r="L1393" s="5">
        <v>216.96</v>
      </c>
      <c r="M1393" s="5">
        <v>867.84</v>
      </c>
      <c r="N1393" s="5">
        <v>527.54</v>
      </c>
      <c r="O1393" s="5">
        <v>340.3</v>
      </c>
      <c r="P1393" s="4">
        <f>--AND(OR(Dashboard!$A$10="All",C1393=Dashboard!$A$10),OR(Dashboard!$A$14="All",F1393=Dashboard!$A$14),OR(Dashboard!$A$18="All",G1393=Dashboard!$A$18),OR(Dashboard!$A$22="All",I1393=Dashboard!$A$22))</f>
        <v>1</v>
      </c>
    </row>
    <row r="1394" spans="1:16" ht="15.75" customHeight="1">
      <c r="A1394" s="4" t="s">
        <v>1600</v>
      </c>
      <c r="B1394" s="6">
        <v>45390</v>
      </c>
      <c r="C1394" s="4">
        <v>2024</v>
      </c>
      <c r="D1394" s="4">
        <v>4</v>
      </c>
      <c r="E1394" s="4" t="s">
        <v>106</v>
      </c>
      <c r="F1394" s="4" t="s">
        <v>5</v>
      </c>
      <c r="G1394" s="4" t="s">
        <v>6</v>
      </c>
      <c r="H1394" s="4" t="s">
        <v>54</v>
      </c>
      <c r="I1394" s="4" t="s">
        <v>7</v>
      </c>
      <c r="J1394" s="4" t="s">
        <v>68</v>
      </c>
      <c r="K1394" s="4">
        <v>2</v>
      </c>
      <c r="L1394" s="5">
        <v>87.97</v>
      </c>
      <c r="M1394" s="5">
        <v>175.94</v>
      </c>
      <c r="N1394" s="5">
        <v>111.87</v>
      </c>
      <c r="O1394" s="5">
        <v>64.069999999999993</v>
      </c>
      <c r="P1394" s="4">
        <f>--AND(OR(Dashboard!$A$10="All",C1394=Dashboard!$A$10),OR(Dashboard!$A$14="All",F1394=Dashboard!$A$14),OR(Dashboard!$A$18="All",G1394=Dashboard!$A$18),OR(Dashboard!$A$22="All",I1394=Dashboard!$A$22))</f>
        <v>1</v>
      </c>
    </row>
    <row r="1395" spans="1:16" ht="15.75" customHeight="1">
      <c r="A1395" s="4" t="s">
        <v>1601</v>
      </c>
      <c r="B1395" s="6">
        <v>45791</v>
      </c>
      <c r="C1395" s="4">
        <v>2025</v>
      </c>
      <c r="D1395" s="4">
        <v>5</v>
      </c>
      <c r="E1395" s="4" t="s">
        <v>108</v>
      </c>
      <c r="F1395" s="4" t="s">
        <v>14</v>
      </c>
      <c r="G1395" s="4" t="s">
        <v>9</v>
      </c>
      <c r="H1395" s="4" t="s">
        <v>71</v>
      </c>
      <c r="I1395" s="4" t="s">
        <v>10</v>
      </c>
      <c r="J1395" s="4" t="s">
        <v>261</v>
      </c>
      <c r="K1395" s="4">
        <v>1</v>
      </c>
      <c r="L1395" s="5">
        <v>61.03</v>
      </c>
      <c r="M1395" s="5">
        <v>61.03</v>
      </c>
      <c r="N1395" s="5">
        <v>29.74</v>
      </c>
      <c r="O1395" s="5">
        <v>31.29</v>
      </c>
      <c r="P1395" s="4">
        <f>--AND(OR(Dashboard!$A$10="All",C1395=Dashboard!$A$10),OR(Dashboard!$A$14="All",F1395=Dashboard!$A$14),OR(Dashboard!$A$18="All",G1395=Dashboard!$A$18),OR(Dashboard!$A$22="All",I1395=Dashboard!$A$22))</f>
        <v>1</v>
      </c>
    </row>
    <row r="1396" spans="1:16" ht="15.75" customHeight="1">
      <c r="A1396" s="4" t="s">
        <v>1602</v>
      </c>
      <c r="B1396" s="6">
        <v>45353</v>
      </c>
      <c r="C1396" s="4">
        <v>2024</v>
      </c>
      <c r="D1396" s="4">
        <v>3</v>
      </c>
      <c r="E1396" s="4" t="s">
        <v>100</v>
      </c>
      <c r="F1396" s="4" t="s">
        <v>5</v>
      </c>
      <c r="G1396" s="4" t="s">
        <v>12</v>
      </c>
      <c r="H1396" s="4" t="s">
        <v>124</v>
      </c>
      <c r="I1396" s="4" t="s">
        <v>7</v>
      </c>
      <c r="J1396" s="4" t="s">
        <v>314</v>
      </c>
      <c r="K1396" s="4">
        <v>3</v>
      </c>
      <c r="L1396" s="5">
        <v>197.55</v>
      </c>
      <c r="M1396" s="5">
        <v>592.65</v>
      </c>
      <c r="N1396" s="5">
        <v>346.74</v>
      </c>
      <c r="O1396" s="5">
        <v>245.91</v>
      </c>
      <c r="P1396" s="4">
        <f>--AND(OR(Dashboard!$A$10="All",C1396=Dashboard!$A$10),OR(Dashboard!$A$14="All",F1396=Dashboard!$A$14),OR(Dashboard!$A$18="All",G1396=Dashboard!$A$18),OR(Dashboard!$A$22="All",I1396=Dashboard!$A$22))</f>
        <v>1</v>
      </c>
    </row>
    <row r="1397" spans="1:16" ht="15.75" customHeight="1">
      <c r="A1397" s="4" t="s">
        <v>1603</v>
      </c>
      <c r="B1397" s="6">
        <v>45557</v>
      </c>
      <c r="C1397" s="4">
        <v>2024</v>
      </c>
      <c r="D1397" s="4">
        <v>9</v>
      </c>
      <c r="E1397" s="4" t="s">
        <v>79</v>
      </c>
      <c r="F1397" s="4" t="s">
        <v>5</v>
      </c>
      <c r="G1397" s="4" t="s">
        <v>6</v>
      </c>
      <c r="H1397" s="4" t="s">
        <v>136</v>
      </c>
      <c r="I1397" s="4" t="s">
        <v>7</v>
      </c>
      <c r="J1397" s="4" t="s">
        <v>402</v>
      </c>
      <c r="K1397" s="4">
        <v>7</v>
      </c>
      <c r="L1397" s="5">
        <v>163.13999999999999</v>
      </c>
      <c r="M1397" s="5">
        <v>1141.98</v>
      </c>
      <c r="N1397" s="5">
        <v>764.21</v>
      </c>
      <c r="O1397" s="5">
        <v>377.77</v>
      </c>
      <c r="P1397" s="4">
        <f>--AND(OR(Dashboard!$A$10="All",C1397=Dashboard!$A$10),OR(Dashboard!$A$14="All",F1397=Dashboard!$A$14),OR(Dashboard!$A$18="All",G1397=Dashboard!$A$18),OR(Dashboard!$A$22="All",I1397=Dashboard!$A$22))</f>
        <v>1</v>
      </c>
    </row>
    <row r="1398" spans="1:16" ht="15.75" customHeight="1">
      <c r="A1398" s="4" t="s">
        <v>1604</v>
      </c>
      <c r="B1398" s="6">
        <v>46003</v>
      </c>
      <c r="C1398" s="4">
        <v>2025</v>
      </c>
      <c r="D1398" s="4">
        <v>12</v>
      </c>
      <c r="E1398" s="4" t="s">
        <v>57</v>
      </c>
      <c r="F1398" s="4" t="s">
        <v>11</v>
      </c>
      <c r="G1398" s="4" t="s">
        <v>6</v>
      </c>
      <c r="H1398" s="4" t="s">
        <v>80</v>
      </c>
      <c r="I1398" s="4" t="s">
        <v>7</v>
      </c>
      <c r="J1398" s="4" t="s">
        <v>193</v>
      </c>
      <c r="K1398" s="4">
        <v>3</v>
      </c>
      <c r="L1398" s="5">
        <v>203.52</v>
      </c>
      <c r="M1398" s="5">
        <v>610.55999999999995</v>
      </c>
      <c r="N1398" s="5">
        <v>395.37</v>
      </c>
      <c r="O1398" s="5">
        <v>215.19</v>
      </c>
      <c r="P1398" s="4">
        <f>--AND(OR(Dashboard!$A$10="All",C1398=Dashboard!$A$10),OR(Dashboard!$A$14="All",F1398=Dashboard!$A$14),OR(Dashboard!$A$18="All",G1398=Dashboard!$A$18),OR(Dashboard!$A$22="All",I1398=Dashboard!$A$22))</f>
        <v>1</v>
      </c>
    </row>
    <row r="1399" spans="1:16" ht="15.75" customHeight="1">
      <c r="A1399" s="4" t="s">
        <v>1605</v>
      </c>
      <c r="B1399" s="6">
        <v>45449</v>
      </c>
      <c r="C1399" s="4">
        <v>2024</v>
      </c>
      <c r="D1399" s="4">
        <v>6</v>
      </c>
      <c r="E1399" s="4" t="s">
        <v>34</v>
      </c>
      <c r="F1399" s="4" t="s">
        <v>5</v>
      </c>
      <c r="G1399" s="4" t="s">
        <v>6</v>
      </c>
      <c r="H1399" s="4" t="s">
        <v>54</v>
      </c>
      <c r="I1399" s="4" t="s">
        <v>10</v>
      </c>
      <c r="J1399" s="4" t="s">
        <v>321</v>
      </c>
      <c r="K1399" s="4">
        <v>5</v>
      </c>
      <c r="L1399" s="5">
        <v>95.56</v>
      </c>
      <c r="M1399" s="5">
        <v>477.8</v>
      </c>
      <c r="N1399" s="5">
        <v>330.03</v>
      </c>
      <c r="O1399" s="5">
        <v>147.77000000000001</v>
      </c>
      <c r="P1399" s="4">
        <f>--AND(OR(Dashboard!$A$10="All",C1399=Dashboard!$A$10),OR(Dashboard!$A$14="All",F1399=Dashboard!$A$14),OR(Dashboard!$A$18="All",G1399=Dashboard!$A$18),OR(Dashboard!$A$22="All",I1399=Dashboard!$A$22))</f>
        <v>1</v>
      </c>
    </row>
    <row r="1400" spans="1:16" ht="15.75" customHeight="1">
      <c r="A1400" s="4" t="s">
        <v>1606</v>
      </c>
      <c r="B1400" s="6">
        <v>45975</v>
      </c>
      <c r="C1400" s="4">
        <v>2025</v>
      </c>
      <c r="D1400" s="4">
        <v>11</v>
      </c>
      <c r="E1400" s="4" t="s">
        <v>89</v>
      </c>
      <c r="F1400" s="4" t="s">
        <v>5</v>
      </c>
      <c r="G1400" s="4" t="s">
        <v>6</v>
      </c>
      <c r="H1400" s="4" t="s">
        <v>80</v>
      </c>
      <c r="I1400" s="4" t="s">
        <v>7</v>
      </c>
      <c r="J1400" s="4" t="s">
        <v>149</v>
      </c>
      <c r="K1400" s="4">
        <v>2</v>
      </c>
      <c r="L1400" s="5">
        <v>177.25</v>
      </c>
      <c r="M1400" s="5">
        <v>354.5</v>
      </c>
      <c r="N1400" s="5">
        <v>223.06</v>
      </c>
      <c r="O1400" s="5">
        <v>131.44</v>
      </c>
      <c r="P1400" s="4">
        <f>--AND(OR(Dashboard!$A$10="All",C1400=Dashboard!$A$10),OR(Dashboard!$A$14="All",F1400=Dashboard!$A$14),OR(Dashboard!$A$18="All",G1400=Dashboard!$A$18),OR(Dashboard!$A$22="All",I1400=Dashboard!$A$22))</f>
        <v>1</v>
      </c>
    </row>
    <row r="1401" spans="1:16" ht="15.75" customHeight="1">
      <c r="A1401" s="4" t="s">
        <v>1607</v>
      </c>
      <c r="B1401" s="6">
        <v>45596</v>
      </c>
      <c r="C1401" s="4">
        <v>2024</v>
      </c>
      <c r="D1401" s="4">
        <v>10</v>
      </c>
      <c r="E1401" s="4" t="s">
        <v>120</v>
      </c>
      <c r="F1401" s="4" t="s">
        <v>5</v>
      </c>
      <c r="G1401" s="4" t="s">
        <v>12</v>
      </c>
      <c r="H1401" s="4" t="s">
        <v>58</v>
      </c>
      <c r="I1401" s="4" t="s">
        <v>10</v>
      </c>
      <c r="J1401" s="4" t="s">
        <v>402</v>
      </c>
      <c r="K1401" s="4">
        <v>1</v>
      </c>
      <c r="L1401" s="5">
        <v>186.06</v>
      </c>
      <c r="M1401" s="5">
        <v>186.06</v>
      </c>
      <c r="N1401" s="5">
        <v>110.32</v>
      </c>
      <c r="O1401" s="5">
        <v>75.739999999999995</v>
      </c>
      <c r="P1401" s="4">
        <f>--AND(OR(Dashboard!$A$10="All",C1401=Dashboard!$A$10),OR(Dashboard!$A$14="All",F1401=Dashboard!$A$14),OR(Dashboard!$A$18="All",G1401=Dashboard!$A$18),OR(Dashboard!$A$22="All",I1401=Dashboard!$A$22))</f>
        <v>1</v>
      </c>
    </row>
    <row r="1402" spans="1:16" ht="15.75" customHeight="1">
      <c r="A1402" s="4" t="s">
        <v>1608</v>
      </c>
      <c r="B1402" s="6">
        <v>45746</v>
      </c>
      <c r="C1402" s="4">
        <v>2025</v>
      </c>
      <c r="D1402" s="4">
        <v>3</v>
      </c>
      <c r="E1402" s="4" t="s">
        <v>100</v>
      </c>
      <c r="F1402" s="4" t="s">
        <v>5</v>
      </c>
      <c r="G1402" s="4" t="s">
        <v>6</v>
      </c>
      <c r="H1402" s="4" t="s">
        <v>114</v>
      </c>
      <c r="I1402" s="4" t="s">
        <v>7</v>
      </c>
      <c r="J1402" s="4" t="s">
        <v>299</v>
      </c>
      <c r="K1402" s="4">
        <v>3</v>
      </c>
      <c r="L1402" s="5">
        <v>144.43</v>
      </c>
      <c r="M1402" s="5">
        <v>433.29</v>
      </c>
      <c r="N1402" s="5">
        <v>272.64999999999998</v>
      </c>
      <c r="O1402" s="5">
        <v>160.63999999999999</v>
      </c>
      <c r="P1402" s="4">
        <f>--AND(OR(Dashboard!$A$10="All",C1402=Dashboard!$A$10),OR(Dashboard!$A$14="All",F1402=Dashboard!$A$14),OR(Dashboard!$A$18="All",G1402=Dashboard!$A$18),OR(Dashboard!$A$22="All",I1402=Dashboard!$A$22))</f>
        <v>1</v>
      </c>
    </row>
    <row r="1403" spans="1:16" ht="15.75" customHeight="1">
      <c r="A1403" s="4" t="s">
        <v>1609</v>
      </c>
      <c r="B1403" s="6">
        <v>45912</v>
      </c>
      <c r="C1403" s="4">
        <v>2025</v>
      </c>
      <c r="D1403" s="4">
        <v>9</v>
      </c>
      <c r="E1403" s="4" t="s">
        <v>79</v>
      </c>
      <c r="F1403" s="4" t="s">
        <v>14</v>
      </c>
      <c r="G1403" s="4" t="s">
        <v>12</v>
      </c>
      <c r="H1403" s="4" t="s">
        <v>127</v>
      </c>
      <c r="I1403" s="4" t="s">
        <v>7</v>
      </c>
      <c r="J1403" s="4" t="s">
        <v>276</v>
      </c>
      <c r="K1403" s="4">
        <v>2</v>
      </c>
      <c r="L1403" s="5">
        <v>274.74</v>
      </c>
      <c r="M1403" s="5">
        <v>549.48</v>
      </c>
      <c r="N1403" s="5">
        <v>327.94</v>
      </c>
      <c r="O1403" s="5">
        <v>221.54</v>
      </c>
      <c r="P1403" s="4">
        <f>--AND(OR(Dashboard!$A$10="All",C1403=Dashboard!$A$10),OR(Dashboard!$A$14="All",F1403=Dashboard!$A$14),OR(Dashboard!$A$18="All",G1403=Dashboard!$A$18),OR(Dashboard!$A$22="All",I1403=Dashboard!$A$22))</f>
        <v>1</v>
      </c>
    </row>
    <row r="1404" spans="1:16" ht="15.75" customHeight="1">
      <c r="A1404" s="4" t="s">
        <v>1610</v>
      </c>
      <c r="B1404" s="6">
        <v>45816</v>
      </c>
      <c r="C1404" s="4">
        <v>2025</v>
      </c>
      <c r="D1404" s="4">
        <v>6</v>
      </c>
      <c r="E1404" s="4" t="s">
        <v>34</v>
      </c>
      <c r="F1404" s="4" t="s">
        <v>8</v>
      </c>
      <c r="G1404" s="4" t="s">
        <v>6</v>
      </c>
      <c r="H1404" s="4" t="s">
        <v>80</v>
      </c>
      <c r="I1404" s="4" t="s">
        <v>7</v>
      </c>
      <c r="J1404" s="4" t="s">
        <v>297</v>
      </c>
      <c r="K1404" s="4">
        <v>2</v>
      </c>
      <c r="L1404" s="5">
        <v>143.66999999999999</v>
      </c>
      <c r="M1404" s="5">
        <v>287.33999999999997</v>
      </c>
      <c r="N1404" s="5">
        <v>184.44</v>
      </c>
      <c r="O1404" s="5">
        <v>102.9</v>
      </c>
      <c r="P1404" s="4">
        <f>--AND(OR(Dashboard!$A$10="All",C1404=Dashboard!$A$10),OR(Dashboard!$A$14="All",F1404=Dashboard!$A$14),OR(Dashboard!$A$18="All",G1404=Dashboard!$A$18),OR(Dashboard!$A$22="All",I1404=Dashboard!$A$22))</f>
        <v>1</v>
      </c>
    </row>
    <row r="1405" spans="1:16" ht="15.75" customHeight="1">
      <c r="A1405" s="4" t="s">
        <v>1611</v>
      </c>
      <c r="B1405" s="6">
        <v>45898</v>
      </c>
      <c r="C1405" s="4">
        <v>2025</v>
      </c>
      <c r="D1405" s="4">
        <v>8</v>
      </c>
      <c r="E1405" s="4" t="s">
        <v>67</v>
      </c>
      <c r="F1405" s="4" t="s">
        <v>5</v>
      </c>
      <c r="G1405" s="4" t="s">
        <v>6</v>
      </c>
      <c r="H1405" s="4" t="s">
        <v>136</v>
      </c>
      <c r="I1405" s="4" t="s">
        <v>13</v>
      </c>
      <c r="J1405" s="4" t="s">
        <v>153</v>
      </c>
      <c r="K1405" s="4">
        <v>1</v>
      </c>
      <c r="L1405" s="5">
        <v>136.77000000000001</v>
      </c>
      <c r="M1405" s="5">
        <v>136.77000000000001</v>
      </c>
      <c r="N1405" s="5">
        <v>87.93</v>
      </c>
      <c r="O1405" s="5">
        <v>48.84</v>
      </c>
      <c r="P1405" s="4">
        <f>--AND(OR(Dashboard!$A$10="All",C1405=Dashboard!$A$10),OR(Dashboard!$A$14="All",F1405=Dashboard!$A$14),OR(Dashboard!$A$18="All",G1405=Dashboard!$A$18),OR(Dashboard!$A$22="All",I1405=Dashboard!$A$22))</f>
        <v>1</v>
      </c>
    </row>
    <row r="1406" spans="1:16" ht="15.75" customHeight="1">
      <c r="A1406" s="4" t="s">
        <v>1612</v>
      </c>
      <c r="B1406" s="6">
        <v>45821</v>
      </c>
      <c r="C1406" s="4">
        <v>2025</v>
      </c>
      <c r="D1406" s="4">
        <v>6</v>
      </c>
      <c r="E1406" s="4" t="s">
        <v>34</v>
      </c>
      <c r="F1406" s="4" t="s">
        <v>5</v>
      </c>
      <c r="G1406" s="4" t="s">
        <v>12</v>
      </c>
      <c r="H1406" s="4" t="s">
        <v>92</v>
      </c>
      <c r="I1406" s="4" t="s">
        <v>10</v>
      </c>
      <c r="J1406" s="4" t="s">
        <v>72</v>
      </c>
      <c r="K1406" s="4">
        <v>1</v>
      </c>
      <c r="L1406" s="5">
        <v>145.16999999999999</v>
      </c>
      <c r="M1406" s="5">
        <v>145.16999999999999</v>
      </c>
      <c r="N1406" s="5">
        <v>84.41</v>
      </c>
      <c r="O1406" s="5">
        <v>60.76</v>
      </c>
      <c r="P1406" s="4">
        <f>--AND(OR(Dashboard!$A$10="All",C1406=Dashboard!$A$10),OR(Dashboard!$A$14="All",F1406=Dashboard!$A$14),OR(Dashboard!$A$18="All",G1406=Dashboard!$A$18),OR(Dashboard!$A$22="All",I1406=Dashboard!$A$22))</f>
        <v>1</v>
      </c>
    </row>
    <row r="1407" spans="1:16" ht="15.75" customHeight="1">
      <c r="A1407" s="4" t="s">
        <v>1613</v>
      </c>
      <c r="B1407" s="6">
        <v>46022</v>
      </c>
      <c r="C1407" s="4">
        <v>2025</v>
      </c>
      <c r="D1407" s="4">
        <v>12</v>
      </c>
      <c r="E1407" s="4" t="s">
        <v>57</v>
      </c>
      <c r="F1407" s="4" t="s">
        <v>8</v>
      </c>
      <c r="G1407" s="4" t="s">
        <v>9</v>
      </c>
      <c r="H1407" s="4" t="s">
        <v>35</v>
      </c>
      <c r="I1407" s="4" t="s">
        <v>7</v>
      </c>
      <c r="J1407" s="4" t="s">
        <v>179</v>
      </c>
      <c r="K1407" s="4">
        <v>5</v>
      </c>
      <c r="L1407" s="5">
        <v>41.14</v>
      </c>
      <c r="M1407" s="5">
        <v>205.7</v>
      </c>
      <c r="N1407" s="5">
        <v>106.19</v>
      </c>
      <c r="O1407" s="5">
        <v>99.51</v>
      </c>
      <c r="P1407" s="4">
        <f>--AND(OR(Dashboard!$A$10="All",C1407=Dashboard!$A$10),OR(Dashboard!$A$14="All",F1407=Dashboard!$A$14),OR(Dashboard!$A$18="All",G1407=Dashboard!$A$18),OR(Dashboard!$A$22="All",I1407=Dashboard!$A$22))</f>
        <v>1</v>
      </c>
    </row>
    <row r="1408" spans="1:16" ht="15.75" customHeight="1">
      <c r="A1408" s="4" t="s">
        <v>1614</v>
      </c>
      <c r="B1408" s="6">
        <v>45938</v>
      </c>
      <c r="C1408" s="4">
        <v>2025</v>
      </c>
      <c r="D1408" s="4">
        <v>10</v>
      </c>
      <c r="E1408" s="4" t="s">
        <v>120</v>
      </c>
      <c r="F1408" s="4" t="s">
        <v>5</v>
      </c>
      <c r="G1408" s="4" t="s">
        <v>9</v>
      </c>
      <c r="H1408" s="4" t="s">
        <v>142</v>
      </c>
      <c r="I1408" s="4" t="s">
        <v>7</v>
      </c>
      <c r="J1408" s="4" t="s">
        <v>115</v>
      </c>
      <c r="K1408" s="4">
        <v>2</v>
      </c>
      <c r="L1408" s="5">
        <v>57.07</v>
      </c>
      <c r="M1408" s="5">
        <v>114.14</v>
      </c>
      <c r="N1408" s="5">
        <v>54.24</v>
      </c>
      <c r="O1408" s="5">
        <v>59.9</v>
      </c>
      <c r="P1408" s="4">
        <f>--AND(OR(Dashboard!$A$10="All",C1408=Dashboard!$A$10),OR(Dashboard!$A$14="All",F1408=Dashboard!$A$14),OR(Dashboard!$A$18="All",G1408=Dashboard!$A$18),OR(Dashboard!$A$22="All",I1408=Dashboard!$A$22))</f>
        <v>1</v>
      </c>
    </row>
    <row r="1409" spans="1:16" ht="15.75" customHeight="1">
      <c r="A1409" s="4" t="s">
        <v>1615</v>
      </c>
      <c r="B1409" s="6">
        <v>45469</v>
      </c>
      <c r="C1409" s="4">
        <v>2024</v>
      </c>
      <c r="D1409" s="4">
        <v>6</v>
      </c>
      <c r="E1409" s="4" t="s">
        <v>34</v>
      </c>
      <c r="F1409" s="4" t="s">
        <v>14</v>
      </c>
      <c r="G1409" s="4" t="s">
        <v>12</v>
      </c>
      <c r="H1409" s="4" t="s">
        <v>58</v>
      </c>
      <c r="I1409" s="4" t="s">
        <v>7</v>
      </c>
      <c r="J1409" s="4" t="s">
        <v>125</v>
      </c>
      <c r="K1409" s="4">
        <v>4</v>
      </c>
      <c r="L1409" s="5">
        <v>156.04</v>
      </c>
      <c r="M1409" s="5">
        <v>624.16</v>
      </c>
      <c r="N1409" s="5">
        <v>381.52</v>
      </c>
      <c r="O1409" s="5">
        <v>242.64</v>
      </c>
      <c r="P1409" s="4">
        <f>--AND(OR(Dashboard!$A$10="All",C1409=Dashboard!$A$10),OR(Dashboard!$A$14="All",F1409=Dashboard!$A$14),OR(Dashboard!$A$18="All",G1409=Dashboard!$A$18),OR(Dashboard!$A$22="All",I1409=Dashboard!$A$22))</f>
        <v>1</v>
      </c>
    </row>
    <row r="1410" spans="1:16" ht="15.75" customHeight="1">
      <c r="A1410" s="4" t="s">
        <v>1616</v>
      </c>
      <c r="B1410" s="6">
        <v>45631</v>
      </c>
      <c r="C1410" s="4">
        <v>2024</v>
      </c>
      <c r="D1410" s="4">
        <v>12</v>
      </c>
      <c r="E1410" s="4" t="s">
        <v>57</v>
      </c>
      <c r="F1410" s="4" t="s">
        <v>14</v>
      </c>
      <c r="G1410" s="4" t="s">
        <v>9</v>
      </c>
      <c r="H1410" s="4" t="s">
        <v>142</v>
      </c>
      <c r="I1410" s="4" t="s">
        <v>7</v>
      </c>
      <c r="J1410" s="4" t="s">
        <v>270</v>
      </c>
      <c r="K1410" s="4">
        <v>4</v>
      </c>
      <c r="L1410" s="5">
        <v>29.05</v>
      </c>
      <c r="M1410" s="5">
        <v>116.2</v>
      </c>
      <c r="N1410" s="5">
        <v>59.14</v>
      </c>
      <c r="O1410" s="5">
        <v>57.06</v>
      </c>
      <c r="P1410" s="4">
        <f>--AND(OR(Dashboard!$A$10="All",C1410=Dashboard!$A$10),OR(Dashboard!$A$14="All",F1410=Dashboard!$A$14),OR(Dashboard!$A$18="All",G1410=Dashboard!$A$18),OR(Dashboard!$A$22="All",I1410=Dashboard!$A$22))</f>
        <v>1</v>
      </c>
    </row>
    <row r="1411" spans="1:16" ht="15.75" customHeight="1">
      <c r="A1411" s="4" t="s">
        <v>1617</v>
      </c>
      <c r="B1411" s="6">
        <v>45375</v>
      </c>
      <c r="C1411" s="4">
        <v>2024</v>
      </c>
      <c r="D1411" s="4">
        <v>3</v>
      </c>
      <c r="E1411" s="4" t="s">
        <v>100</v>
      </c>
      <c r="F1411" s="4" t="s">
        <v>5</v>
      </c>
      <c r="G1411" s="4" t="s">
        <v>12</v>
      </c>
      <c r="H1411" s="4" t="s">
        <v>92</v>
      </c>
      <c r="I1411" s="4" t="s">
        <v>10</v>
      </c>
      <c r="J1411" s="4" t="s">
        <v>333</v>
      </c>
      <c r="K1411" s="4">
        <v>5</v>
      </c>
      <c r="L1411" s="5">
        <v>235.65</v>
      </c>
      <c r="M1411" s="5">
        <v>1178.25</v>
      </c>
      <c r="N1411" s="5">
        <v>682.21</v>
      </c>
      <c r="O1411" s="5">
        <v>496.04</v>
      </c>
      <c r="P1411" s="4">
        <f>--AND(OR(Dashboard!$A$10="All",C1411=Dashboard!$A$10),OR(Dashboard!$A$14="All",F1411=Dashboard!$A$14),OR(Dashboard!$A$18="All",G1411=Dashboard!$A$18),OR(Dashboard!$A$22="All",I1411=Dashboard!$A$22))</f>
        <v>1</v>
      </c>
    </row>
    <row r="1412" spans="1:16" ht="15.75" customHeight="1">
      <c r="A1412" s="4" t="s">
        <v>1618</v>
      </c>
      <c r="B1412" s="6">
        <v>45576</v>
      </c>
      <c r="C1412" s="4">
        <v>2024</v>
      </c>
      <c r="D1412" s="4">
        <v>10</v>
      </c>
      <c r="E1412" s="4" t="s">
        <v>120</v>
      </c>
      <c r="F1412" s="4" t="s">
        <v>8</v>
      </c>
      <c r="G1412" s="4" t="s">
        <v>12</v>
      </c>
      <c r="H1412" s="4" t="s">
        <v>124</v>
      </c>
      <c r="I1412" s="4" t="s">
        <v>7</v>
      </c>
      <c r="J1412" s="4" t="s">
        <v>186</v>
      </c>
      <c r="K1412" s="4">
        <v>4</v>
      </c>
      <c r="L1412" s="5">
        <v>231.42</v>
      </c>
      <c r="M1412" s="5">
        <v>925.68</v>
      </c>
      <c r="N1412" s="5">
        <v>573.1</v>
      </c>
      <c r="O1412" s="5">
        <v>352.58</v>
      </c>
      <c r="P1412" s="4">
        <f>--AND(OR(Dashboard!$A$10="All",C1412=Dashboard!$A$10),OR(Dashboard!$A$14="All",F1412=Dashboard!$A$14),OR(Dashboard!$A$18="All",G1412=Dashboard!$A$18),OR(Dashboard!$A$22="All",I1412=Dashboard!$A$22))</f>
        <v>1</v>
      </c>
    </row>
    <row r="1413" spans="1:16" ht="15.75" customHeight="1">
      <c r="A1413" s="4" t="s">
        <v>1619</v>
      </c>
      <c r="B1413" s="6">
        <v>45420</v>
      </c>
      <c r="C1413" s="4">
        <v>2024</v>
      </c>
      <c r="D1413" s="4">
        <v>5</v>
      </c>
      <c r="E1413" s="4" t="s">
        <v>108</v>
      </c>
      <c r="F1413" s="4" t="s">
        <v>8</v>
      </c>
      <c r="G1413" s="4" t="s">
        <v>6</v>
      </c>
      <c r="H1413" s="4" t="s">
        <v>80</v>
      </c>
      <c r="I1413" s="4" t="s">
        <v>10</v>
      </c>
      <c r="J1413" s="4" t="s">
        <v>202</v>
      </c>
      <c r="K1413" s="4">
        <v>2</v>
      </c>
      <c r="L1413" s="5">
        <v>85.12</v>
      </c>
      <c r="M1413" s="5">
        <v>170.24</v>
      </c>
      <c r="N1413" s="5">
        <v>110.16</v>
      </c>
      <c r="O1413" s="5">
        <v>60.08</v>
      </c>
      <c r="P1413" s="4">
        <f>--AND(OR(Dashboard!$A$10="All",C1413=Dashboard!$A$10),OR(Dashboard!$A$14="All",F1413=Dashboard!$A$14),OR(Dashboard!$A$18="All",G1413=Dashboard!$A$18),OR(Dashboard!$A$22="All",I1413=Dashboard!$A$22))</f>
        <v>1</v>
      </c>
    </row>
    <row r="1414" spans="1:16" ht="15.75" customHeight="1">
      <c r="A1414" s="4" t="s">
        <v>1620</v>
      </c>
      <c r="B1414" s="6">
        <v>45957</v>
      </c>
      <c r="C1414" s="4">
        <v>2025</v>
      </c>
      <c r="D1414" s="4">
        <v>10</v>
      </c>
      <c r="E1414" s="4" t="s">
        <v>120</v>
      </c>
      <c r="F1414" s="4" t="s">
        <v>14</v>
      </c>
      <c r="G1414" s="4" t="s">
        <v>12</v>
      </c>
      <c r="H1414" s="4" t="s">
        <v>58</v>
      </c>
      <c r="I1414" s="4" t="s">
        <v>10</v>
      </c>
      <c r="J1414" s="4" t="s">
        <v>261</v>
      </c>
      <c r="K1414" s="4">
        <v>1</v>
      </c>
      <c r="L1414" s="5">
        <v>260.07</v>
      </c>
      <c r="M1414" s="5">
        <v>260.07</v>
      </c>
      <c r="N1414" s="5">
        <v>160.41999999999999</v>
      </c>
      <c r="O1414" s="5">
        <v>99.65</v>
      </c>
      <c r="P1414" s="4">
        <f>--AND(OR(Dashboard!$A$10="All",C1414=Dashboard!$A$10),OR(Dashboard!$A$14="All",F1414=Dashboard!$A$14),OR(Dashboard!$A$18="All",G1414=Dashboard!$A$18),OR(Dashboard!$A$22="All",I1414=Dashboard!$A$22))</f>
        <v>1</v>
      </c>
    </row>
    <row r="1415" spans="1:16" ht="15.75" customHeight="1">
      <c r="A1415" s="4" t="s">
        <v>1621</v>
      </c>
      <c r="B1415" s="6">
        <v>45453</v>
      </c>
      <c r="C1415" s="4">
        <v>2024</v>
      </c>
      <c r="D1415" s="4">
        <v>6</v>
      </c>
      <c r="E1415" s="4" t="s">
        <v>34</v>
      </c>
      <c r="F1415" s="4" t="s">
        <v>11</v>
      </c>
      <c r="G1415" s="4" t="s">
        <v>12</v>
      </c>
      <c r="H1415" s="4" t="s">
        <v>58</v>
      </c>
      <c r="I1415" s="4" t="s">
        <v>7</v>
      </c>
      <c r="J1415" s="4" t="s">
        <v>184</v>
      </c>
      <c r="K1415" s="4">
        <v>1</v>
      </c>
      <c r="L1415" s="5">
        <v>170.5</v>
      </c>
      <c r="M1415" s="5">
        <v>170.5</v>
      </c>
      <c r="N1415" s="5">
        <v>101.96</v>
      </c>
      <c r="O1415" s="5">
        <v>68.540000000000006</v>
      </c>
      <c r="P1415" s="4">
        <f>--AND(OR(Dashboard!$A$10="All",C1415=Dashboard!$A$10),OR(Dashboard!$A$14="All",F1415=Dashboard!$A$14),OR(Dashboard!$A$18="All",G1415=Dashboard!$A$18),OR(Dashboard!$A$22="All",I1415=Dashboard!$A$22))</f>
        <v>1</v>
      </c>
    </row>
    <row r="1416" spans="1:16" ht="15.75" customHeight="1">
      <c r="A1416" s="4" t="s">
        <v>1622</v>
      </c>
      <c r="B1416" s="6">
        <v>45887</v>
      </c>
      <c r="C1416" s="4">
        <v>2025</v>
      </c>
      <c r="D1416" s="4">
        <v>8</v>
      </c>
      <c r="E1416" s="4" t="s">
        <v>67</v>
      </c>
      <c r="F1416" s="4" t="s">
        <v>11</v>
      </c>
      <c r="G1416" s="4" t="s">
        <v>12</v>
      </c>
      <c r="H1416" s="4" t="s">
        <v>127</v>
      </c>
      <c r="I1416" s="4" t="s">
        <v>7</v>
      </c>
      <c r="J1416" s="4" t="s">
        <v>230</v>
      </c>
      <c r="K1416" s="4">
        <v>2</v>
      </c>
      <c r="L1416" s="5">
        <v>321.02999999999997</v>
      </c>
      <c r="M1416" s="5">
        <v>642.05999999999995</v>
      </c>
      <c r="N1416" s="5">
        <v>403.02</v>
      </c>
      <c r="O1416" s="5">
        <v>239.04</v>
      </c>
      <c r="P1416" s="4">
        <f>--AND(OR(Dashboard!$A$10="All",C1416=Dashboard!$A$10),OR(Dashboard!$A$14="All",F1416=Dashboard!$A$14),OR(Dashboard!$A$18="All",G1416=Dashboard!$A$18),OR(Dashboard!$A$22="All",I1416=Dashboard!$A$22))</f>
        <v>1</v>
      </c>
    </row>
    <row r="1417" spans="1:16" ht="15.75" customHeight="1">
      <c r="A1417" s="4" t="s">
        <v>1623</v>
      </c>
      <c r="B1417" s="6">
        <v>45424</v>
      </c>
      <c r="C1417" s="4">
        <v>2024</v>
      </c>
      <c r="D1417" s="4">
        <v>5</v>
      </c>
      <c r="E1417" s="4" t="s">
        <v>108</v>
      </c>
      <c r="F1417" s="4" t="s">
        <v>5</v>
      </c>
      <c r="G1417" s="4" t="s">
        <v>12</v>
      </c>
      <c r="H1417" s="4" t="s">
        <v>127</v>
      </c>
      <c r="I1417" s="4" t="s">
        <v>7</v>
      </c>
      <c r="J1417" s="4" t="s">
        <v>125</v>
      </c>
      <c r="K1417" s="4">
        <v>5</v>
      </c>
      <c r="L1417" s="5">
        <v>117.27</v>
      </c>
      <c r="M1417" s="5">
        <v>586.35</v>
      </c>
      <c r="N1417" s="5">
        <v>340.28</v>
      </c>
      <c r="O1417" s="5">
        <v>246.07</v>
      </c>
      <c r="P1417" s="4">
        <f>--AND(OR(Dashboard!$A$10="All",C1417=Dashboard!$A$10),OR(Dashboard!$A$14="All",F1417=Dashboard!$A$14),OR(Dashboard!$A$18="All",G1417=Dashboard!$A$18),OR(Dashboard!$A$22="All",I1417=Dashboard!$A$22))</f>
        <v>1</v>
      </c>
    </row>
    <row r="1418" spans="1:16" ht="15.75" customHeight="1">
      <c r="A1418" s="4" t="s">
        <v>1624</v>
      </c>
      <c r="B1418" s="6">
        <v>45798</v>
      </c>
      <c r="C1418" s="4">
        <v>2025</v>
      </c>
      <c r="D1418" s="4">
        <v>5</v>
      </c>
      <c r="E1418" s="4" t="s">
        <v>108</v>
      </c>
      <c r="F1418" s="4" t="s">
        <v>8</v>
      </c>
      <c r="G1418" s="4" t="s">
        <v>6</v>
      </c>
      <c r="H1418" s="4" t="s">
        <v>114</v>
      </c>
      <c r="I1418" s="4" t="s">
        <v>10</v>
      </c>
      <c r="J1418" s="4" t="s">
        <v>118</v>
      </c>
      <c r="K1418" s="4">
        <v>1</v>
      </c>
      <c r="L1418" s="5">
        <v>172.56</v>
      </c>
      <c r="M1418" s="5">
        <v>172.56</v>
      </c>
      <c r="N1418" s="5">
        <v>113.8</v>
      </c>
      <c r="O1418" s="5">
        <v>58.76</v>
      </c>
      <c r="P1418" s="4">
        <f>--AND(OR(Dashboard!$A$10="All",C1418=Dashboard!$A$10),OR(Dashboard!$A$14="All",F1418=Dashboard!$A$14),OR(Dashboard!$A$18="All",G1418=Dashboard!$A$18),OR(Dashboard!$A$22="All",I1418=Dashboard!$A$22))</f>
        <v>1</v>
      </c>
    </row>
    <row r="1419" spans="1:16" ht="15.75" customHeight="1">
      <c r="A1419" s="4" t="s">
        <v>1625</v>
      </c>
      <c r="B1419" s="6">
        <v>45731</v>
      </c>
      <c r="C1419" s="4">
        <v>2025</v>
      </c>
      <c r="D1419" s="4">
        <v>3</v>
      </c>
      <c r="E1419" s="4" t="s">
        <v>100</v>
      </c>
      <c r="F1419" s="4" t="s">
        <v>5</v>
      </c>
      <c r="G1419" s="4" t="s">
        <v>12</v>
      </c>
      <c r="H1419" s="4" t="s">
        <v>86</v>
      </c>
      <c r="I1419" s="4" t="s">
        <v>7</v>
      </c>
      <c r="J1419" s="4" t="s">
        <v>205</v>
      </c>
      <c r="K1419" s="4">
        <v>1</v>
      </c>
      <c r="L1419" s="5">
        <v>300.64</v>
      </c>
      <c r="M1419" s="5">
        <v>300.64</v>
      </c>
      <c r="N1419" s="5">
        <v>183.28</v>
      </c>
      <c r="O1419" s="5">
        <v>117.36</v>
      </c>
      <c r="P1419" s="4">
        <f>--AND(OR(Dashboard!$A$10="All",C1419=Dashboard!$A$10),OR(Dashboard!$A$14="All",F1419=Dashboard!$A$14),OR(Dashboard!$A$18="All",G1419=Dashboard!$A$18),OR(Dashboard!$A$22="All",I1419=Dashboard!$A$22))</f>
        <v>1</v>
      </c>
    </row>
    <row r="1420" spans="1:16" ht="15.75" customHeight="1">
      <c r="A1420" s="4" t="s">
        <v>1626</v>
      </c>
      <c r="B1420" s="6">
        <v>45751</v>
      </c>
      <c r="C1420" s="4">
        <v>2025</v>
      </c>
      <c r="D1420" s="4">
        <v>4</v>
      </c>
      <c r="E1420" s="4" t="s">
        <v>106</v>
      </c>
      <c r="F1420" s="4" t="s">
        <v>5</v>
      </c>
      <c r="G1420" s="4" t="s">
        <v>6</v>
      </c>
      <c r="H1420" s="4" t="s">
        <v>54</v>
      </c>
      <c r="I1420" s="4" t="s">
        <v>7</v>
      </c>
      <c r="J1420" s="4" t="s">
        <v>491</v>
      </c>
      <c r="K1420" s="4">
        <v>2</v>
      </c>
      <c r="L1420" s="5">
        <v>214.41</v>
      </c>
      <c r="M1420" s="5">
        <v>428.82</v>
      </c>
      <c r="N1420" s="5">
        <v>277.88</v>
      </c>
      <c r="O1420" s="5">
        <v>150.94</v>
      </c>
      <c r="P1420" s="4">
        <f>--AND(OR(Dashboard!$A$10="All",C1420=Dashboard!$A$10),OR(Dashboard!$A$14="All",F1420=Dashboard!$A$14),OR(Dashboard!$A$18="All",G1420=Dashboard!$A$18),OR(Dashboard!$A$22="All",I1420=Dashboard!$A$22))</f>
        <v>1</v>
      </c>
    </row>
    <row r="1421" spans="1:16" ht="15.75" customHeight="1">
      <c r="A1421" s="4" t="s">
        <v>1627</v>
      </c>
      <c r="B1421" s="6">
        <v>45400</v>
      </c>
      <c r="C1421" s="4">
        <v>2024</v>
      </c>
      <c r="D1421" s="4">
        <v>4</v>
      </c>
      <c r="E1421" s="4" t="s">
        <v>106</v>
      </c>
      <c r="F1421" s="4" t="s">
        <v>14</v>
      </c>
      <c r="G1421" s="4" t="s">
        <v>6</v>
      </c>
      <c r="H1421" s="4" t="s">
        <v>136</v>
      </c>
      <c r="I1421" s="4" t="s">
        <v>7</v>
      </c>
      <c r="J1421" s="4" t="s">
        <v>179</v>
      </c>
      <c r="K1421" s="4">
        <v>14</v>
      </c>
      <c r="L1421" s="5">
        <v>196.16</v>
      </c>
      <c r="M1421" s="5">
        <v>2746.24</v>
      </c>
      <c r="N1421" s="5">
        <v>1854.17</v>
      </c>
      <c r="O1421" s="5">
        <v>892.07</v>
      </c>
      <c r="P1421" s="4">
        <f>--AND(OR(Dashboard!$A$10="All",C1421=Dashboard!$A$10),OR(Dashboard!$A$14="All",F1421=Dashboard!$A$14),OR(Dashboard!$A$18="All",G1421=Dashboard!$A$18),OR(Dashboard!$A$22="All",I1421=Dashboard!$A$22))</f>
        <v>1</v>
      </c>
    </row>
    <row r="1422" spans="1:16" ht="15.75" customHeight="1">
      <c r="A1422" s="4" t="s">
        <v>1628</v>
      </c>
      <c r="B1422" s="6">
        <v>45683</v>
      </c>
      <c r="C1422" s="4">
        <v>2025</v>
      </c>
      <c r="D1422" s="4">
        <v>1</v>
      </c>
      <c r="E1422" s="4" t="s">
        <v>30</v>
      </c>
      <c r="F1422" s="4" t="s">
        <v>8</v>
      </c>
      <c r="G1422" s="4" t="s">
        <v>6</v>
      </c>
      <c r="H1422" s="4" t="s">
        <v>80</v>
      </c>
      <c r="I1422" s="4" t="s">
        <v>13</v>
      </c>
      <c r="J1422" s="4" t="s">
        <v>344</v>
      </c>
      <c r="K1422" s="4">
        <v>1</v>
      </c>
      <c r="L1422" s="5">
        <v>98.04</v>
      </c>
      <c r="M1422" s="5">
        <v>98.04</v>
      </c>
      <c r="N1422" s="5">
        <v>62.96</v>
      </c>
      <c r="O1422" s="5">
        <v>35.08</v>
      </c>
      <c r="P1422" s="4">
        <f>--AND(OR(Dashboard!$A$10="All",C1422=Dashboard!$A$10),OR(Dashboard!$A$14="All",F1422=Dashboard!$A$14),OR(Dashboard!$A$18="All",G1422=Dashboard!$A$18),OR(Dashboard!$A$22="All",I1422=Dashboard!$A$22))</f>
        <v>1</v>
      </c>
    </row>
    <row r="1423" spans="1:16" ht="15.75" customHeight="1">
      <c r="A1423" s="4" t="s">
        <v>1629</v>
      </c>
      <c r="B1423" s="6">
        <v>45673</v>
      </c>
      <c r="C1423" s="4">
        <v>2025</v>
      </c>
      <c r="D1423" s="4">
        <v>1</v>
      </c>
      <c r="E1423" s="4" t="s">
        <v>30</v>
      </c>
      <c r="F1423" s="4" t="s">
        <v>5</v>
      </c>
      <c r="G1423" s="4" t="s">
        <v>6</v>
      </c>
      <c r="H1423" s="4" t="s">
        <v>98</v>
      </c>
      <c r="I1423" s="4" t="s">
        <v>10</v>
      </c>
      <c r="J1423" s="4" t="s">
        <v>99</v>
      </c>
      <c r="K1423" s="4">
        <v>7</v>
      </c>
      <c r="L1423" s="5">
        <v>106.18</v>
      </c>
      <c r="M1423" s="5">
        <v>743.26</v>
      </c>
      <c r="N1423" s="5">
        <v>472.21</v>
      </c>
      <c r="O1423" s="5">
        <v>271.05</v>
      </c>
      <c r="P1423" s="4">
        <f>--AND(OR(Dashboard!$A$10="All",C1423=Dashboard!$A$10),OR(Dashboard!$A$14="All",F1423=Dashboard!$A$14),OR(Dashboard!$A$18="All",G1423=Dashboard!$A$18),OR(Dashboard!$A$22="All",I1423=Dashboard!$A$22))</f>
        <v>1</v>
      </c>
    </row>
    <row r="1424" spans="1:16" ht="15.75" customHeight="1">
      <c r="A1424" s="4" t="s">
        <v>1630</v>
      </c>
      <c r="B1424" s="6">
        <v>45704</v>
      </c>
      <c r="C1424" s="4">
        <v>2025</v>
      </c>
      <c r="D1424" s="4">
        <v>2</v>
      </c>
      <c r="E1424" s="4" t="s">
        <v>70</v>
      </c>
      <c r="F1424" s="4" t="s">
        <v>5</v>
      </c>
      <c r="G1424" s="4" t="s">
        <v>6</v>
      </c>
      <c r="H1424" s="4" t="s">
        <v>114</v>
      </c>
      <c r="I1424" s="4" t="s">
        <v>7</v>
      </c>
      <c r="J1424" s="4" t="s">
        <v>144</v>
      </c>
      <c r="K1424" s="4">
        <v>4</v>
      </c>
      <c r="L1424" s="5">
        <v>171.29</v>
      </c>
      <c r="M1424" s="5">
        <v>685.16</v>
      </c>
      <c r="N1424" s="5">
        <v>431.59</v>
      </c>
      <c r="O1424" s="5">
        <v>253.57</v>
      </c>
      <c r="P1424" s="4">
        <f>--AND(OR(Dashboard!$A$10="All",C1424=Dashboard!$A$10),OR(Dashboard!$A$14="All",F1424=Dashboard!$A$14),OR(Dashboard!$A$18="All",G1424=Dashboard!$A$18),OR(Dashboard!$A$22="All",I1424=Dashboard!$A$22))</f>
        <v>1</v>
      </c>
    </row>
    <row r="1425" spans="1:16" ht="15.75" customHeight="1">
      <c r="A1425" s="4" t="s">
        <v>1631</v>
      </c>
      <c r="B1425" s="6">
        <v>46011</v>
      </c>
      <c r="C1425" s="4">
        <v>2025</v>
      </c>
      <c r="D1425" s="4">
        <v>12</v>
      </c>
      <c r="E1425" s="4" t="s">
        <v>57</v>
      </c>
      <c r="F1425" s="4" t="s">
        <v>11</v>
      </c>
      <c r="G1425" s="4" t="s">
        <v>6</v>
      </c>
      <c r="H1425" s="4" t="s">
        <v>98</v>
      </c>
      <c r="I1425" s="4" t="s">
        <v>7</v>
      </c>
      <c r="J1425" s="4" t="s">
        <v>216</v>
      </c>
      <c r="K1425" s="4">
        <v>2</v>
      </c>
      <c r="L1425" s="5">
        <v>223.04</v>
      </c>
      <c r="M1425" s="5">
        <v>446.08</v>
      </c>
      <c r="N1425" s="5">
        <v>304.06</v>
      </c>
      <c r="O1425" s="5">
        <v>142.02000000000001</v>
      </c>
      <c r="P1425" s="4">
        <f>--AND(OR(Dashboard!$A$10="All",C1425=Dashboard!$A$10),OR(Dashboard!$A$14="All",F1425=Dashboard!$A$14),OR(Dashboard!$A$18="All",G1425=Dashboard!$A$18),OR(Dashboard!$A$22="All",I1425=Dashboard!$A$22))</f>
        <v>1</v>
      </c>
    </row>
    <row r="1426" spans="1:16" ht="15.75" customHeight="1">
      <c r="A1426" s="4" t="s">
        <v>1632</v>
      </c>
      <c r="B1426" s="6">
        <v>45484</v>
      </c>
      <c r="C1426" s="4">
        <v>2024</v>
      </c>
      <c r="D1426" s="4">
        <v>7</v>
      </c>
      <c r="E1426" s="4" t="s">
        <v>63</v>
      </c>
      <c r="F1426" s="4" t="s">
        <v>8</v>
      </c>
      <c r="G1426" s="4" t="s">
        <v>9</v>
      </c>
      <c r="H1426" s="4" t="s">
        <v>110</v>
      </c>
      <c r="I1426" s="4" t="s">
        <v>7</v>
      </c>
      <c r="J1426" s="4" t="s">
        <v>164</v>
      </c>
      <c r="K1426" s="4">
        <v>3</v>
      </c>
      <c r="L1426" s="5">
        <v>39.69</v>
      </c>
      <c r="M1426" s="5">
        <v>119.07</v>
      </c>
      <c r="N1426" s="5">
        <v>56.74</v>
      </c>
      <c r="O1426" s="5">
        <v>62.33</v>
      </c>
      <c r="P1426" s="4">
        <f>--AND(OR(Dashboard!$A$10="All",C1426=Dashboard!$A$10),OR(Dashboard!$A$14="All",F1426=Dashboard!$A$14),OR(Dashboard!$A$18="All",G1426=Dashboard!$A$18),OR(Dashboard!$A$22="All",I1426=Dashboard!$A$22))</f>
        <v>1</v>
      </c>
    </row>
    <row r="1427" spans="1:16" ht="15.75" customHeight="1">
      <c r="A1427" s="4" t="s">
        <v>1633</v>
      </c>
      <c r="B1427" s="6">
        <v>45810</v>
      </c>
      <c r="C1427" s="4">
        <v>2025</v>
      </c>
      <c r="D1427" s="4">
        <v>6</v>
      </c>
      <c r="E1427" s="4" t="s">
        <v>34</v>
      </c>
      <c r="F1427" s="4" t="s">
        <v>5</v>
      </c>
      <c r="G1427" s="4" t="s">
        <v>6</v>
      </c>
      <c r="H1427" s="4" t="s">
        <v>80</v>
      </c>
      <c r="I1427" s="4" t="s">
        <v>7</v>
      </c>
      <c r="J1427" s="4" t="s">
        <v>202</v>
      </c>
      <c r="K1427" s="4">
        <v>3</v>
      </c>
      <c r="L1427" s="5">
        <v>224.49</v>
      </c>
      <c r="M1427" s="5">
        <v>673.47</v>
      </c>
      <c r="N1427" s="5">
        <v>464.18</v>
      </c>
      <c r="O1427" s="5">
        <v>209.29</v>
      </c>
      <c r="P1427" s="4">
        <f>--AND(OR(Dashboard!$A$10="All",C1427=Dashboard!$A$10),OR(Dashboard!$A$14="All",F1427=Dashboard!$A$14),OR(Dashboard!$A$18="All",G1427=Dashboard!$A$18),OR(Dashboard!$A$22="All",I1427=Dashboard!$A$22))</f>
        <v>1</v>
      </c>
    </row>
    <row r="1428" spans="1:16" ht="15.75" customHeight="1">
      <c r="A1428" s="4" t="s">
        <v>1634</v>
      </c>
      <c r="B1428" s="6">
        <v>46017</v>
      </c>
      <c r="C1428" s="4">
        <v>2025</v>
      </c>
      <c r="D1428" s="4">
        <v>12</v>
      </c>
      <c r="E1428" s="4" t="s">
        <v>57</v>
      </c>
      <c r="F1428" s="4" t="s">
        <v>11</v>
      </c>
      <c r="G1428" s="4" t="s">
        <v>9</v>
      </c>
      <c r="H1428" s="4" t="s">
        <v>35</v>
      </c>
      <c r="I1428" s="4" t="s">
        <v>13</v>
      </c>
      <c r="J1428" s="4" t="s">
        <v>209</v>
      </c>
      <c r="K1428" s="4">
        <v>1</v>
      </c>
      <c r="L1428" s="5">
        <v>47.67</v>
      </c>
      <c r="M1428" s="5">
        <v>47.67</v>
      </c>
      <c r="N1428" s="5">
        <v>23.55</v>
      </c>
      <c r="O1428" s="5">
        <v>24.12</v>
      </c>
      <c r="P1428" s="4">
        <f>--AND(OR(Dashboard!$A$10="All",C1428=Dashboard!$A$10),OR(Dashboard!$A$14="All",F1428=Dashboard!$A$14),OR(Dashboard!$A$18="All",G1428=Dashboard!$A$18),OR(Dashboard!$A$22="All",I1428=Dashboard!$A$22))</f>
        <v>1</v>
      </c>
    </row>
    <row r="1429" spans="1:16" ht="15.75" customHeight="1">
      <c r="A1429" s="4" t="s">
        <v>1635</v>
      </c>
      <c r="B1429" s="6">
        <v>45709</v>
      </c>
      <c r="C1429" s="4">
        <v>2025</v>
      </c>
      <c r="D1429" s="4">
        <v>2</v>
      </c>
      <c r="E1429" s="4" t="s">
        <v>70</v>
      </c>
      <c r="F1429" s="4" t="s">
        <v>5</v>
      </c>
      <c r="G1429" s="4" t="s">
        <v>9</v>
      </c>
      <c r="H1429" s="4" t="s">
        <v>64</v>
      </c>
      <c r="I1429" s="4" t="s">
        <v>10</v>
      </c>
      <c r="J1429" s="4" t="s">
        <v>261</v>
      </c>
      <c r="K1429" s="4">
        <v>3</v>
      </c>
      <c r="L1429" s="5">
        <v>29.03</v>
      </c>
      <c r="M1429" s="5">
        <v>87.09</v>
      </c>
      <c r="N1429" s="5">
        <v>42.7</v>
      </c>
      <c r="O1429" s="5">
        <v>44.39</v>
      </c>
      <c r="P1429" s="4">
        <f>--AND(OR(Dashboard!$A$10="All",C1429=Dashboard!$A$10),OR(Dashboard!$A$14="All",F1429=Dashboard!$A$14),OR(Dashboard!$A$18="All",G1429=Dashboard!$A$18),OR(Dashboard!$A$22="All",I1429=Dashboard!$A$22))</f>
        <v>1</v>
      </c>
    </row>
    <row r="1430" spans="1:16" ht="15.75" customHeight="1">
      <c r="A1430" s="4" t="s">
        <v>1636</v>
      </c>
      <c r="B1430" s="6">
        <v>45679</v>
      </c>
      <c r="C1430" s="4">
        <v>2025</v>
      </c>
      <c r="D1430" s="4">
        <v>1</v>
      </c>
      <c r="E1430" s="4" t="s">
        <v>30</v>
      </c>
      <c r="F1430" s="4" t="s">
        <v>14</v>
      </c>
      <c r="G1430" s="4" t="s">
        <v>6</v>
      </c>
      <c r="H1430" s="4" t="s">
        <v>98</v>
      </c>
      <c r="I1430" s="4" t="s">
        <v>7</v>
      </c>
      <c r="J1430" s="4" t="s">
        <v>255</v>
      </c>
      <c r="K1430" s="4">
        <v>2</v>
      </c>
      <c r="L1430" s="5">
        <v>217.55</v>
      </c>
      <c r="M1430" s="5">
        <v>435.1</v>
      </c>
      <c r="N1430" s="5">
        <v>282.35000000000002</v>
      </c>
      <c r="O1430" s="5">
        <v>152.75</v>
      </c>
      <c r="P1430" s="4">
        <f>--AND(OR(Dashboard!$A$10="All",C1430=Dashboard!$A$10),OR(Dashboard!$A$14="All",F1430=Dashboard!$A$14),OR(Dashboard!$A$18="All",G1430=Dashboard!$A$18),OR(Dashboard!$A$22="All",I1430=Dashboard!$A$22))</f>
        <v>1</v>
      </c>
    </row>
    <row r="1431" spans="1:16" ht="15.75" customHeight="1">
      <c r="A1431" s="4" t="s">
        <v>1637</v>
      </c>
      <c r="B1431" s="6">
        <v>45587</v>
      </c>
      <c r="C1431" s="4">
        <v>2024</v>
      </c>
      <c r="D1431" s="4">
        <v>10</v>
      </c>
      <c r="E1431" s="4" t="s">
        <v>120</v>
      </c>
      <c r="F1431" s="4" t="s">
        <v>5</v>
      </c>
      <c r="G1431" s="4" t="s">
        <v>6</v>
      </c>
      <c r="H1431" s="4" t="s">
        <v>54</v>
      </c>
      <c r="I1431" s="4" t="s">
        <v>10</v>
      </c>
      <c r="J1431" s="4" t="s">
        <v>37</v>
      </c>
      <c r="K1431" s="4">
        <v>12</v>
      </c>
      <c r="L1431" s="5">
        <v>209.86</v>
      </c>
      <c r="M1431" s="5">
        <v>2518.3200000000002</v>
      </c>
      <c r="N1431" s="5">
        <v>1613.56</v>
      </c>
      <c r="O1431" s="5">
        <v>904.76</v>
      </c>
      <c r="P1431" s="4">
        <f>--AND(OR(Dashboard!$A$10="All",C1431=Dashboard!$A$10),OR(Dashboard!$A$14="All",F1431=Dashboard!$A$14),OR(Dashboard!$A$18="All",G1431=Dashboard!$A$18),OR(Dashboard!$A$22="All",I1431=Dashboard!$A$22))</f>
        <v>1</v>
      </c>
    </row>
    <row r="1432" spans="1:16" ht="15.75" customHeight="1">
      <c r="A1432" s="4" t="s">
        <v>1638</v>
      </c>
      <c r="B1432" s="6">
        <v>45504</v>
      </c>
      <c r="C1432" s="4">
        <v>2024</v>
      </c>
      <c r="D1432" s="4">
        <v>7</v>
      </c>
      <c r="E1432" s="4" t="s">
        <v>63</v>
      </c>
      <c r="F1432" s="4" t="s">
        <v>8</v>
      </c>
      <c r="G1432" s="4" t="s">
        <v>12</v>
      </c>
      <c r="H1432" s="4" t="s">
        <v>127</v>
      </c>
      <c r="I1432" s="4" t="s">
        <v>13</v>
      </c>
      <c r="J1432" s="4" t="s">
        <v>199</v>
      </c>
      <c r="K1432" s="4">
        <v>2</v>
      </c>
      <c r="L1432" s="5">
        <v>317.23</v>
      </c>
      <c r="M1432" s="5">
        <v>634.46</v>
      </c>
      <c r="N1432" s="5">
        <v>388.86</v>
      </c>
      <c r="O1432" s="5">
        <v>245.6</v>
      </c>
      <c r="P1432" s="4">
        <f>--AND(OR(Dashboard!$A$10="All",C1432=Dashboard!$A$10),OR(Dashboard!$A$14="All",F1432=Dashboard!$A$14),OR(Dashboard!$A$18="All",G1432=Dashboard!$A$18),OR(Dashboard!$A$22="All",I1432=Dashboard!$A$22))</f>
        <v>1</v>
      </c>
    </row>
    <row r="1433" spans="1:16" ht="15.75" customHeight="1">
      <c r="A1433" s="4" t="s">
        <v>1639</v>
      </c>
      <c r="B1433" s="6">
        <v>45733</v>
      </c>
      <c r="C1433" s="4">
        <v>2025</v>
      </c>
      <c r="D1433" s="4">
        <v>3</v>
      </c>
      <c r="E1433" s="4" t="s">
        <v>100</v>
      </c>
      <c r="F1433" s="4" t="s">
        <v>8</v>
      </c>
      <c r="G1433" s="4" t="s">
        <v>6</v>
      </c>
      <c r="H1433" s="4" t="s">
        <v>54</v>
      </c>
      <c r="I1433" s="4" t="s">
        <v>10</v>
      </c>
      <c r="J1433" s="4" t="s">
        <v>407</v>
      </c>
      <c r="K1433" s="4">
        <v>4</v>
      </c>
      <c r="L1433" s="5">
        <v>183.45</v>
      </c>
      <c r="M1433" s="5">
        <v>733.8</v>
      </c>
      <c r="N1433" s="5">
        <v>484.08</v>
      </c>
      <c r="O1433" s="5">
        <v>249.72</v>
      </c>
      <c r="P1433" s="4">
        <f>--AND(OR(Dashboard!$A$10="All",C1433=Dashboard!$A$10),OR(Dashboard!$A$14="All",F1433=Dashboard!$A$14),OR(Dashboard!$A$18="All",G1433=Dashboard!$A$18),OR(Dashboard!$A$22="All",I1433=Dashboard!$A$22))</f>
        <v>1</v>
      </c>
    </row>
    <row r="1434" spans="1:16" ht="15.75" customHeight="1">
      <c r="A1434" s="4" t="s">
        <v>1640</v>
      </c>
      <c r="B1434" s="6">
        <v>45930</v>
      </c>
      <c r="C1434" s="4">
        <v>2025</v>
      </c>
      <c r="D1434" s="4">
        <v>9</v>
      </c>
      <c r="E1434" s="4" t="s">
        <v>79</v>
      </c>
      <c r="F1434" s="4" t="s">
        <v>5</v>
      </c>
      <c r="G1434" s="4" t="s">
        <v>6</v>
      </c>
      <c r="H1434" s="4" t="s">
        <v>98</v>
      </c>
      <c r="I1434" s="4" t="s">
        <v>13</v>
      </c>
      <c r="J1434" s="4" t="s">
        <v>209</v>
      </c>
      <c r="K1434" s="4">
        <v>2</v>
      </c>
      <c r="L1434" s="5">
        <v>179.36</v>
      </c>
      <c r="M1434" s="5">
        <v>358.72</v>
      </c>
      <c r="N1434" s="5">
        <v>235.03</v>
      </c>
      <c r="O1434" s="5">
        <v>123.69</v>
      </c>
      <c r="P1434" s="4">
        <f>--AND(OR(Dashboard!$A$10="All",C1434=Dashboard!$A$10),OR(Dashboard!$A$14="All",F1434=Dashboard!$A$14),OR(Dashboard!$A$18="All",G1434=Dashboard!$A$18),OR(Dashboard!$A$22="All",I1434=Dashboard!$A$22))</f>
        <v>1</v>
      </c>
    </row>
    <row r="1435" spans="1:16" ht="15.75" customHeight="1">
      <c r="A1435" s="4" t="s">
        <v>1641</v>
      </c>
      <c r="B1435" s="6">
        <v>45920</v>
      </c>
      <c r="C1435" s="4">
        <v>2025</v>
      </c>
      <c r="D1435" s="4">
        <v>9</v>
      </c>
      <c r="E1435" s="4" t="s">
        <v>79</v>
      </c>
      <c r="F1435" s="4" t="s">
        <v>5</v>
      </c>
      <c r="G1435" s="4" t="s">
        <v>9</v>
      </c>
      <c r="H1435" s="4" t="s">
        <v>64</v>
      </c>
      <c r="I1435" s="4" t="s">
        <v>7</v>
      </c>
      <c r="J1435" s="4" t="s">
        <v>111</v>
      </c>
      <c r="K1435" s="4">
        <v>2</v>
      </c>
      <c r="L1435" s="5">
        <v>53.6</v>
      </c>
      <c r="M1435" s="5">
        <v>107.2</v>
      </c>
      <c r="N1435" s="5">
        <v>54.83</v>
      </c>
      <c r="O1435" s="5">
        <v>52.37</v>
      </c>
      <c r="P1435" s="4">
        <f>--AND(OR(Dashboard!$A$10="All",C1435=Dashboard!$A$10),OR(Dashboard!$A$14="All",F1435=Dashboard!$A$14),OR(Dashboard!$A$18="All",G1435=Dashboard!$A$18),OR(Dashboard!$A$22="All",I1435=Dashboard!$A$22))</f>
        <v>1</v>
      </c>
    </row>
    <row r="1436" spans="1:16" ht="15.75" customHeight="1">
      <c r="A1436" s="4" t="s">
        <v>1642</v>
      </c>
      <c r="B1436" s="6">
        <v>45830</v>
      </c>
      <c r="C1436" s="4">
        <v>2025</v>
      </c>
      <c r="D1436" s="4">
        <v>6</v>
      </c>
      <c r="E1436" s="4" t="s">
        <v>34</v>
      </c>
      <c r="F1436" s="4" t="s">
        <v>8</v>
      </c>
      <c r="G1436" s="4" t="s">
        <v>6</v>
      </c>
      <c r="H1436" s="4" t="s">
        <v>54</v>
      </c>
      <c r="I1436" s="4" t="s">
        <v>7</v>
      </c>
      <c r="J1436" s="4" t="s">
        <v>181</v>
      </c>
      <c r="K1436" s="4">
        <v>5</v>
      </c>
      <c r="L1436" s="5">
        <v>105.1</v>
      </c>
      <c r="M1436" s="5">
        <v>525.5</v>
      </c>
      <c r="N1436" s="5">
        <v>331.54</v>
      </c>
      <c r="O1436" s="5">
        <v>193.96</v>
      </c>
      <c r="P1436" s="4">
        <f>--AND(OR(Dashboard!$A$10="All",C1436=Dashboard!$A$10),OR(Dashboard!$A$14="All",F1436=Dashboard!$A$14),OR(Dashboard!$A$18="All",G1436=Dashboard!$A$18),OR(Dashboard!$A$22="All",I1436=Dashboard!$A$22))</f>
        <v>1</v>
      </c>
    </row>
    <row r="1437" spans="1:16" ht="15.75" customHeight="1">
      <c r="A1437" s="4" t="s">
        <v>1643</v>
      </c>
      <c r="B1437" s="6">
        <v>45758</v>
      </c>
      <c r="C1437" s="4">
        <v>2025</v>
      </c>
      <c r="D1437" s="4">
        <v>4</v>
      </c>
      <c r="E1437" s="4" t="s">
        <v>106</v>
      </c>
      <c r="F1437" s="4" t="s">
        <v>8</v>
      </c>
      <c r="G1437" s="4" t="s">
        <v>12</v>
      </c>
      <c r="H1437" s="4" t="s">
        <v>127</v>
      </c>
      <c r="I1437" s="4" t="s">
        <v>10</v>
      </c>
      <c r="J1437" s="4" t="s">
        <v>270</v>
      </c>
      <c r="K1437" s="4">
        <v>2</v>
      </c>
      <c r="L1437" s="5">
        <v>312.12</v>
      </c>
      <c r="M1437" s="5">
        <v>624.24</v>
      </c>
      <c r="N1437" s="5">
        <v>388.4</v>
      </c>
      <c r="O1437" s="5">
        <v>235.84</v>
      </c>
      <c r="P1437" s="4">
        <f>--AND(OR(Dashboard!$A$10="All",C1437=Dashboard!$A$10),OR(Dashboard!$A$14="All",F1437=Dashboard!$A$14),OR(Dashboard!$A$18="All",G1437=Dashboard!$A$18),OR(Dashboard!$A$22="All",I1437=Dashboard!$A$22))</f>
        <v>1</v>
      </c>
    </row>
    <row r="1438" spans="1:16" ht="15.75" customHeight="1">
      <c r="A1438" s="4" t="s">
        <v>1644</v>
      </c>
      <c r="B1438" s="6">
        <v>45626</v>
      </c>
      <c r="C1438" s="4">
        <v>2024</v>
      </c>
      <c r="D1438" s="4">
        <v>11</v>
      </c>
      <c r="E1438" s="4" t="s">
        <v>89</v>
      </c>
      <c r="F1438" s="4" t="s">
        <v>5</v>
      </c>
      <c r="G1438" s="4" t="s">
        <v>9</v>
      </c>
      <c r="H1438" s="4" t="s">
        <v>71</v>
      </c>
      <c r="I1438" s="4" t="s">
        <v>7</v>
      </c>
      <c r="J1438" s="4" t="s">
        <v>257</v>
      </c>
      <c r="K1438" s="4">
        <v>2</v>
      </c>
      <c r="L1438" s="5">
        <v>26.82</v>
      </c>
      <c r="M1438" s="5">
        <v>53.64</v>
      </c>
      <c r="N1438" s="5">
        <v>26.06</v>
      </c>
      <c r="O1438" s="5">
        <v>27.58</v>
      </c>
      <c r="P1438" s="4">
        <f>--AND(OR(Dashboard!$A$10="All",C1438=Dashboard!$A$10),OR(Dashboard!$A$14="All",F1438=Dashboard!$A$14),OR(Dashboard!$A$18="All",G1438=Dashboard!$A$18),OR(Dashboard!$A$22="All",I1438=Dashboard!$A$22))</f>
        <v>1</v>
      </c>
    </row>
    <row r="1439" spans="1:16" ht="15.75" customHeight="1">
      <c r="A1439" s="4" t="s">
        <v>1645</v>
      </c>
      <c r="B1439" s="6">
        <v>45376</v>
      </c>
      <c r="C1439" s="4">
        <v>2024</v>
      </c>
      <c r="D1439" s="4">
        <v>3</v>
      </c>
      <c r="E1439" s="4" t="s">
        <v>100</v>
      </c>
      <c r="F1439" s="4" t="s">
        <v>5</v>
      </c>
      <c r="G1439" s="4" t="s">
        <v>6</v>
      </c>
      <c r="H1439" s="4" t="s">
        <v>54</v>
      </c>
      <c r="I1439" s="4" t="s">
        <v>13</v>
      </c>
      <c r="J1439" s="4" t="s">
        <v>184</v>
      </c>
      <c r="K1439" s="4">
        <v>3</v>
      </c>
      <c r="L1439" s="5">
        <v>85.65</v>
      </c>
      <c r="M1439" s="5">
        <v>256.95</v>
      </c>
      <c r="N1439" s="5">
        <v>176.86</v>
      </c>
      <c r="O1439" s="5">
        <v>80.09</v>
      </c>
      <c r="P1439" s="4">
        <f>--AND(OR(Dashboard!$A$10="All",C1439=Dashboard!$A$10),OR(Dashboard!$A$14="All",F1439=Dashboard!$A$14),OR(Dashboard!$A$18="All",G1439=Dashboard!$A$18),OR(Dashboard!$A$22="All",I1439=Dashboard!$A$22))</f>
        <v>1</v>
      </c>
    </row>
    <row r="1440" spans="1:16" ht="15.75" customHeight="1">
      <c r="A1440" s="4" t="s">
        <v>1646</v>
      </c>
      <c r="B1440" s="6">
        <v>45837</v>
      </c>
      <c r="C1440" s="4">
        <v>2025</v>
      </c>
      <c r="D1440" s="4">
        <v>6</v>
      </c>
      <c r="E1440" s="4" t="s">
        <v>34</v>
      </c>
      <c r="F1440" s="4" t="s">
        <v>8</v>
      </c>
      <c r="G1440" s="4" t="s">
        <v>6</v>
      </c>
      <c r="H1440" s="4" t="s">
        <v>80</v>
      </c>
      <c r="I1440" s="4" t="s">
        <v>10</v>
      </c>
      <c r="J1440" s="4" t="s">
        <v>191</v>
      </c>
      <c r="K1440" s="4">
        <v>1</v>
      </c>
      <c r="L1440" s="5">
        <v>148.59</v>
      </c>
      <c r="M1440" s="5">
        <v>148.59</v>
      </c>
      <c r="N1440" s="5">
        <v>96.34</v>
      </c>
      <c r="O1440" s="5">
        <v>52.25</v>
      </c>
      <c r="P1440" s="4">
        <f>--AND(OR(Dashboard!$A$10="All",C1440=Dashboard!$A$10),OR(Dashboard!$A$14="All",F1440=Dashboard!$A$14),OR(Dashboard!$A$18="All",G1440=Dashboard!$A$18),OR(Dashboard!$A$22="All",I1440=Dashboard!$A$22))</f>
        <v>1</v>
      </c>
    </row>
    <row r="1441" spans="1:16" ht="15.75" customHeight="1">
      <c r="A1441" s="4" t="s">
        <v>1647</v>
      </c>
      <c r="B1441" s="6">
        <v>45930</v>
      </c>
      <c r="C1441" s="4">
        <v>2025</v>
      </c>
      <c r="D1441" s="4">
        <v>9</v>
      </c>
      <c r="E1441" s="4" t="s">
        <v>79</v>
      </c>
      <c r="F1441" s="4" t="s">
        <v>14</v>
      </c>
      <c r="G1441" s="4" t="s">
        <v>9</v>
      </c>
      <c r="H1441" s="4" t="s">
        <v>35</v>
      </c>
      <c r="I1441" s="4" t="s">
        <v>7</v>
      </c>
      <c r="J1441" s="4" t="s">
        <v>321</v>
      </c>
      <c r="K1441" s="4">
        <v>3</v>
      </c>
      <c r="L1441" s="5">
        <v>51.86</v>
      </c>
      <c r="M1441" s="5">
        <v>155.58000000000001</v>
      </c>
      <c r="N1441" s="5">
        <v>74.44</v>
      </c>
      <c r="O1441" s="5">
        <v>81.14</v>
      </c>
      <c r="P1441" s="4">
        <f>--AND(OR(Dashboard!$A$10="All",C1441=Dashboard!$A$10),OR(Dashboard!$A$14="All",F1441=Dashboard!$A$14),OR(Dashboard!$A$18="All",G1441=Dashboard!$A$18),OR(Dashboard!$A$22="All",I1441=Dashboard!$A$22))</f>
        <v>1</v>
      </c>
    </row>
    <row r="1442" spans="1:16" ht="15.75" customHeight="1">
      <c r="A1442" s="4" t="s">
        <v>1648</v>
      </c>
      <c r="B1442" s="6">
        <v>45847</v>
      </c>
      <c r="C1442" s="4">
        <v>2025</v>
      </c>
      <c r="D1442" s="4">
        <v>7</v>
      </c>
      <c r="E1442" s="4" t="s">
        <v>63</v>
      </c>
      <c r="F1442" s="4" t="s">
        <v>14</v>
      </c>
      <c r="G1442" s="4" t="s">
        <v>12</v>
      </c>
      <c r="H1442" s="4" t="s">
        <v>124</v>
      </c>
      <c r="I1442" s="4" t="s">
        <v>10</v>
      </c>
      <c r="J1442" s="4" t="s">
        <v>247</v>
      </c>
      <c r="K1442" s="4">
        <v>3</v>
      </c>
      <c r="L1442" s="5">
        <v>184.53</v>
      </c>
      <c r="M1442" s="5">
        <v>553.59</v>
      </c>
      <c r="N1442" s="5">
        <v>336.86</v>
      </c>
      <c r="O1442" s="5">
        <v>216.73</v>
      </c>
      <c r="P1442" s="4">
        <f>--AND(OR(Dashboard!$A$10="All",C1442=Dashboard!$A$10),OR(Dashboard!$A$14="All",F1442=Dashboard!$A$14),OR(Dashboard!$A$18="All",G1442=Dashboard!$A$18),OR(Dashboard!$A$22="All",I1442=Dashboard!$A$22))</f>
        <v>1</v>
      </c>
    </row>
    <row r="1443" spans="1:16" ht="15.75" customHeight="1">
      <c r="A1443" s="4" t="s">
        <v>1649</v>
      </c>
      <c r="B1443" s="6">
        <v>45570</v>
      </c>
      <c r="C1443" s="4">
        <v>2024</v>
      </c>
      <c r="D1443" s="4">
        <v>10</v>
      </c>
      <c r="E1443" s="4" t="s">
        <v>120</v>
      </c>
      <c r="F1443" s="4" t="s">
        <v>5</v>
      </c>
      <c r="G1443" s="4" t="s">
        <v>6</v>
      </c>
      <c r="H1443" s="4" t="s">
        <v>54</v>
      </c>
      <c r="I1443" s="4" t="s">
        <v>7</v>
      </c>
      <c r="J1443" s="4" t="s">
        <v>202</v>
      </c>
      <c r="K1443" s="4">
        <v>1</v>
      </c>
      <c r="L1443" s="5">
        <v>110.65</v>
      </c>
      <c r="M1443" s="5">
        <v>110.65</v>
      </c>
      <c r="N1443" s="5">
        <v>73.19</v>
      </c>
      <c r="O1443" s="5">
        <v>37.46</v>
      </c>
      <c r="P1443" s="4">
        <f>--AND(OR(Dashboard!$A$10="All",C1443=Dashboard!$A$10),OR(Dashboard!$A$14="All",F1443=Dashboard!$A$14),OR(Dashboard!$A$18="All",G1443=Dashboard!$A$18),OR(Dashboard!$A$22="All",I1443=Dashboard!$A$22))</f>
        <v>1</v>
      </c>
    </row>
    <row r="1444" spans="1:16" ht="15.75" customHeight="1">
      <c r="A1444" s="4" t="s">
        <v>1650</v>
      </c>
      <c r="B1444" s="6">
        <v>45734</v>
      </c>
      <c r="C1444" s="4">
        <v>2025</v>
      </c>
      <c r="D1444" s="4">
        <v>3</v>
      </c>
      <c r="E1444" s="4" t="s">
        <v>100</v>
      </c>
      <c r="F1444" s="4" t="s">
        <v>5</v>
      </c>
      <c r="G1444" s="4" t="s">
        <v>12</v>
      </c>
      <c r="H1444" s="4" t="s">
        <v>124</v>
      </c>
      <c r="I1444" s="4" t="s">
        <v>10</v>
      </c>
      <c r="J1444" s="4" t="s">
        <v>205</v>
      </c>
      <c r="K1444" s="4">
        <v>1</v>
      </c>
      <c r="L1444" s="5">
        <v>233.87</v>
      </c>
      <c r="M1444" s="5">
        <v>233.87</v>
      </c>
      <c r="N1444" s="5">
        <v>145.91999999999999</v>
      </c>
      <c r="O1444" s="5">
        <v>87.95</v>
      </c>
      <c r="P1444" s="4">
        <f>--AND(OR(Dashboard!$A$10="All",C1444=Dashboard!$A$10),OR(Dashboard!$A$14="All",F1444=Dashboard!$A$14),OR(Dashboard!$A$18="All",G1444=Dashboard!$A$18),OR(Dashboard!$A$22="All",I1444=Dashboard!$A$22))</f>
        <v>1</v>
      </c>
    </row>
    <row r="1445" spans="1:16" ht="15.75" customHeight="1">
      <c r="A1445" s="4" t="s">
        <v>1651</v>
      </c>
      <c r="B1445" s="6">
        <v>45449</v>
      </c>
      <c r="C1445" s="4">
        <v>2024</v>
      </c>
      <c r="D1445" s="4">
        <v>6</v>
      </c>
      <c r="E1445" s="4" t="s">
        <v>34</v>
      </c>
      <c r="F1445" s="4" t="s">
        <v>8</v>
      </c>
      <c r="G1445" s="4" t="s">
        <v>6</v>
      </c>
      <c r="H1445" s="4" t="s">
        <v>98</v>
      </c>
      <c r="I1445" s="4" t="s">
        <v>10</v>
      </c>
      <c r="J1445" s="4" t="s">
        <v>276</v>
      </c>
      <c r="K1445" s="4">
        <v>6</v>
      </c>
      <c r="L1445" s="5">
        <v>200.4</v>
      </c>
      <c r="M1445" s="5">
        <v>1202.4000000000001</v>
      </c>
      <c r="N1445" s="5">
        <v>816.08</v>
      </c>
      <c r="O1445" s="5">
        <v>386.32</v>
      </c>
      <c r="P1445" s="4">
        <f>--AND(OR(Dashboard!$A$10="All",C1445=Dashboard!$A$10),OR(Dashboard!$A$14="All",F1445=Dashboard!$A$14),OR(Dashboard!$A$18="All",G1445=Dashboard!$A$18),OR(Dashboard!$A$22="All",I1445=Dashboard!$A$22))</f>
        <v>1</v>
      </c>
    </row>
    <row r="1446" spans="1:16" ht="15.75" customHeight="1">
      <c r="A1446" s="4" t="s">
        <v>1652</v>
      </c>
      <c r="B1446" s="6">
        <v>45714</v>
      </c>
      <c r="C1446" s="4">
        <v>2025</v>
      </c>
      <c r="D1446" s="4">
        <v>2</v>
      </c>
      <c r="E1446" s="4" t="s">
        <v>70</v>
      </c>
      <c r="F1446" s="4" t="s">
        <v>8</v>
      </c>
      <c r="G1446" s="4" t="s">
        <v>6</v>
      </c>
      <c r="H1446" s="4" t="s">
        <v>54</v>
      </c>
      <c r="I1446" s="4" t="s">
        <v>7</v>
      </c>
      <c r="J1446" s="4" t="s">
        <v>168</v>
      </c>
      <c r="K1446" s="4">
        <v>6</v>
      </c>
      <c r="L1446" s="5">
        <v>159.99</v>
      </c>
      <c r="M1446" s="5">
        <v>959.94</v>
      </c>
      <c r="N1446" s="5">
        <v>634.17999999999995</v>
      </c>
      <c r="O1446" s="5">
        <v>325.76</v>
      </c>
      <c r="P1446" s="4">
        <f>--AND(OR(Dashboard!$A$10="All",C1446=Dashboard!$A$10),OR(Dashboard!$A$14="All",F1446=Dashboard!$A$14),OR(Dashboard!$A$18="All",G1446=Dashboard!$A$18),OR(Dashboard!$A$22="All",I1446=Dashboard!$A$22))</f>
        <v>1</v>
      </c>
    </row>
    <row r="1447" spans="1:16" ht="15.75" customHeight="1">
      <c r="A1447" s="4" t="s">
        <v>1653</v>
      </c>
      <c r="B1447" s="6">
        <v>45489</v>
      </c>
      <c r="C1447" s="4">
        <v>2024</v>
      </c>
      <c r="D1447" s="4">
        <v>7</v>
      </c>
      <c r="E1447" s="4" t="s">
        <v>63</v>
      </c>
      <c r="F1447" s="4" t="s">
        <v>5</v>
      </c>
      <c r="G1447" s="4" t="s">
        <v>12</v>
      </c>
      <c r="H1447" s="4" t="s">
        <v>58</v>
      </c>
      <c r="I1447" s="4" t="s">
        <v>7</v>
      </c>
      <c r="J1447" s="4" t="s">
        <v>128</v>
      </c>
      <c r="K1447" s="4">
        <v>2</v>
      </c>
      <c r="L1447" s="5">
        <v>250.53</v>
      </c>
      <c r="M1447" s="5">
        <v>501.06</v>
      </c>
      <c r="N1447" s="5">
        <v>308.74</v>
      </c>
      <c r="O1447" s="5">
        <v>192.32</v>
      </c>
      <c r="P1447" s="4">
        <f>--AND(OR(Dashboard!$A$10="All",C1447=Dashboard!$A$10),OR(Dashboard!$A$14="All",F1447=Dashboard!$A$14),OR(Dashboard!$A$18="All",G1447=Dashboard!$A$18),OR(Dashboard!$A$22="All",I1447=Dashboard!$A$22))</f>
        <v>1</v>
      </c>
    </row>
    <row r="1448" spans="1:16" ht="15.75" customHeight="1">
      <c r="A1448" s="4" t="s">
        <v>1654</v>
      </c>
      <c r="B1448" s="6">
        <v>45819</v>
      </c>
      <c r="C1448" s="4">
        <v>2025</v>
      </c>
      <c r="D1448" s="4">
        <v>6</v>
      </c>
      <c r="E1448" s="4" t="s">
        <v>34</v>
      </c>
      <c r="F1448" s="4" t="s">
        <v>8</v>
      </c>
      <c r="G1448" s="4" t="s">
        <v>12</v>
      </c>
      <c r="H1448" s="4" t="s">
        <v>58</v>
      </c>
      <c r="I1448" s="4" t="s">
        <v>7</v>
      </c>
      <c r="J1448" s="4" t="s">
        <v>270</v>
      </c>
      <c r="K1448" s="4">
        <v>2</v>
      </c>
      <c r="L1448" s="5">
        <v>136.21</v>
      </c>
      <c r="M1448" s="5">
        <v>272.42</v>
      </c>
      <c r="N1448" s="5">
        <v>165.58</v>
      </c>
      <c r="O1448" s="5">
        <v>106.84</v>
      </c>
      <c r="P1448" s="4">
        <f>--AND(OR(Dashboard!$A$10="All",C1448=Dashboard!$A$10),OR(Dashboard!$A$14="All",F1448=Dashboard!$A$14),OR(Dashboard!$A$18="All",G1448=Dashboard!$A$18),OR(Dashboard!$A$22="All",I1448=Dashboard!$A$22))</f>
        <v>1</v>
      </c>
    </row>
    <row r="1449" spans="1:16" ht="15.75" customHeight="1">
      <c r="A1449" s="4" t="s">
        <v>1655</v>
      </c>
      <c r="B1449" s="6">
        <v>45571</v>
      </c>
      <c r="C1449" s="4">
        <v>2024</v>
      </c>
      <c r="D1449" s="4">
        <v>10</v>
      </c>
      <c r="E1449" s="4" t="s">
        <v>120</v>
      </c>
      <c r="F1449" s="4" t="s">
        <v>8</v>
      </c>
      <c r="G1449" s="4" t="s">
        <v>9</v>
      </c>
      <c r="H1449" s="4" t="s">
        <v>71</v>
      </c>
      <c r="I1449" s="4" t="s">
        <v>13</v>
      </c>
      <c r="J1449" s="4" t="s">
        <v>191</v>
      </c>
      <c r="K1449" s="4">
        <v>1</v>
      </c>
      <c r="L1449" s="5">
        <v>41.22</v>
      </c>
      <c r="M1449" s="5">
        <v>41.22</v>
      </c>
      <c r="N1449" s="5">
        <v>21</v>
      </c>
      <c r="O1449" s="5">
        <v>20.22</v>
      </c>
      <c r="P1449" s="4">
        <f>--AND(OR(Dashboard!$A$10="All",C1449=Dashboard!$A$10),OR(Dashboard!$A$14="All",F1449=Dashboard!$A$14),OR(Dashboard!$A$18="All",G1449=Dashboard!$A$18),OR(Dashboard!$A$22="All",I1449=Dashboard!$A$22))</f>
        <v>1</v>
      </c>
    </row>
    <row r="1450" spans="1:16" ht="15.75" customHeight="1">
      <c r="A1450" s="4" t="s">
        <v>1656</v>
      </c>
      <c r="B1450" s="6">
        <v>45633</v>
      </c>
      <c r="C1450" s="4">
        <v>2024</v>
      </c>
      <c r="D1450" s="4">
        <v>12</v>
      </c>
      <c r="E1450" s="4" t="s">
        <v>57</v>
      </c>
      <c r="F1450" s="4" t="s">
        <v>5</v>
      </c>
      <c r="G1450" s="4" t="s">
        <v>9</v>
      </c>
      <c r="H1450" s="4" t="s">
        <v>142</v>
      </c>
      <c r="I1450" s="4" t="s">
        <v>7</v>
      </c>
      <c r="J1450" s="4" t="s">
        <v>170</v>
      </c>
      <c r="K1450" s="4">
        <v>1</v>
      </c>
      <c r="L1450" s="5">
        <v>37.270000000000003</v>
      </c>
      <c r="M1450" s="5">
        <v>37.270000000000003</v>
      </c>
      <c r="N1450" s="5">
        <v>19.399999999999999</v>
      </c>
      <c r="O1450" s="5">
        <v>17.87</v>
      </c>
      <c r="P1450" s="4">
        <f>--AND(OR(Dashboard!$A$10="All",C1450=Dashboard!$A$10),OR(Dashboard!$A$14="All",F1450=Dashboard!$A$14),OR(Dashboard!$A$18="All",G1450=Dashboard!$A$18),OR(Dashboard!$A$22="All",I1450=Dashboard!$A$22))</f>
        <v>1</v>
      </c>
    </row>
    <row r="1451" spans="1:16" ht="15.75" customHeight="1">
      <c r="A1451" s="4" t="s">
        <v>1657</v>
      </c>
      <c r="B1451" s="6">
        <v>45804</v>
      </c>
      <c r="C1451" s="4">
        <v>2025</v>
      </c>
      <c r="D1451" s="4">
        <v>5</v>
      </c>
      <c r="E1451" s="4" t="s">
        <v>108</v>
      </c>
      <c r="F1451" s="4" t="s">
        <v>8</v>
      </c>
      <c r="G1451" s="4" t="s">
        <v>6</v>
      </c>
      <c r="H1451" s="4" t="s">
        <v>54</v>
      </c>
      <c r="I1451" s="4" t="s">
        <v>10</v>
      </c>
      <c r="J1451" s="4" t="s">
        <v>485</v>
      </c>
      <c r="K1451" s="4">
        <v>5</v>
      </c>
      <c r="L1451" s="5">
        <v>194.79</v>
      </c>
      <c r="M1451" s="5">
        <v>973.95</v>
      </c>
      <c r="N1451" s="5">
        <v>628.41</v>
      </c>
      <c r="O1451" s="5">
        <v>345.54</v>
      </c>
      <c r="P1451" s="4">
        <f>--AND(OR(Dashboard!$A$10="All",C1451=Dashboard!$A$10),OR(Dashboard!$A$14="All",F1451=Dashboard!$A$14),OR(Dashboard!$A$18="All",G1451=Dashboard!$A$18),OR(Dashboard!$A$22="All",I1451=Dashboard!$A$22))</f>
        <v>1</v>
      </c>
    </row>
    <row r="1452" spans="1:16" ht="15.75" customHeight="1">
      <c r="A1452" s="4" t="s">
        <v>1658</v>
      </c>
      <c r="B1452" s="6">
        <v>45310</v>
      </c>
      <c r="C1452" s="4">
        <v>2024</v>
      </c>
      <c r="D1452" s="4">
        <v>1</v>
      </c>
      <c r="E1452" s="4" t="s">
        <v>30</v>
      </c>
      <c r="F1452" s="4" t="s">
        <v>11</v>
      </c>
      <c r="G1452" s="4" t="s">
        <v>12</v>
      </c>
      <c r="H1452" s="4" t="s">
        <v>127</v>
      </c>
      <c r="I1452" s="4" t="s">
        <v>7</v>
      </c>
      <c r="J1452" s="4" t="s">
        <v>360</v>
      </c>
      <c r="K1452" s="4">
        <v>1</v>
      </c>
      <c r="L1452" s="5">
        <v>202.77</v>
      </c>
      <c r="M1452" s="5">
        <v>202.77</v>
      </c>
      <c r="N1452" s="5">
        <v>123.83</v>
      </c>
      <c r="O1452" s="5">
        <v>78.94</v>
      </c>
      <c r="P1452" s="4">
        <f>--AND(OR(Dashboard!$A$10="All",C1452=Dashboard!$A$10),OR(Dashboard!$A$14="All",F1452=Dashboard!$A$14),OR(Dashboard!$A$18="All",G1452=Dashboard!$A$18),OR(Dashboard!$A$22="All",I1452=Dashboard!$A$22))</f>
        <v>1</v>
      </c>
    </row>
    <row r="1453" spans="1:16" ht="15.75" customHeight="1">
      <c r="A1453" s="4" t="s">
        <v>1659</v>
      </c>
      <c r="B1453" s="6">
        <v>45298</v>
      </c>
      <c r="C1453" s="4">
        <v>2024</v>
      </c>
      <c r="D1453" s="4">
        <v>1</v>
      </c>
      <c r="E1453" s="4" t="s">
        <v>30</v>
      </c>
      <c r="F1453" s="4" t="s">
        <v>11</v>
      </c>
      <c r="G1453" s="4" t="s">
        <v>12</v>
      </c>
      <c r="H1453" s="4" t="s">
        <v>86</v>
      </c>
      <c r="I1453" s="4" t="s">
        <v>13</v>
      </c>
      <c r="J1453" s="4" t="s">
        <v>292</v>
      </c>
      <c r="K1453" s="4">
        <v>4</v>
      </c>
      <c r="L1453" s="5">
        <v>247.95</v>
      </c>
      <c r="M1453" s="5">
        <v>991.8</v>
      </c>
      <c r="N1453" s="5">
        <v>571.51</v>
      </c>
      <c r="O1453" s="5">
        <v>420.29</v>
      </c>
      <c r="P1453" s="4">
        <f>--AND(OR(Dashboard!$A$10="All",C1453=Dashboard!$A$10),OR(Dashboard!$A$14="All",F1453=Dashboard!$A$14),OR(Dashboard!$A$18="All",G1453=Dashboard!$A$18),OR(Dashboard!$A$22="All",I1453=Dashboard!$A$22))</f>
        <v>1</v>
      </c>
    </row>
    <row r="1454" spans="1:16" ht="15.75" customHeight="1">
      <c r="A1454" s="4" t="s">
        <v>1660</v>
      </c>
      <c r="B1454" s="6">
        <v>45324</v>
      </c>
      <c r="C1454" s="4">
        <v>2024</v>
      </c>
      <c r="D1454" s="4">
        <v>2</v>
      </c>
      <c r="E1454" s="4" t="s">
        <v>70</v>
      </c>
      <c r="F1454" s="4" t="s">
        <v>8</v>
      </c>
      <c r="G1454" s="4" t="s">
        <v>12</v>
      </c>
      <c r="H1454" s="4" t="s">
        <v>124</v>
      </c>
      <c r="I1454" s="4" t="s">
        <v>7</v>
      </c>
      <c r="J1454" s="4" t="s">
        <v>59</v>
      </c>
      <c r="K1454" s="4">
        <v>6</v>
      </c>
      <c r="L1454" s="5">
        <v>127.8</v>
      </c>
      <c r="M1454" s="5">
        <v>766.8</v>
      </c>
      <c r="N1454" s="5">
        <v>476.02</v>
      </c>
      <c r="O1454" s="5">
        <v>290.77999999999997</v>
      </c>
      <c r="P1454" s="4">
        <f>--AND(OR(Dashboard!$A$10="All",C1454=Dashboard!$A$10),OR(Dashboard!$A$14="All",F1454=Dashboard!$A$14),OR(Dashboard!$A$18="All",G1454=Dashboard!$A$18),OR(Dashboard!$A$22="All",I1454=Dashboard!$A$22))</f>
        <v>1</v>
      </c>
    </row>
    <row r="1455" spans="1:16" ht="15.75" customHeight="1">
      <c r="A1455" s="4" t="s">
        <v>1661</v>
      </c>
      <c r="B1455" s="6">
        <v>45599</v>
      </c>
      <c r="C1455" s="4">
        <v>2024</v>
      </c>
      <c r="D1455" s="4">
        <v>11</v>
      </c>
      <c r="E1455" s="4" t="s">
        <v>89</v>
      </c>
      <c r="F1455" s="4" t="s">
        <v>5</v>
      </c>
      <c r="G1455" s="4" t="s">
        <v>12</v>
      </c>
      <c r="H1455" s="4" t="s">
        <v>92</v>
      </c>
      <c r="I1455" s="4" t="s">
        <v>13</v>
      </c>
      <c r="J1455" s="4" t="s">
        <v>121</v>
      </c>
      <c r="K1455" s="4">
        <v>1</v>
      </c>
      <c r="L1455" s="5">
        <v>131.5</v>
      </c>
      <c r="M1455" s="5">
        <v>131.5</v>
      </c>
      <c r="N1455" s="5">
        <v>80.64</v>
      </c>
      <c r="O1455" s="5">
        <v>50.86</v>
      </c>
      <c r="P1455" s="4">
        <f>--AND(OR(Dashboard!$A$10="All",C1455=Dashboard!$A$10),OR(Dashboard!$A$14="All",F1455=Dashboard!$A$14),OR(Dashboard!$A$18="All",G1455=Dashboard!$A$18),OR(Dashboard!$A$22="All",I1455=Dashboard!$A$22))</f>
        <v>1</v>
      </c>
    </row>
    <row r="1456" spans="1:16" ht="15.75" customHeight="1">
      <c r="A1456" s="4" t="s">
        <v>1662</v>
      </c>
      <c r="B1456" s="6">
        <v>45643</v>
      </c>
      <c r="C1456" s="4">
        <v>2024</v>
      </c>
      <c r="D1456" s="4">
        <v>12</v>
      </c>
      <c r="E1456" s="4" t="s">
        <v>57</v>
      </c>
      <c r="F1456" s="4" t="s">
        <v>11</v>
      </c>
      <c r="G1456" s="4" t="s">
        <v>9</v>
      </c>
      <c r="H1456" s="4" t="s">
        <v>35</v>
      </c>
      <c r="I1456" s="4" t="s">
        <v>10</v>
      </c>
      <c r="J1456" s="4" t="s">
        <v>146</v>
      </c>
      <c r="K1456" s="4">
        <v>3</v>
      </c>
      <c r="L1456" s="5">
        <v>51.69</v>
      </c>
      <c r="M1456" s="5">
        <v>155.07</v>
      </c>
      <c r="N1456" s="5">
        <v>78</v>
      </c>
      <c r="O1456" s="5">
        <v>77.069999999999993</v>
      </c>
      <c r="P1456" s="4">
        <f>--AND(OR(Dashboard!$A$10="All",C1456=Dashboard!$A$10),OR(Dashboard!$A$14="All",F1456=Dashboard!$A$14),OR(Dashboard!$A$18="All",G1456=Dashboard!$A$18),OR(Dashboard!$A$22="All",I1456=Dashboard!$A$22))</f>
        <v>1</v>
      </c>
    </row>
    <row r="1457" spans="1:16" ht="15.75" customHeight="1">
      <c r="A1457" s="4" t="s">
        <v>1663</v>
      </c>
      <c r="B1457" s="6">
        <v>45767</v>
      </c>
      <c r="C1457" s="4">
        <v>2025</v>
      </c>
      <c r="D1457" s="4">
        <v>4</v>
      </c>
      <c r="E1457" s="4" t="s">
        <v>106</v>
      </c>
      <c r="F1457" s="4" t="s">
        <v>8</v>
      </c>
      <c r="G1457" s="4" t="s">
        <v>6</v>
      </c>
      <c r="H1457" s="4" t="s">
        <v>114</v>
      </c>
      <c r="I1457" s="4" t="s">
        <v>10</v>
      </c>
      <c r="J1457" s="4" t="s">
        <v>211</v>
      </c>
      <c r="K1457" s="4">
        <v>2</v>
      </c>
      <c r="L1457" s="5">
        <v>99.69</v>
      </c>
      <c r="M1457" s="5">
        <v>199.38</v>
      </c>
      <c r="N1457" s="5">
        <v>130.21</v>
      </c>
      <c r="O1457" s="5">
        <v>69.17</v>
      </c>
      <c r="P1457" s="4">
        <f>--AND(OR(Dashboard!$A$10="All",C1457=Dashboard!$A$10),OR(Dashboard!$A$14="All",F1457=Dashboard!$A$14),OR(Dashboard!$A$18="All",G1457=Dashboard!$A$18),OR(Dashboard!$A$22="All",I1457=Dashboard!$A$22))</f>
        <v>1</v>
      </c>
    </row>
    <row r="1458" spans="1:16" ht="15.75" customHeight="1">
      <c r="A1458" s="4" t="s">
        <v>1664</v>
      </c>
      <c r="B1458" s="6">
        <v>45688</v>
      </c>
      <c r="C1458" s="4">
        <v>2025</v>
      </c>
      <c r="D1458" s="4">
        <v>1</v>
      </c>
      <c r="E1458" s="4" t="s">
        <v>30</v>
      </c>
      <c r="F1458" s="4" t="s">
        <v>8</v>
      </c>
      <c r="G1458" s="4" t="s">
        <v>6</v>
      </c>
      <c r="H1458" s="4" t="s">
        <v>114</v>
      </c>
      <c r="I1458" s="4" t="s">
        <v>10</v>
      </c>
      <c r="J1458" s="4" t="s">
        <v>146</v>
      </c>
      <c r="K1458" s="4">
        <v>4</v>
      </c>
      <c r="L1458" s="5">
        <v>208.87</v>
      </c>
      <c r="M1458" s="5">
        <v>835.48</v>
      </c>
      <c r="N1458" s="5">
        <v>531.91999999999996</v>
      </c>
      <c r="O1458" s="5">
        <v>303.56</v>
      </c>
      <c r="P1458" s="4">
        <f>--AND(OR(Dashboard!$A$10="All",C1458=Dashboard!$A$10),OR(Dashboard!$A$14="All",F1458=Dashboard!$A$14),OR(Dashboard!$A$18="All",G1458=Dashboard!$A$18),OR(Dashboard!$A$22="All",I1458=Dashboard!$A$22))</f>
        <v>1</v>
      </c>
    </row>
    <row r="1459" spans="1:16" ht="15.75" customHeight="1">
      <c r="A1459" s="4" t="s">
        <v>1665</v>
      </c>
      <c r="B1459" s="6">
        <v>45436</v>
      </c>
      <c r="C1459" s="4">
        <v>2024</v>
      </c>
      <c r="D1459" s="4">
        <v>5</v>
      </c>
      <c r="E1459" s="4" t="s">
        <v>108</v>
      </c>
      <c r="F1459" s="4" t="s">
        <v>8</v>
      </c>
      <c r="G1459" s="4" t="s">
        <v>6</v>
      </c>
      <c r="H1459" s="4" t="s">
        <v>114</v>
      </c>
      <c r="I1459" s="4" t="s">
        <v>10</v>
      </c>
      <c r="J1459" s="4" t="s">
        <v>111</v>
      </c>
      <c r="K1459" s="4">
        <v>1</v>
      </c>
      <c r="L1459" s="5">
        <v>88.63</v>
      </c>
      <c r="M1459" s="5">
        <v>88.63</v>
      </c>
      <c r="N1459" s="5">
        <v>55.96</v>
      </c>
      <c r="O1459" s="5">
        <v>32.67</v>
      </c>
      <c r="P1459" s="4">
        <f>--AND(OR(Dashboard!$A$10="All",C1459=Dashboard!$A$10),OR(Dashboard!$A$14="All",F1459=Dashboard!$A$14),OR(Dashboard!$A$18="All",G1459=Dashboard!$A$18),OR(Dashboard!$A$22="All",I1459=Dashboard!$A$22))</f>
        <v>1</v>
      </c>
    </row>
    <row r="1460" spans="1:16" ht="15.75" customHeight="1">
      <c r="A1460" s="4" t="s">
        <v>1666</v>
      </c>
      <c r="B1460" s="6">
        <v>46000</v>
      </c>
      <c r="C1460" s="4">
        <v>2025</v>
      </c>
      <c r="D1460" s="4">
        <v>12</v>
      </c>
      <c r="E1460" s="4" t="s">
        <v>57</v>
      </c>
      <c r="F1460" s="4" t="s">
        <v>5</v>
      </c>
      <c r="G1460" s="4" t="s">
        <v>9</v>
      </c>
      <c r="H1460" s="4" t="s">
        <v>71</v>
      </c>
      <c r="I1460" s="4" t="s">
        <v>7</v>
      </c>
      <c r="J1460" s="4" t="s">
        <v>207</v>
      </c>
      <c r="K1460" s="4">
        <v>9</v>
      </c>
      <c r="L1460" s="5">
        <v>48.33</v>
      </c>
      <c r="M1460" s="5">
        <v>434.97</v>
      </c>
      <c r="N1460" s="5">
        <v>214.94</v>
      </c>
      <c r="O1460" s="5">
        <v>220.03</v>
      </c>
      <c r="P1460" s="4">
        <f>--AND(OR(Dashboard!$A$10="All",C1460=Dashboard!$A$10),OR(Dashboard!$A$14="All",F1460=Dashboard!$A$14),OR(Dashboard!$A$18="All",G1460=Dashboard!$A$18),OR(Dashboard!$A$22="All",I1460=Dashboard!$A$22))</f>
        <v>1</v>
      </c>
    </row>
    <row r="1461" spans="1:16" ht="15.75" customHeight="1">
      <c r="A1461" s="4" t="s">
        <v>1667</v>
      </c>
      <c r="B1461" s="6">
        <v>45419</v>
      </c>
      <c r="C1461" s="4">
        <v>2024</v>
      </c>
      <c r="D1461" s="4">
        <v>5</v>
      </c>
      <c r="E1461" s="4" t="s">
        <v>108</v>
      </c>
      <c r="F1461" s="4" t="s">
        <v>5</v>
      </c>
      <c r="G1461" s="4" t="s">
        <v>9</v>
      </c>
      <c r="H1461" s="4" t="s">
        <v>142</v>
      </c>
      <c r="I1461" s="4" t="s">
        <v>13</v>
      </c>
      <c r="J1461" s="4" t="s">
        <v>276</v>
      </c>
      <c r="K1461" s="4">
        <v>5</v>
      </c>
      <c r="L1461" s="5">
        <v>38.67</v>
      </c>
      <c r="M1461" s="5">
        <v>193.35</v>
      </c>
      <c r="N1461" s="5">
        <v>93.21</v>
      </c>
      <c r="O1461" s="5">
        <v>100.14</v>
      </c>
      <c r="P1461" s="4">
        <f>--AND(OR(Dashboard!$A$10="All",C1461=Dashboard!$A$10),OR(Dashboard!$A$14="All",F1461=Dashboard!$A$14),OR(Dashboard!$A$18="All",G1461=Dashboard!$A$18),OR(Dashboard!$A$22="All",I1461=Dashboard!$A$22))</f>
        <v>1</v>
      </c>
    </row>
    <row r="1462" spans="1:16" ht="15.75" customHeight="1">
      <c r="A1462" s="4" t="s">
        <v>1668</v>
      </c>
      <c r="B1462" s="6">
        <v>45496</v>
      </c>
      <c r="C1462" s="4">
        <v>2024</v>
      </c>
      <c r="D1462" s="4">
        <v>7</v>
      </c>
      <c r="E1462" s="4" t="s">
        <v>63</v>
      </c>
      <c r="F1462" s="4" t="s">
        <v>5</v>
      </c>
      <c r="G1462" s="4" t="s">
        <v>9</v>
      </c>
      <c r="H1462" s="4" t="s">
        <v>35</v>
      </c>
      <c r="I1462" s="4" t="s">
        <v>7</v>
      </c>
      <c r="J1462" s="4" t="s">
        <v>159</v>
      </c>
      <c r="K1462" s="4">
        <v>2</v>
      </c>
      <c r="L1462" s="5">
        <v>51.19</v>
      </c>
      <c r="M1462" s="5">
        <v>102.38</v>
      </c>
      <c r="N1462" s="5">
        <v>50.57</v>
      </c>
      <c r="O1462" s="5">
        <v>51.81</v>
      </c>
      <c r="P1462" s="4">
        <f>--AND(OR(Dashboard!$A$10="All",C1462=Dashboard!$A$10),OR(Dashboard!$A$14="All",F1462=Dashboard!$A$14),OR(Dashboard!$A$18="All",G1462=Dashboard!$A$18),OR(Dashboard!$A$22="All",I1462=Dashboard!$A$22))</f>
        <v>1</v>
      </c>
    </row>
    <row r="1463" spans="1:16" ht="15.75" customHeight="1">
      <c r="A1463" s="4" t="s">
        <v>1669</v>
      </c>
      <c r="B1463" s="6">
        <v>45838</v>
      </c>
      <c r="C1463" s="4">
        <v>2025</v>
      </c>
      <c r="D1463" s="4">
        <v>6</v>
      </c>
      <c r="E1463" s="4" t="s">
        <v>34</v>
      </c>
      <c r="F1463" s="4" t="s">
        <v>8</v>
      </c>
      <c r="G1463" s="4" t="s">
        <v>6</v>
      </c>
      <c r="H1463" s="4" t="s">
        <v>114</v>
      </c>
      <c r="I1463" s="4" t="s">
        <v>10</v>
      </c>
      <c r="J1463" s="4" t="s">
        <v>174</v>
      </c>
      <c r="K1463" s="4">
        <v>2</v>
      </c>
      <c r="L1463" s="5">
        <v>163.63999999999999</v>
      </c>
      <c r="M1463" s="5">
        <v>327.27999999999997</v>
      </c>
      <c r="N1463" s="5">
        <v>220.86</v>
      </c>
      <c r="O1463" s="5">
        <v>106.42</v>
      </c>
      <c r="P1463" s="4">
        <f>--AND(OR(Dashboard!$A$10="All",C1463=Dashboard!$A$10),OR(Dashboard!$A$14="All",F1463=Dashboard!$A$14),OR(Dashboard!$A$18="All",G1463=Dashboard!$A$18),OR(Dashboard!$A$22="All",I1463=Dashboard!$A$22))</f>
        <v>1</v>
      </c>
    </row>
    <row r="1464" spans="1:16" ht="15.75" customHeight="1">
      <c r="A1464" s="4" t="s">
        <v>1670</v>
      </c>
      <c r="B1464" s="6">
        <v>45883</v>
      </c>
      <c r="C1464" s="4">
        <v>2025</v>
      </c>
      <c r="D1464" s="4">
        <v>8</v>
      </c>
      <c r="E1464" s="4" t="s">
        <v>67</v>
      </c>
      <c r="F1464" s="4" t="s">
        <v>5</v>
      </c>
      <c r="G1464" s="4" t="s">
        <v>12</v>
      </c>
      <c r="H1464" s="4" t="s">
        <v>92</v>
      </c>
      <c r="I1464" s="4" t="s">
        <v>10</v>
      </c>
      <c r="J1464" s="4" t="s">
        <v>166</v>
      </c>
      <c r="K1464" s="4">
        <v>3</v>
      </c>
      <c r="L1464" s="5">
        <v>298.2</v>
      </c>
      <c r="M1464" s="5">
        <v>894.6</v>
      </c>
      <c r="N1464" s="5">
        <v>553.23</v>
      </c>
      <c r="O1464" s="5">
        <v>341.37</v>
      </c>
      <c r="P1464" s="4">
        <f>--AND(OR(Dashboard!$A$10="All",C1464=Dashboard!$A$10),OR(Dashboard!$A$14="All",F1464=Dashboard!$A$14),OR(Dashboard!$A$18="All",G1464=Dashboard!$A$18),OR(Dashboard!$A$22="All",I1464=Dashboard!$A$22))</f>
        <v>1</v>
      </c>
    </row>
    <row r="1465" spans="1:16" ht="15.75" customHeight="1">
      <c r="A1465" s="4" t="s">
        <v>1671</v>
      </c>
      <c r="B1465" s="6">
        <v>45310</v>
      </c>
      <c r="C1465" s="4">
        <v>2024</v>
      </c>
      <c r="D1465" s="4">
        <v>1</v>
      </c>
      <c r="E1465" s="4" t="s">
        <v>30</v>
      </c>
      <c r="F1465" s="4" t="s">
        <v>5</v>
      </c>
      <c r="G1465" s="4" t="s">
        <v>6</v>
      </c>
      <c r="H1465" s="4" t="s">
        <v>54</v>
      </c>
      <c r="I1465" s="4" t="s">
        <v>10</v>
      </c>
      <c r="J1465" s="4" t="s">
        <v>255</v>
      </c>
      <c r="K1465" s="4">
        <v>5</v>
      </c>
      <c r="L1465" s="5">
        <v>166.98</v>
      </c>
      <c r="M1465" s="5">
        <v>834.9</v>
      </c>
      <c r="N1465" s="5">
        <v>560.03</v>
      </c>
      <c r="O1465" s="5">
        <v>274.87</v>
      </c>
      <c r="P1465" s="4">
        <f>--AND(OR(Dashboard!$A$10="All",C1465=Dashboard!$A$10),OR(Dashboard!$A$14="All",F1465=Dashboard!$A$14),OR(Dashboard!$A$18="All",G1465=Dashboard!$A$18),OR(Dashboard!$A$22="All",I1465=Dashboard!$A$22))</f>
        <v>1</v>
      </c>
    </row>
    <row r="1466" spans="1:16" ht="15.75" customHeight="1">
      <c r="A1466" s="4" t="s">
        <v>1672</v>
      </c>
      <c r="B1466" s="6">
        <v>45806</v>
      </c>
      <c r="C1466" s="4">
        <v>2025</v>
      </c>
      <c r="D1466" s="4">
        <v>5</v>
      </c>
      <c r="E1466" s="4" t="s">
        <v>108</v>
      </c>
      <c r="F1466" s="4" t="s">
        <v>5</v>
      </c>
      <c r="G1466" s="4" t="s">
        <v>6</v>
      </c>
      <c r="H1466" s="4" t="s">
        <v>136</v>
      </c>
      <c r="I1466" s="4" t="s">
        <v>13</v>
      </c>
      <c r="J1466" s="4" t="s">
        <v>257</v>
      </c>
      <c r="K1466" s="4">
        <v>1</v>
      </c>
      <c r="L1466" s="5">
        <v>165.29</v>
      </c>
      <c r="M1466" s="5">
        <v>165.29</v>
      </c>
      <c r="N1466" s="5">
        <v>112.53</v>
      </c>
      <c r="O1466" s="5">
        <v>52.76</v>
      </c>
      <c r="P1466" s="4">
        <f>--AND(OR(Dashboard!$A$10="All",C1466=Dashboard!$A$10),OR(Dashboard!$A$14="All",F1466=Dashboard!$A$14),OR(Dashboard!$A$18="All",G1466=Dashboard!$A$18),OR(Dashboard!$A$22="All",I1466=Dashboard!$A$22))</f>
        <v>1</v>
      </c>
    </row>
    <row r="1467" spans="1:16" ht="15.75" customHeight="1">
      <c r="A1467" s="4" t="s">
        <v>1673</v>
      </c>
      <c r="B1467" s="6">
        <v>45741</v>
      </c>
      <c r="C1467" s="4">
        <v>2025</v>
      </c>
      <c r="D1467" s="4">
        <v>3</v>
      </c>
      <c r="E1467" s="4" t="s">
        <v>100</v>
      </c>
      <c r="F1467" s="4" t="s">
        <v>11</v>
      </c>
      <c r="G1467" s="4" t="s">
        <v>9</v>
      </c>
      <c r="H1467" s="4" t="s">
        <v>142</v>
      </c>
      <c r="I1467" s="4" t="s">
        <v>7</v>
      </c>
      <c r="J1467" s="4" t="s">
        <v>72</v>
      </c>
      <c r="K1467" s="4">
        <v>11</v>
      </c>
      <c r="L1467" s="5">
        <v>24.76</v>
      </c>
      <c r="M1467" s="5">
        <v>272.36</v>
      </c>
      <c r="N1467" s="5">
        <v>137.83000000000001</v>
      </c>
      <c r="O1467" s="5">
        <v>134.53</v>
      </c>
      <c r="P1467" s="4">
        <f>--AND(OR(Dashboard!$A$10="All",C1467=Dashboard!$A$10),OR(Dashboard!$A$14="All",F1467=Dashboard!$A$14),OR(Dashboard!$A$18="All",G1467=Dashboard!$A$18),OR(Dashboard!$A$22="All",I1467=Dashboard!$A$22))</f>
        <v>1</v>
      </c>
    </row>
    <row r="1468" spans="1:16" ht="15.75" customHeight="1">
      <c r="A1468" s="4" t="s">
        <v>1674</v>
      </c>
      <c r="B1468" s="6">
        <v>45349</v>
      </c>
      <c r="C1468" s="4">
        <v>2024</v>
      </c>
      <c r="D1468" s="4">
        <v>2</v>
      </c>
      <c r="E1468" s="4" t="s">
        <v>70</v>
      </c>
      <c r="F1468" s="4" t="s">
        <v>5</v>
      </c>
      <c r="G1468" s="4" t="s">
        <v>9</v>
      </c>
      <c r="H1468" s="4" t="s">
        <v>64</v>
      </c>
      <c r="I1468" s="4" t="s">
        <v>7</v>
      </c>
      <c r="J1468" s="4" t="s">
        <v>319</v>
      </c>
      <c r="K1468" s="4">
        <v>7</v>
      </c>
      <c r="L1468" s="5">
        <v>59.03</v>
      </c>
      <c r="M1468" s="5">
        <v>413.21</v>
      </c>
      <c r="N1468" s="5">
        <v>210</v>
      </c>
      <c r="O1468" s="5">
        <v>203.21</v>
      </c>
      <c r="P1468" s="4">
        <f>--AND(OR(Dashboard!$A$10="All",C1468=Dashboard!$A$10),OR(Dashboard!$A$14="All",F1468=Dashboard!$A$14),OR(Dashboard!$A$18="All",G1468=Dashboard!$A$18),OR(Dashboard!$A$22="All",I1468=Dashboard!$A$22))</f>
        <v>1</v>
      </c>
    </row>
    <row r="1469" spans="1:16" ht="15.75" customHeight="1">
      <c r="A1469" s="4" t="s">
        <v>1675</v>
      </c>
      <c r="B1469" s="6">
        <v>45694</v>
      </c>
      <c r="C1469" s="4">
        <v>2025</v>
      </c>
      <c r="D1469" s="4">
        <v>2</v>
      </c>
      <c r="E1469" s="4" t="s">
        <v>70</v>
      </c>
      <c r="F1469" s="4" t="s">
        <v>5</v>
      </c>
      <c r="G1469" s="4" t="s">
        <v>9</v>
      </c>
      <c r="H1469" s="4" t="s">
        <v>35</v>
      </c>
      <c r="I1469" s="4" t="s">
        <v>10</v>
      </c>
      <c r="J1469" s="4" t="s">
        <v>226</v>
      </c>
      <c r="K1469" s="4">
        <v>1</v>
      </c>
      <c r="L1469" s="5">
        <v>60.04</v>
      </c>
      <c r="M1469" s="5">
        <v>60.04</v>
      </c>
      <c r="N1469" s="5">
        <v>29.46</v>
      </c>
      <c r="O1469" s="5">
        <v>30.58</v>
      </c>
      <c r="P1469" s="4">
        <f>--AND(OR(Dashboard!$A$10="All",C1469=Dashboard!$A$10),OR(Dashboard!$A$14="All",F1469=Dashboard!$A$14),OR(Dashboard!$A$18="All",G1469=Dashboard!$A$18),OR(Dashboard!$A$22="All",I1469=Dashboard!$A$22))</f>
        <v>1</v>
      </c>
    </row>
    <row r="1470" spans="1:16" ht="15.75" customHeight="1">
      <c r="A1470" s="4" t="s">
        <v>1676</v>
      </c>
      <c r="B1470" s="6">
        <v>45538</v>
      </c>
      <c r="C1470" s="4">
        <v>2024</v>
      </c>
      <c r="D1470" s="4">
        <v>9</v>
      </c>
      <c r="E1470" s="4" t="s">
        <v>79</v>
      </c>
      <c r="F1470" s="4" t="s">
        <v>11</v>
      </c>
      <c r="G1470" s="4" t="s">
        <v>6</v>
      </c>
      <c r="H1470" s="4" t="s">
        <v>136</v>
      </c>
      <c r="I1470" s="4" t="s">
        <v>7</v>
      </c>
      <c r="J1470" s="4" t="s">
        <v>263</v>
      </c>
      <c r="K1470" s="4">
        <v>5</v>
      </c>
      <c r="L1470" s="5">
        <v>209.03</v>
      </c>
      <c r="M1470" s="5">
        <v>1045.1500000000001</v>
      </c>
      <c r="N1470" s="5">
        <v>715.31</v>
      </c>
      <c r="O1470" s="5">
        <v>329.84</v>
      </c>
      <c r="P1470" s="4">
        <f>--AND(OR(Dashboard!$A$10="All",C1470=Dashboard!$A$10),OR(Dashboard!$A$14="All",F1470=Dashboard!$A$14),OR(Dashboard!$A$18="All",G1470=Dashboard!$A$18),OR(Dashboard!$A$22="All",I1470=Dashboard!$A$22))</f>
        <v>1</v>
      </c>
    </row>
    <row r="1471" spans="1:16" ht="15.75" customHeight="1">
      <c r="A1471" s="4" t="s">
        <v>1677</v>
      </c>
      <c r="B1471" s="6">
        <v>45889</v>
      </c>
      <c r="C1471" s="4">
        <v>2025</v>
      </c>
      <c r="D1471" s="4">
        <v>8</v>
      </c>
      <c r="E1471" s="4" t="s">
        <v>67</v>
      </c>
      <c r="F1471" s="4" t="s">
        <v>5</v>
      </c>
      <c r="G1471" s="4" t="s">
        <v>12</v>
      </c>
      <c r="H1471" s="4" t="s">
        <v>58</v>
      </c>
      <c r="I1471" s="4" t="s">
        <v>10</v>
      </c>
      <c r="J1471" s="4" t="s">
        <v>184</v>
      </c>
      <c r="K1471" s="4">
        <v>2</v>
      </c>
      <c r="L1471" s="5">
        <v>236.78</v>
      </c>
      <c r="M1471" s="5">
        <v>473.56</v>
      </c>
      <c r="N1471" s="5">
        <v>270.85000000000002</v>
      </c>
      <c r="O1471" s="5">
        <v>202.71</v>
      </c>
      <c r="P1471" s="4">
        <f>--AND(OR(Dashboard!$A$10="All",C1471=Dashboard!$A$10),OR(Dashboard!$A$14="All",F1471=Dashboard!$A$14),OR(Dashboard!$A$18="All",G1471=Dashboard!$A$18),OR(Dashboard!$A$22="All",I1471=Dashboard!$A$22))</f>
        <v>1</v>
      </c>
    </row>
    <row r="1472" spans="1:16" ht="15.75" customHeight="1">
      <c r="A1472" s="4" t="s">
        <v>1678</v>
      </c>
      <c r="B1472" s="6">
        <v>45955</v>
      </c>
      <c r="C1472" s="4">
        <v>2025</v>
      </c>
      <c r="D1472" s="4">
        <v>10</v>
      </c>
      <c r="E1472" s="4" t="s">
        <v>120</v>
      </c>
      <c r="F1472" s="4" t="s">
        <v>5</v>
      </c>
      <c r="G1472" s="4" t="s">
        <v>9</v>
      </c>
      <c r="H1472" s="4" t="s">
        <v>35</v>
      </c>
      <c r="I1472" s="4" t="s">
        <v>7</v>
      </c>
      <c r="J1472" s="4" t="s">
        <v>301</v>
      </c>
      <c r="K1472" s="4">
        <v>2</v>
      </c>
      <c r="L1472" s="5">
        <v>35.79</v>
      </c>
      <c r="M1472" s="5">
        <v>71.58</v>
      </c>
      <c r="N1472" s="5">
        <v>35.03</v>
      </c>
      <c r="O1472" s="5">
        <v>36.549999999999997</v>
      </c>
      <c r="P1472" s="4">
        <f>--AND(OR(Dashboard!$A$10="All",C1472=Dashboard!$A$10),OR(Dashboard!$A$14="All",F1472=Dashboard!$A$14),OR(Dashboard!$A$18="All",G1472=Dashboard!$A$18),OR(Dashboard!$A$22="All",I1472=Dashboard!$A$22))</f>
        <v>1</v>
      </c>
    </row>
    <row r="1473" spans="1:16" ht="15.75" customHeight="1">
      <c r="A1473" s="4" t="s">
        <v>1679</v>
      </c>
      <c r="B1473" s="6">
        <v>45617</v>
      </c>
      <c r="C1473" s="4">
        <v>2024</v>
      </c>
      <c r="D1473" s="4">
        <v>11</v>
      </c>
      <c r="E1473" s="4" t="s">
        <v>89</v>
      </c>
      <c r="F1473" s="4" t="s">
        <v>8</v>
      </c>
      <c r="G1473" s="4" t="s">
        <v>6</v>
      </c>
      <c r="H1473" s="4" t="s">
        <v>136</v>
      </c>
      <c r="I1473" s="4" t="s">
        <v>7</v>
      </c>
      <c r="J1473" s="4" t="s">
        <v>166</v>
      </c>
      <c r="K1473" s="4">
        <v>1</v>
      </c>
      <c r="L1473" s="5">
        <v>83.31</v>
      </c>
      <c r="M1473" s="5">
        <v>83.31</v>
      </c>
      <c r="N1473" s="5">
        <v>53.2</v>
      </c>
      <c r="O1473" s="5">
        <v>30.11</v>
      </c>
      <c r="P1473" s="4">
        <f>--AND(OR(Dashboard!$A$10="All",C1473=Dashboard!$A$10),OR(Dashboard!$A$14="All",F1473=Dashboard!$A$14),OR(Dashboard!$A$18="All",G1473=Dashboard!$A$18),OR(Dashboard!$A$22="All",I1473=Dashboard!$A$22))</f>
        <v>1</v>
      </c>
    </row>
    <row r="1474" spans="1:16" ht="15.75" customHeight="1">
      <c r="A1474" s="4" t="s">
        <v>1680</v>
      </c>
      <c r="B1474" s="6">
        <v>45526</v>
      </c>
      <c r="C1474" s="4">
        <v>2024</v>
      </c>
      <c r="D1474" s="4">
        <v>8</v>
      </c>
      <c r="E1474" s="4" t="s">
        <v>67</v>
      </c>
      <c r="F1474" s="4" t="s">
        <v>11</v>
      </c>
      <c r="G1474" s="4" t="s">
        <v>12</v>
      </c>
      <c r="H1474" s="4" t="s">
        <v>58</v>
      </c>
      <c r="I1474" s="4" t="s">
        <v>7</v>
      </c>
      <c r="J1474" s="4" t="s">
        <v>153</v>
      </c>
      <c r="K1474" s="4">
        <v>3</v>
      </c>
      <c r="L1474" s="5">
        <v>189.05</v>
      </c>
      <c r="M1474" s="5">
        <v>567.15</v>
      </c>
      <c r="N1474" s="5">
        <v>354.68</v>
      </c>
      <c r="O1474" s="5">
        <v>212.47</v>
      </c>
      <c r="P1474" s="4">
        <f>--AND(OR(Dashboard!$A$10="All",C1474=Dashboard!$A$10),OR(Dashboard!$A$14="All",F1474=Dashboard!$A$14),OR(Dashboard!$A$18="All",G1474=Dashboard!$A$18),OR(Dashboard!$A$22="All",I1474=Dashboard!$A$22))</f>
        <v>1</v>
      </c>
    </row>
    <row r="1475" spans="1:16" ht="15.75" customHeight="1">
      <c r="A1475" s="4" t="s">
        <v>1681</v>
      </c>
      <c r="B1475" s="6">
        <v>45894</v>
      </c>
      <c r="C1475" s="4">
        <v>2025</v>
      </c>
      <c r="D1475" s="4">
        <v>8</v>
      </c>
      <c r="E1475" s="4" t="s">
        <v>67</v>
      </c>
      <c r="F1475" s="4" t="s">
        <v>5</v>
      </c>
      <c r="G1475" s="4" t="s">
        <v>12</v>
      </c>
      <c r="H1475" s="4" t="s">
        <v>124</v>
      </c>
      <c r="I1475" s="4" t="s">
        <v>7</v>
      </c>
      <c r="J1475" s="4" t="s">
        <v>94</v>
      </c>
      <c r="K1475" s="4">
        <v>6</v>
      </c>
      <c r="L1475" s="5">
        <v>325.23</v>
      </c>
      <c r="M1475" s="5">
        <v>1951.38</v>
      </c>
      <c r="N1475" s="5">
        <v>1195.77</v>
      </c>
      <c r="O1475" s="5">
        <v>755.61</v>
      </c>
      <c r="P1475" s="4">
        <f>--AND(OR(Dashboard!$A$10="All",C1475=Dashboard!$A$10),OR(Dashboard!$A$14="All",F1475=Dashboard!$A$14),OR(Dashboard!$A$18="All",G1475=Dashboard!$A$18),OR(Dashboard!$A$22="All",I1475=Dashboard!$A$22))</f>
        <v>1</v>
      </c>
    </row>
    <row r="1476" spans="1:16" ht="15.75" customHeight="1">
      <c r="A1476" s="4" t="s">
        <v>1682</v>
      </c>
      <c r="B1476" s="6">
        <v>45359</v>
      </c>
      <c r="C1476" s="4">
        <v>2024</v>
      </c>
      <c r="D1476" s="4">
        <v>3</v>
      </c>
      <c r="E1476" s="4" t="s">
        <v>100</v>
      </c>
      <c r="F1476" s="4" t="s">
        <v>5</v>
      </c>
      <c r="G1476" s="4" t="s">
        <v>9</v>
      </c>
      <c r="H1476" s="4" t="s">
        <v>110</v>
      </c>
      <c r="I1476" s="4" t="s">
        <v>7</v>
      </c>
      <c r="J1476" s="4" t="s">
        <v>121</v>
      </c>
      <c r="K1476" s="4">
        <v>2</v>
      </c>
      <c r="L1476" s="5">
        <v>55.43</v>
      </c>
      <c r="M1476" s="5">
        <v>110.86</v>
      </c>
      <c r="N1476" s="5">
        <v>56.95</v>
      </c>
      <c r="O1476" s="5">
        <v>53.91</v>
      </c>
      <c r="P1476" s="4">
        <f>--AND(OR(Dashboard!$A$10="All",C1476=Dashboard!$A$10),OR(Dashboard!$A$14="All",F1476=Dashboard!$A$14),OR(Dashboard!$A$18="All",G1476=Dashboard!$A$18),OR(Dashboard!$A$22="All",I1476=Dashboard!$A$22))</f>
        <v>1</v>
      </c>
    </row>
    <row r="1477" spans="1:16" ht="15.75" customHeight="1">
      <c r="A1477" s="4" t="s">
        <v>1683</v>
      </c>
      <c r="B1477" s="6">
        <v>45381</v>
      </c>
      <c r="C1477" s="4">
        <v>2024</v>
      </c>
      <c r="D1477" s="4">
        <v>3</v>
      </c>
      <c r="E1477" s="4" t="s">
        <v>100</v>
      </c>
      <c r="F1477" s="4" t="s">
        <v>5</v>
      </c>
      <c r="G1477" s="4" t="s">
        <v>12</v>
      </c>
      <c r="H1477" s="4" t="s">
        <v>124</v>
      </c>
      <c r="I1477" s="4" t="s">
        <v>10</v>
      </c>
      <c r="J1477" s="4" t="s">
        <v>292</v>
      </c>
      <c r="K1477" s="4">
        <v>2</v>
      </c>
      <c r="L1477" s="5">
        <v>188.35</v>
      </c>
      <c r="M1477" s="5">
        <v>376.7</v>
      </c>
      <c r="N1477" s="5">
        <v>236.89</v>
      </c>
      <c r="O1477" s="5">
        <v>139.81</v>
      </c>
      <c r="P1477" s="4">
        <f>--AND(OR(Dashboard!$A$10="All",C1477=Dashboard!$A$10),OR(Dashboard!$A$14="All",F1477=Dashboard!$A$14),OR(Dashboard!$A$18="All",G1477=Dashboard!$A$18),OR(Dashboard!$A$22="All",I1477=Dashboard!$A$22))</f>
        <v>1</v>
      </c>
    </row>
    <row r="1478" spans="1:16" ht="15.75" customHeight="1">
      <c r="A1478" s="4" t="s">
        <v>1684</v>
      </c>
      <c r="B1478" s="6">
        <v>45320</v>
      </c>
      <c r="C1478" s="4">
        <v>2024</v>
      </c>
      <c r="D1478" s="4">
        <v>1</v>
      </c>
      <c r="E1478" s="4" t="s">
        <v>30</v>
      </c>
      <c r="F1478" s="4" t="s">
        <v>5</v>
      </c>
      <c r="G1478" s="4" t="s">
        <v>12</v>
      </c>
      <c r="H1478" s="4" t="s">
        <v>127</v>
      </c>
      <c r="I1478" s="4" t="s">
        <v>7</v>
      </c>
      <c r="J1478" s="4" t="s">
        <v>37</v>
      </c>
      <c r="K1478" s="4">
        <v>1</v>
      </c>
      <c r="L1478" s="5">
        <v>133.63999999999999</v>
      </c>
      <c r="M1478" s="5">
        <v>133.63999999999999</v>
      </c>
      <c r="N1478" s="5">
        <v>76.38</v>
      </c>
      <c r="O1478" s="5">
        <v>57.26</v>
      </c>
      <c r="P1478" s="4">
        <f>--AND(OR(Dashboard!$A$10="All",C1478=Dashboard!$A$10),OR(Dashboard!$A$14="All",F1478=Dashboard!$A$14),OR(Dashboard!$A$18="All",G1478=Dashboard!$A$18),OR(Dashboard!$A$22="All",I1478=Dashboard!$A$22))</f>
        <v>1</v>
      </c>
    </row>
    <row r="1479" spans="1:16" ht="15.75" customHeight="1">
      <c r="A1479" s="4" t="s">
        <v>1685</v>
      </c>
      <c r="B1479" s="6">
        <v>45669</v>
      </c>
      <c r="C1479" s="4">
        <v>2025</v>
      </c>
      <c r="D1479" s="4">
        <v>1</v>
      </c>
      <c r="E1479" s="4" t="s">
        <v>30</v>
      </c>
      <c r="F1479" s="4" t="s">
        <v>14</v>
      </c>
      <c r="G1479" s="4" t="s">
        <v>6</v>
      </c>
      <c r="H1479" s="4" t="s">
        <v>80</v>
      </c>
      <c r="I1479" s="4" t="s">
        <v>7</v>
      </c>
      <c r="J1479" s="4" t="s">
        <v>393</v>
      </c>
      <c r="K1479" s="4">
        <v>1</v>
      </c>
      <c r="L1479" s="5">
        <v>98.06</v>
      </c>
      <c r="M1479" s="5">
        <v>98.06</v>
      </c>
      <c r="N1479" s="5">
        <v>63</v>
      </c>
      <c r="O1479" s="5">
        <v>35.06</v>
      </c>
      <c r="P1479" s="4">
        <f>--AND(OR(Dashboard!$A$10="All",C1479=Dashboard!$A$10),OR(Dashboard!$A$14="All",F1479=Dashboard!$A$14),OR(Dashboard!$A$18="All",G1479=Dashboard!$A$18),OR(Dashboard!$A$22="All",I1479=Dashboard!$A$22))</f>
        <v>1</v>
      </c>
    </row>
    <row r="1480" spans="1:16" ht="15.75" customHeight="1">
      <c r="A1480" s="4" t="s">
        <v>1686</v>
      </c>
      <c r="B1480" s="6">
        <v>45421</v>
      </c>
      <c r="C1480" s="4">
        <v>2024</v>
      </c>
      <c r="D1480" s="4">
        <v>5</v>
      </c>
      <c r="E1480" s="4" t="s">
        <v>108</v>
      </c>
      <c r="F1480" s="4" t="s">
        <v>11</v>
      </c>
      <c r="G1480" s="4" t="s">
        <v>12</v>
      </c>
      <c r="H1480" s="4" t="s">
        <v>92</v>
      </c>
      <c r="I1480" s="4" t="s">
        <v>7</v>
      </c>
      <c r="J1480" s="4" t="s">
        <v>72</v>
      </c>
      <c r="K1480" s="4">
        <v>6</v>
      </c>
      <c r="L1480" s="5">
        <v>120.94</v>
      </c>
      <c r="M1480" s="5">
        <v>725.64</v>
      </c>
      <c r="N1480" s="5">
        <v>455.61</v>
      </c>
      <c r="O1480" s="5">
        <v>270.02999999999997</v>
      </c>
      <c r="P1480" s="4">
        <f>--AND(OR(Dashboard!$A$10="All",C1480=Dashboard!$A$10),OR(Dashboard!$A$14="All",F1480=Dashboard!$A$14),OR(Dashboard!$A$18="All",G1480=Dashboard!$A$18),OR(Dashboard!$A$22="All",I1480=Dashboard!$A$22))</f>
        <v>1</v>
      </c>
    </row>
    <row r="1481" spans="1:16" ht="15.75" customHeight="1">
      <c r="A1481" s="4" t="s">
        <v>1687</v>
      </c>
      <c r="B1481" s="6">
        <v>45569</v>
      </c>
      <c r="C1481" s="4">
        <v>2024</v>
      </c>
      <c r="D1481" s="4">
        <v>10</v>
      </c>
      <c r="E1481" s="4" t="s">
        <v>120</v>
      </c>
      <c r="F1481" s="4" t="s">
        <v>5</v>
      </c>
      <c r="G1481" s="4" t="s">
        <v>9</v>
      </c>
      <c r="H1481" s="4" t="s">
        <v>71</v>
      </c>
      <c r="I1481" s="4" t="s">
        <v>7</v>
      </c>
      <c r="J1481" s="4" t="s">
        <v>255</v>
      </c>
      <c r="K1481" s="4">
        <v>1</v>
      </c>
      <c r="L1481" s="5">
        <v>60.05</v>
      </c>
      <c r="M1481" s="5">
        <v>60.05</v>
      </c>
      <c r="N1481" s="5">
        <v>30.75</v>
      </c>
      <c r="O1481" s="5">
        <v>29.3</v>
      </c>
      <c r="P1481" s="4">
        <f>--AND(OR(Dashboard!$A$10="All",C1481=Dashboard!$A$10),OR(Dashboard!$A$14="All",F1481=Dashboard!$A$14),OR(Dashboard!$A$18="All",G1481=Dashboard!$A$18),OR(Dashboard!$A$22="All",I1481=Dashboard!$A$22))</f>
        <v>1</v>
      </c>
    </row>
    <row r="1482" spans="1:16" ht="15.75" customHeight="1">
      <c r="A1482" s="4" t="s">
        <v>1688</v>
      </c>
      <c r="B1482" s="6">
        <v>45785</v>
      </c>
      <c r="C1482" s="4">
        <v>2025</v>
      </c>
      <c r="D1482" s="4">
        <v>5</v>
      </c>
      <c r="E1482" s="4" t="s">
        <v>108</v>
      </c>
      <c r="F1482" s="4" t="s">
        <v>5</v>
      </c>
      <c r="G1482" s="4" t="s">
        <v>6</v>
      </c>
      <c r="H1482" s="4" t="s">
        <v>98</v>
      </c>
      <c r="I1482" s="4" t="s">
        <v>7</v>
      </c>
      <c r="J1482" s="4" t="s">
        <v>299</v>
      </c>
      <c r="K1482" s="4">
        <v>1</v>
      </c>
      <c r="L1482" s="5">
        <v>124.48</v>
      </c>
      <c r="M1482" s="5">
        <v>124.48</v>
      </c>
      <c r="N1482" s="5">
        <v>84.44</v>
      </c>
      <c r="O1482" s="5">
        <v>40.04</v>
      </c>
      <c r="P1482" s="4">
        <f>--AND(OR(Dashboard!$A$10="All",C1482=Dashboard!$A$10),OR(Dashboard!$A$14="All",F1482=Dashboard!$A$14),OR(Dashboard!$A$18="All",G1482=Dashboard!$A$18),OR(Dashboard!$A$22="All",I1482=Dashboard!$A$22))</f>
        <v>1</v>
      </c>
    </row>
    <row r="1483" spans="1:16" ht="15.75" customHeight="1">
      <c r="A1483" s="4" t="s">
        <v>1689</v>
      </c>
      <c r="B1483" s="6">
        <v>45679</v>
      </c>
      <c r="C1483" s="4">
        <v>2025</v>
      </c>
      <c r="D1483" s="4">
        <v>1</v>
      </c>
      <c r="E1483" s="4" t="s">
        <v>30</v>
      </c>
      <c r="F1483" s="4" t="s">
        <v>5</v>
      </c>
      <c r="G1483" s="4" t="s">
        <v>6</v>
      </c>
      <c r="H1483" s="4" t="s">
        <v>136</v>
      </c>
      <c r="I1483" s="4" t="s">
        <v>7</v>
      </c>
      <c r="J1483" s="4" t="s">
        <v>55</v>
      </c>
      <c r="K1483" s="4">
        <v>1</v>
      </c>
      <c r="L1483" s="5">
        <v>90.03</v>
      </c>
      <c r="M1483" s="5">
        <v>90.03</v>
      </c>
      <c r="N1483" s="5">
        <v>60.83</v>
      </c>
      <c r="O1483" s="5">
        <v>29.2</v>
      </c>
      <c r="P1483" s="4">
        <f>--AND(OR(Dashboard!$A$10="All",C1483=Dashboard!$A$10),OR(Dashboard!$A$14="All",F1483=Dashboard!$A$14),OR(Dashboard!$A$18="All",G1483=Dashboard!$A$18),OR(Dashboard!$A$22="All",I1483=Dashboard!$A$22))</f>
        <v>1</v>
      </c>
    </row>
    <row r="1484" spans="1:16" ht="15.75" customHeight="1">
      <c r="A1484" s="4" t="s">
        <v>1690</v>
      </c>
      <c r="B1484" s="6">
        <v>45599</v>
      </c>
      <c r="C1484" s="4">
        <v>2024</v>
      </c>
      <c r="D1484" s="4">
        <v>11</v>
      </c>
      <c r="E1484" s="4" t="s">
        <v>89</v>
      </c>
      <c r="F1484" s="4" t="s">
        <v>8</v>
      </c>
      <c r="G1484" s="4" t="s">
        <v>12</v>
      </c>
      <c r="H1484" s="4" t="s">
        <v>86</v>
      </c>
      <c r="I1484" s="4" t="s">
        <v>7</v>
      </c>
      <c r="J1484" s="4" t="s">
        <v>402</v>
      </c>
      <c r="K1484" s="4">
        <v>5</v>
      </c>
      <c r="L1484" s="5">
        <v>202.26</v>
      </c>
      <c r="M1484" s="5">
        <v>1011.3</v>
      </c>
      <c r="N1484" s="5">
        <v>607.20000000000005</v>
      </c>
      <c r="O1484" s="5">
        <v>404.1</v>
      </c>
      <c r="P1484" s="4">
        <f>--AND(OR(Dashboard!$A$10="All",C1484=Dashboard!$A$10),OR(Dashboard!$A$14="All",F1484=Dashboard!$A$14),OR(Dashboard!$A$18="All",G1484=Dashboard!$A$18),OR(Dashboard!$A$22="All",I1484=Dashboard!$A$22))</f>
        <v>1</v>
      </c>
    </row>
    <row r="1485" spans="1:16" ht="15.75" customHeight="1">
      <c r="A1485" s="4" t="s">
        <v>1691</v>
      </c>
      <c r="B1485" s="6">
        <v>45454</v>
      </c>
      <c r="C1485" s="4">
        <v>2024</v>
      </c>
      <c r="D1485" s="4">
        <v>6</v>
      </c>
      <c r="E1485" s="4" t="s">
        <v>34</v>
      </c>
      <c r="F1485" s="4" t="s">
        <v>14</v>
      </c>
      <c r="G1485" s="4" t="s">
        <v>6</v>
      </c>
      <c r="H1485" s="4" t="s">
        <v>80</v>
      </c>
      <c r="I1485" s="4" t="s">
        <v>10</v>
      </c>
      <c r="J1485" s="4" t="s">
        <v>249</v>
      </c>
      <c r="K1485" s="4">
        <v>3</v>
      </c>
      <c r="L1485" s="5">
        <v>157.09</v>
      </c>
      <c r="M1485" s="5">
        <v>471.27</v>
      </c>
      <c r="N1485" s="5">
        <v>321.68</v>
      </c>
      <c r="O1485" s="5">
        <v>149.59</v>
      </c>
      <c r="P1485" s="4">
        <f>--AND(OR(Dashboard!$A$10="All",C1485=Dashboard!$A$10),OR(Dashboard!$A$14="All",F1485=Dashboard!$A$14),OR(Dashboard!$A$18="All",G1485=Dashboard!$A$18),OR(Dashboard!$A$22="All",I1485=Dashboard!$A$22))</f>
        <v>1</v>
      </c>
    </row>
    <row r="1486" spans="1:16" ht="15.75" customHeight="1">
      <c r="A1486" s="4" t="s">
        <v>1692</v>
      </c>
      <c r="B1486" s="6">
        <v>45695</v>
      </c>
      <c r="C1486" s="4">
        <v>2025</v>
      </c>
      <c r="D1486" s="4">
        <v>2</v>
      </c>
      <c r="E1486" s="4" t="s">
        <v>70</v>
      </c>
      <c r="F1486" s="4" t="s">
        <v>8</v>
      </c>
      <c r="G1486" s="4" t="s">
        <v>6</v>
      </c>
      <c r="H1486" s="4" t="s">
        <v>54</v>
      </c>
      <c r="I1486" s="4" t="s">
        <v>13</v>
      </c>
      <c r="J1486" s="4" t="s">
        <v>297</v>
      </c>
      <c r="K1486" s="4">
        <v>1</v>
      </c>
      <c r="L1486" s="5">
        <v>100.64</v>
      </c>
      <c r="M1486" s="5">
        <v>100.64</v>
      </c>
      <c r="N1486" s="5">
        <v>65.77</v>
      </c>
      <c r="O1486" s="5">
        <v>34.869999999999997</v>
      </c>
      <c r="P1486" s="4">
        <f>--AND(OR(Dashboard!$A$10="All",C1486=Dashboard!$A$10),OR(Dashboard!$A$14="All",F1486=Dashboard!$A$14),OR(Dashboard!$A$18="All",G1486=Dashboard!$A$18),OR(Dashboard!$A$22="All",I1486=Dashboard!$A$22))</f>
        <v>1</v>
      </c>
    </row>
    <row r="1487" spans="1:16" ht="15.75" customHeight="1">
      <c r="A1487" s="4" t="s">
        <v>1693</v>
      </c>
      <c r="B1487" s="6">
        <v>45521</v>
      </c>
      <c r="C1487" s="4">
        <v>2024</v>
      </c>
      <c r="D1487" s="4">
        <v>8</v>
      </c>
      <c r="E1487" s="4" t="s">
        <v>67</v>
      </c>
      <c r="F1487" s="4" t="s">
        <v>11</v>
      </c>
      <c r="G1487" s="4" t="s">
        <v>9</v>
      </c>
      <c r="H1487" s="4" t="s">
        <v>142</v>
      </c>
      <c r="I1487" s="4" t="s">
        <v>7</v>
      </c>
      <c r="J1487" s="4" t="s">
        <v>205</v>
      </c>
      <c r="K1487" s="4">
        <v>1</v>
      </c>
      <c r="L1487" s="5">
        <v>40.630000000000003</v>
      </c>
      <c r="M1487" s="5">
        <v>40.630000000000003</v>
      </c>
      <c r="N1487" s="5">
        <v>20.85</v>
      </c>
      <c r="O1487" s="5">
        <v>19.78</v>
      </c>
      <c r="P1487" s="4">
        <f>--AND(OR(Dashboard!$A$10="All",C1487=Dashboard!$A$10),OR(Dashboard!$A$14="All",F1487=Dashboard!$A$14),OR(Dashboard!$A$18="All",G1487=Dashboard!$A$18),OR(Dashboard!$A$22="All",I1487=Dashboard!$A$22))</f>
        <v>1</v>
      </c>
    </row>
    <row r="1488" spans="1:16" ht="15.75" customHeight="1">
      <c r="A1488" s="4" t="s">
        <v>1694</v>
      </c>
      <c r="B1488" s="6">
        <v>45554</v>
      </c>
      <c r="C1488" s="4">
        <v>2024</v>
      </c>
      <c r="D1488" s="4">
        <v>9</v>
      </c>
      <c r="E1488" s="4" t="s">
        <v>79</v>
      </c>
      <c r="F1488" s="4" t="s">
        <v>5</v>
      </c>
      <c r="G1488" s="4" t="s">
        <v>6</v>
      </c>
      <c r="H1488" s="4" t="s">
        <v>98</v>
      </c>
      <c r="I1488" s="4" t="s">
        <v>7</v>
      </c>
      <c r="J1488" s="4" t="s">
        <v>37</v>
      </c>
      <c r="K1488" s="4">
        <v>3</v>
      </c>
      <c r="L1488" s="5">
        <v>132.13</v>
      </c>
      <c r="M1488" s="5">
        <v>396.39</v>
      </c>
      <c r="N1488" s="5">
        <v>272.83</v>
      </c>
      <c r="O1488" s="5">
        <v>123.56</v>
      </c>
      <c r="P1488" s="4">
        <f>--AND(OR(Dashboard!$A$10="All",C1488=Dashboard!$A$10),OR(Dashboard!$A$14="All",F1488=Dashboard!$A$14),OR(Dashboard!$A$18="All",G1488=Dashboard!$A$18),OR(Dashboard!$A$22="All",I1488=Dashboard!$A$22))</f>
        <v>1</v>
      </c>
    </row>
    <row r="1489" spans="1:16" ht="15.75" customHeight="1">
      <c r="A1489" s="4" t="s">
        <v>1695</v>
      </c>
      <c r="B1489" s="6">
        <v>45435</v>
      </c>
      <c r="C1489" s="4">
        <v>2024</v>
      </c>
      <c r="D1489" s="4">
        <v>5</v>
      </c>
      <c r="E1489" s="4" t="s">
        <v>108</v>
      </c>
      <c r="F1489" s="4" t="s">
        <v>11</v>
      </c>
      <c r="G1489" s="4" t="s">
        <v>12</v>
      </c>
      <c r="H1489" s="4" t="s">
        <v>127</v>
      </c>
      <c r="I1489" s="4" t="s">
        <v>13</v>
      </c>
      <c r="J1489" s="4" t="s">
        <v>159</v>
      </c>
      <c r="K1489" s="4">
        <v>6</v>
      </c>
      <c r="L1489" s="5">
        <v>285.45</v>
      </c>
      <c r="M1489" s="5">
        <v>1712.7</v>
      </c>
      <c r="N1489" s="5">
        <v>1011.55</v>
      </c>
      <c r="O1489" s="5">
        <v>701.15</v>
      </c>
      <c r="P1489" s="4">
        <f>--AND(OR(Dashboard!$A$10="All",C1489=Dashboard!$A$10),OR(Dashboard!$A$14="All",F1489=Dashboard!$A$14),OR(Dashboard!$A$18="All",G1489=Dashboard!$A$18),OR(Dashboard!$A$22="All",I1489=Dashboard!$A$22))</f>
        <v>1</v>
      </c>
    </row>
    <row r="1490" spans="1:16" ht="15.75" customHeight="1">
      <c r="A1490" s="4" t="s">
        <v>1696</v>
      </c>
      <c r="B1490" s="6">
        <v>45855</v>
      </c>
      <c r="C1490" s="4">
        <v>2025</v>
      </c>
      <c r="D1490" s="4">
        <v>7</v>
      </c>
      <c r="E1490" s="4" t="s">
        <v>63</v>
      </c>
      <c r="F1490" s="4" t="s">
        <v>5</v>
      </c>
      <c r="G1490" s="4" t="s">
        <v>12</v>
      </c>
      <c r="H1490" s="4" t="s">
        <v>124</v>
      </c>
      <c r="I1490" s="4" t="s">
        <v>10</v>
      </c>
      <c r="J1490" s="4" t="s">
        <v>485</v>
      </c>
      <c r="K1490" s="4">
        <v>4</v>
      </c>
      <c r="L1490" s="5">
        <v>147.59</v>
      </c>
      <c r="M1490" s="5">
        <v>590.36</v>
      </c>
      <c r="N1490" s="5">
        <v>353.7</v>
      </c>
      <c r="O1490" s="5">
        <v>236.66</v>
      </c>
      <c r="P1490" s="4">
        <f>--AND(OR(Dashboard!$A$10="All",C1490=Dashboard!$A$10),OR(Dashboard!$A$14="All",F1490=Dashboard!$A$14),OR(Dashboard!$A$18="All",G1490=Dashboard!$A$18),OR(Dashboard!$A$22="All",I1490=Dashboard!$A$22))</f>
        <v>1</v>
      </c>
    </row>
    <row r="1491" spans="1:16" ht="15.75" customHeight="1">
      <c r="A1491" s="4" t="s">
        <v>1697</v>
      </c>
      <c r="B1491" s="6">
        <v>45531</v>
      </c>
      <c r="C1491" s="4">
        <v>2024</v>
      </c>
      <c r="D1491" s="4">
        <v>8</v>
      </c>
      <c r="E1491" s="4" t="s">
        <v>67</v>
      </c>
      <c r="F1491" s="4" t="s">
        <v>5</v>
      </c>
      <c r="G1491" s="4" t="s">
        <v>6</v>
      </c>
      <c r="H1491" s="4" t="s">
        <v>80</v>
      </c>
      <c r="I1491" s="4" t="s">
        <v>13</v>
      </c>
      <c r="J1491" s="4" t="s">
        <v>485</v>
      </c>
      <c r="K1491" s="4">
        <v>1</v>
      </c>
      <c r="L1491" s="5">
        <v>210.78</v>
      </c>
      <c r="M1491" s="5">
        <v>210.78</v>
      </c>
      <c r="N1491" s="5">
        <v>137.13</v>
      </c>
      <c r="O1491" s="5">
        <v>73.650000000000006</v>
      </c>
      <c r="P1491" s="4">
        <f>--AND(OR(Dashboard!$A$10="All",C1491=Dashboard!$A$10),OR(Dashboard!$A$14="All",F1491=Dashboard!$A$14),OR(Dashboard!$A$18="All",G1491=Dashboard!$A$18),OR(Dashboard!$A$22="All",I1491=Dashboard!$A$22))</f>
        <v>1</v>
      </c>
    </row>
    <row r="1492" spans="1:16" ht="15.75" customHeight="1">
      <c r="A1492" s="4" t="s">
        <v>1698</v>
      </c>
      <c r="B1492" s="6">
        <v>45931</v>
      </c>
      <c r="C1492" s="4">
        <v>2025</v>
      </c>
      <c r="D1492" s="4">
        <v>10</v>
      </c>
      <c r="E1492" s="4" t="s">
        <v>120</v>
      </c>
      <c r="F1492" s="4" t="s">
        <v>14</v>
      </c>
      <c r="G1492" s="4" t="s">
        <v>6</v>
      </c>
      <c r="H1492" s="4" t="s">
        <v>98</v>
      </c>
      <c r="I1492" s="4" t="s">
        <v>7</v>
      </c>
      <c r="J1492" s="4" t="s">
        <v>393</v>
      </c>
      <c r="K1492" s="4">
        <v>5</v>
      </c>
      <c r="L1492" s="5">
        <v>141.52000000000001</v>
      </c>
      <c r="M1492" s="5">
        <v>707.6</v>
      </c>
      <c r="N1492" s="5">
        <v>472.03</v>
      </c>
      <c r="O1492" s="5">
        <v>235.57</v>
      </c>
      <c r="P1492" s="4">
        <f>--AND(OR(Dashboard!$A$10="All",C1492=Dashboard!$A$10),OR(Dashboard!$A$14="All",F1492=Dashboard!$A$14),OR(Dashboard!$A$18="All",G1492=Dashboard!$A$18),OR(Dashboard!$A$22="All",I1492=Dashboard!$A$22))</f>
        <v>1</v>
      </c>
    </row>
    <row r="1493" spans="1:16" ht="15.75" customHeight="1">
      <c r="A1493" s="4" t="s">
        <v>1699</v>
      </c>
      <c r="B1493" s="6">
        <v>45634</v>
      </c>
      <c r="C1493" s="4">
        <v>2024</v>
      </c>
      <c r="D1493" s="4">
        <v>12</v>
      </c>
      <c r="E1493" s="4" t="s">
        <v>57</v>
      </c>
      <c r="F1493" s="4" t="s">
        <v>11</v>
      </c>
      <c r="G1493" s="4" t="s">
        <v>12</v>
      </c>
      <c r="H1493" s="4" t="s">
        <v>92</v>
      </c>
      <c r="I1493" s="4" t="s">
        <v>7</v>
      </c>
      <c r="J1493" s="4" t="s">
        <v>311</v>
      </c>
      <c r="K1493" s="4">
        <v>2</v>
      </c>
      <c r="L1493" s="5">
        <v>131.97999999999999</v>
      </c>
      <c r="M1493" s="5">
        <v>263.95999999999998</v>
      </c>
      <c r="N1493" s="5">
        <v>159.91</v>
      </c>
      <c r="O1493" s="5">
        <v>104.05</v>
      </c>
      <c r="P1493" s="4">
        <f>--AND(OR(Dashboard!$A$10="All",C1493=Dashboard!$A$10),OR(Dashboard!$A$14="All",F1493=Dashboard!$A$14),OR(Dashboard!$A$18="All",G1493=Dashboard!$A$18),OR(Dashboard!$A$22="All",I1493=Dashboard!$A$22))</f>
        <v>1</v>
      </c>
    </row>
    <row r="1494" spans="1:16" ht="15.75" customHeight="1">
      <c r="A1494" s="4" t="s">
        <v>1700</v>
      </c>
      <c r="B1494" s="6">
        <v>45757</v>
      </c>
      <c r="C1494" s="4">
        <v>2025</v>
      </c>
      <c r="D1494" s="4">
        <v>4</v>
      </c>
      <c r="E1494" s="4" t="s">
        <v>106</v>
      </c>
      <c r="F1494" s="4" t="s">
        <v>5</v>
      </c>
      <c r="G1494" s="4" t="s">
        <v>6</v>
      </c>
      <c r="H1494" s="4" t="s">
        <v>80</v>
      </c>
      <c r="I1494" s="4" t="s">
        <v>7</v>
      </c>
      <c r="J1494" s="4" t="s">
        <v>184</v>
      </c>
      <c r="K1494" s="4">
        <v>1</v>
      </c>
      <c r="L1494" s="5">
        <v>211.77</v>
      </c>
      <c r="M1494" s="5">
        <v>211.77</v>
      </c>
      <c r="N1494" s="5">
        <v>135.01</v>
      </c>
      <c r="O1494" s="5">
        <v>76.760000000000005</v>
      </c>
      <c r="P1494" s="4">
        <f>--AND(OR(Dashboard!$A$10="All",C1494=Dashboard!$A$10),OR(Dashboard!$A$14="All",F1494=Dashboard!$A$14),OR(Dashboard!$A$18="All",G1494=Dashboard!$A$18),OR(Dashboard!$A$22="All",I1494=Dashboard!$A$22))</f>
        <v>1</v>
      </c>
    </row>
    <row r="1495" spans="1:16" ht="15.75" customHeight="1">
      <c r="A1495" s="4" t="s">
        <v>1701</v>
      </c>
      <c r="B1495" s="6">
        <v>45361</v>
      </c>
      <c r="C1495" s="4">
        <v>2024</v>
      </c>
      <c r="D1495" s="4">
        <v>3</v>
      </c>
      <c r="E1495" s="4" t="s">
        <v>100</v>
      </c>
      <c r="F1495" s="4" t="s">
        <v>5</v>
      </c>
      <c r="G1495" s="4" t="s">
        <v>12</v>
      </c>
      <c r="H1495" s="4" t="s">
        <v>86</v>
      </c>
      <c r="I1495" s="4" t="s">
        <v>10</v>
      </c>
      <c r="J1495" s="4" t="s">
        <v>205</v>
      </c>
      <c r="K1495" s="4">
        <v>9</v>
      </c>
      <c r="L1495" s="5">
        <v>231.71</v>
      </c>
      <c r="M1495" s="5">
        <v>2085.39</v>
      </c>
      <c r="N1495" s="5">
        <v>1298.54</v>
      </c>
      <c r="O1495" s="5">
        <v>786.85</v>
      </c>
      <c r="P1495" s="4">
        <f>--AND(OR(Dashboard!$A$10="All",C1495=Dashboard!$A$10),OR(Dashboard!$A$14="All",F1495=Dashboard!$A$14),OR(Dashboard!$A$18="All",G1495=Dashboard!$A$18),OR(Dashboard!$A$22="All",I1495=Dashboard!$A$22))</f>
        <v>1</v>
      </c>
    </row>
    <row r="1496" spans="1:16" ht="15.75" customHeight="1">
      <c r="A1496" s="4" t="s">
        <v>1702</v>
      </c>
      <c r="B1496" s="6">
        <v>45292</v>
      </c>
      <c r="C1496" s="4">
        <v>2024</v>
      </c>
      <c r="D1496" s="4">
        <v>1</v>
      </c>
      <c r="E1496" s="4" t="s">
        <v>30</v>
      </c>
      <c r="F1496" s="4" t="s">
        <v>14</v>
      </c>
      <c r="G1496" s="4" t="s">
        <v>12</v>
      </c>
      <c r="H1496" s="4" t="s">
        <v>124</v>
      </c>
      <c r="I1496" s="4" t="s">
        <v>10</v>
      </c>
      <c r="J1496" s="4" t="s">
        <v>104</v>
      </c>
      <c r="K1496" s="4">
        <v>1</v>
      </c>
      <c r="L1496" s="5">
        <v>260.51</v>
      </c>
      <c r="M1496" s="5">
        <v>260.51</v>
      </c>
      <c r="N1496" s="5">
        <v>157.72999999999999</v>
      </c>
      <c r="O1496" s="5">
        <v>102.78</v>
      </c>
      <c r="P1496" s="4">
        <f>--AND(OR(Dashboard!$A$10="All",C1496=Dashboard!$A$10),OR(Dashboard!$A$14="All",F1496=Dashboard!$A$14),OR(Dashboard!$A$18="All",G1496=Dashboard!$A$18),OR(Dashboard!$A$22="All",I1496=Dashboard!$A$22))</f>
        <v>1</v>
      </c>
    </row>
    <row r="1497" spans="1:16" ht="15.75" customHeight="1">
      <c r="A1497" s="4" t="s">
        <v>1703</v>
      </c>
      <c r="B1497" s="6">
        <v>45668</v>
      </c>
      <c r="C1497" s="4">
        <v>2025</v>
      </c>
      <c r="D1497" s="4">
        <v>1</v>
      </c>
      <c r="E1497" s="4" t="s">
        <v>30</v>
      </c>
      <c r="F1497" s="4" t="s">
        <v>5</v>
      </c>
      <c r="G1497" s="4" t="s">
        <v>12</v>
      </c>
      <c r="H1497" s="4" t="s">
        <v>127</v>
      </c>
      <c r="I1497" s="4" t="s">
        <v>13</v>
      </c>
      <c r="J1497" s="4" t="s">
        <v>170</v>
      </c>
      <c r="K1497" s="4">
        <v>2</v>
      </c>
      <c r="L1497" s="5">
        <v>293.45999999999998</v>
      </c>
      <c r="M1497" s="5">
        <v>586.91999999999996</v>
      </c>
      <c r="N1497" s="5">
        <v>355.1</v>
      </c>
      <c r="O1497" s="5">
        <v>231.82</v>
      </c>
      <c r="P1497" s="4">
        <f>--AND(OR(Dashboard!$A$10="All",C1497=Dashboard!$A$10),OR(Dashboard!$A$14="All",F1497=Dashboard!$A$14),OR(Dashboard!$A$18="All",G1497=Dashboard!$A$18),OR(Dashboard!$A$22="All",I1497=Dashboard!$A$22))</f>
        <v>1</v>
      </c>
    </row>
    <row r="1498" spans="1:16" ht="15.75" customHeight="1">
      <c r="A1498" s="4" t="s">
        <v>1704</v>
      </c>
      <c r="B1498" s="6">
        <v>45871</v>
      </c>
      <c r="C1498" s="4">
        <v>2025</v>
      </c>
      <c r="D1498" s="4">
        <v>8</v>
      </c>
      <c r="E1498" s="4" t="s">
        <v>67</v>
      </c>
      <c r="F1498" s="4" t="s">
        <v>5</v>
      </c>
      <c r="G1498" s="4" t="s">
        <v>9</v>
      </c>
      <c r="H1498" s="4" t="s">
        <v>35</v>
      </c>
      <c r="I1498" s="4" t="s">
        <v>7</v>
      </c>
      <c r="J1498" s="4" t="s">
        <v>128</v>
      </c>
      <c r="K1498" s="4">
        <v>1</v>
      </c>
      <c r="L1498" s="5">
        <v>66.27</v>
      </c>
      <c r="M1498" s="5">
        <v>66.27</v>
      </c>
      <c r="N1498" s="5">
        <v>32.1</v>
      </c>
      <c r="O1498" s="5">
        <v>34.17</v>
      </c>
      <c r="P1498" s="4">
        <f>--AND(OR(Dashboard!$A$10="All",C1498=Dashboard!$A$10),OR(Dashboard!$A$14="All",F1498=Dashboard!$A$14),OR(Dashboard!$A$18="All",G1498=Dashboard!$A$18),OR(Dashboard!$A$22="All",I1498=Dashboard!$A$22))</f>
        <v>1</v>
      </c>
    </row>
    <row r="1499" spans="1:16" ht="15.75" customHeight="1">
      <c r="A1499" s="4" t="s">
        <v>1705</v>
      </c>
      <c r="B1499" s="6">
        <v>45358</v>
      </c>
      <c r="C1499" s="4">
        <v>2024</v>
      </c>
      <c r="D1499" s="4">
        <v>3</v>
      </c>
      <c r="E1499" s="4" t="s">
        <v>100</v>
      </c>
      <c r="F1499" s="4" t="s">
        <v>11</v>
      </c>
      <c r="G1499" s="4" t="s">
        <v>6</v>
      </c>
      <c r="H1499" s="4" t="s">
        <v>114</v>
      </c>
      <c r="I1499" s="4" t="s">
        <v>7</v>
      </c>
      <c r="J1499" s="4" t="s">
        <v>276</v>
      </c>
      <c r="K1499" s="4">
        <v>3</v>
      </c>
      <c r="L1499" s="5">
        <v>84.12</v>
      </c>
      <c r="M1499" s="5">
        <v>252.36</v>
      </c>
      <c r="N1499" s="5">
        <v>164.5</v>
      </c>
      <c r="O1499" s="5">
        <v>87.86</v>
      </c>
      <c r="P1499" s="4">
        <f>--AND(OR(Dashboard!$A$10="All",C1499=Dashboard!$A$10),OR(Dashboard!$A$14="All",F1499=Dashboard!$A$14),OR(Dashboard!$A$18="All",G1499=Dashboard!$A$18),OR(Dashboard!$A$22="All",I1499=Dashboard!$A$22))</f>
        <v>1</v>
      </c>
    </row>
    <row r="1500" spans="1:16" ht="15.75" customHeight="1">
      <c r="A1500" s="4" t="s">
        <v>1706</v>
      </c>
      <c r="B1500" s="6">
        <v>45567</v>
      </c>
      <c r="C1500" s="4">
        <v>2024</v>
      </c>
      <c r="D1500" s="4">
        <v>10</v>
      </c>
      <c r="E1500" s="4" t="s">
        <v>120</v>
      </c>
      <c r="F1500" s="4" t="s">
        <v>11</v>
      </c>
      <c r="G1500" s="4" t="s">
        <v>9</v>
      </c>
      <c r="H1500" s="4" t="s">
        <v>71</v>
      </c>
      <c r="I1500" s="4" t="s">
        <v>7</v>
      </c>
      <c r="J1500" s="4" t="s">
        <v>348</v>
      </c>
      <c r="K1500" s="4">
        <v>1</v>
      </c>
      <c r="L1500" s="5">
        <v>43.96</v>
      </c>
      <c r="M1500" s="5">
        <v>43.96</v>
      </c>
      <c r="N1500" s="5">
        <v>21.11</v>
      </c>
      <c r="O1500" s="5">
        <v>22.85</v>
      </c>
      <c r="P1500" s="4">
        <f>--AND(OR(Dashboard!$A$10="All",C1500=Dashboard!$A$10),OR(Dashboard!$A$14="All",F1500=Dashboard!$A$14),OR(Dashboard!$A$18="All",G1500=Dashboard!$A$18),OR(Dashboard!$A$22="All",I1500=Dashboard!$A$22))</f>
        <v>1</v>
      </c>
    </row>
    <row r="1501" spans="1:16" ht="15.75" customHeight="1">
      <c r="A1501" s="4" t="s">
        <v>1707</v>
      </c>
      <c r="B1501" s="6">
        <v>45584</v>
      </c>
      <c r="C1501" s="4">
        <v>2024</v>
      </c>
      <c r="D1501" s="4">
        <v>10</v>
      </c>
      <c r="E1501" s="4" t="s">
        <v>120</v>
      </c>
      <c r="F1501" s="4" t="s">
        <v>5</v>
      </c>
      <c r="G1501" s="4" t="s">
        <v>12</v>
      </c>
      <c r="H1501" s="4" t="s">
        <v>86</v>
      </c>
      <c r="I1501" s="4" t="s">
        <v>13</v>
      </c>
      <c r="J1501" s="4" t="s">
        <v>407</v>
      </c>
      <c r="K1501" s="4">
        <v>1</v>
      </c>
      <c r="L1501" s="5">
        <v>269.07</v>
      </c>
      <c r="M1501" s="5">
        <v>269.07</v>
      </c>
      <c r="N1501" s="5">
        <v>165.02</v>
      </c>
      <c r="O1501" s="5">
        <v>104.05</v>
      </c>
      <c r="P1501" s="4">
        <f>--AND(OR(Dashboard!$A$10="All",C1501=Dashboard!$A$10),OR(Dashboard!$A$14="All",F1501=Dashboard!$A$14),OR(Dashboard!$A$18="All",G1501=Dashboard!$A$18),OR(Dashboard!$A$22="All",I1501=Dashboard!$A$22))</f>
        <v>1</v>
      </c>
    </row>
    <row r="1502" spans="1:16" ht="15.75" customHeight="1">
      <c r="A1502" s="4" t="s">
        <v>1708</v>
      </c>
      <c r="B1502" s="6">
        <v>45891</v>
      </c>
      <c r="C1502" s="4">
        <v>2025</v>
      </c>
      <c r="D1502" s="4">
        <v>8</v>
      </c>
      <c r="E1502" s="4" t="s">
        <v>67</v>
      </c>
      <c r="F1502" s="4" t="s">
        <v>11</v>
      </c>
      <c r="G1502" s="4" t="s">
        <v>12</v>
      </c>
      <c r="H1502" s="4" t="s">
        <v>58</v>
      </c>
      <c r="I1502" s="4" t="s">
        <v>7</v>
      </c>
      <c r="J1502" s="4" t="s">
        <v>189</v>
      </c>
      <c r="K1502" s="4">
        <v>1</v>
      </c>
      <c r="L1502" s="5">
        <v>247.43</v>
      </c>
      <c r="M1502" s="5">
        <v>247.43</v>
      </c>
      <c r="N1502" s="5">
        <v>153.68</v>
      </c>
      <c r="O1502" s="5">
        <v>93.75</v>
      </c>
      <c r="P1502" s="4">
        <f>--AND(OR(Dashboard!$A$10="All",C1502=Dashboard!$A$10),OR(Dashboard!$A$14="All",F1502=Dashboard!$A$14),OR(Dashboard!$A$18="All",G1502=Dashboard!$A$18),OR(Dashboard!$A$22="All",I1502=Dashboard!$A$22))</f>
        <v>1</v>
      </c>
    </row>
    <row r="1503" spans="1:16" ht="15.75" customHeight="1">
      <c r="A1503" s="4" t="s">
        <v>1709</v>
      </c>
      <c r="B1503" s="6">
        <v>45844</v>
      </c>
      <c r="C1503" s="4">
        <v>2025</v>
      </c>
      <c r="D1503" s="4">
        <v>7</v>
      </c>
      <c r="E1503" s="4" t="s">
        <v>63</v>
      </c>
      <c r="F1503" s="4" t="s">
        <v>5</v>
      </c>
      <c r="G1503" s="4" t="s">
        <v>6</v>
      </c>
      <c r="H1503" s="4" t="s">
        <v>80</v>
      </c>
      <c r="I1503" s="4" t="s">
        <v>7</v>
      </c>
      <c r="J1503" s="4" t="s">
        <v>115</v>
      </c>
      <c r="K1503" s="4">
        <v>5</v>
      </c>
      <c r="L1503" s="5">
        <v>116.82</v>
      </c>
      <c r="M1503" s="5">
        <v>584.1</v>
      </c>
      <c r="N1503" s="5">
        <v>392.89</v>
      </c>
      <c r="O1503" s="5">
        <v>191.21</v>
      </c>
      <c r="P1503" s="4">
        <f>--AND(OR(Dashboard!$A$10="All",C1503=Dashboard!$A$10),OR(Dashboard!$A$14="All",F1503=Dashboard!$A$14),OR(Dashboard!$A$18="All",G1503=Dashboard!$A$18),OR(Dashboard!$A$22="All",I1503=Dashboard!$A$22))</f>
        <v>1</v>
      </c>
    </row>
    <row r="1504" spans="1:16" ht="15.75" customHeight="1">
      <c r="A1504" s="4" t="s">
        <v>1710</v>
      </c>
      <c r="B1504" s="6">
        <v>45856</v>
      </c>
      <c r="C1504" s="4">
        <v>2025</v>
      </c>
      <c r="D1504" s="4">
        <v>7</v>
      </c>
      <c r="E1504" s="4" t="s">
        <v>63</v>
      </c>
      <c r="F1504" s="4" t="s">
        <v>14</v>
      </c>
      <c r="G1504" s="4" t="s">
        <v>9</v>
      </c>
      <c r="H1504" s="4" t="s">
        <v>110</v>
      </c>
      <c r="I1504" s="4" t="s">
        <v>10</v>
      </c>
      <c r="J1504" s="4" t="s">
        <v>55</v>
      </c>
      <c r="K1504" s="4">
        <v>3</v>
      </c>
      <c r="L1504" s="5">
        <v>51.27</v>
      </c>
      <c r="M1504" s="5">
        <v>153.81</v>
      </c>
      <c r="N1504" s="5">
        <v>76.47</v>
      </c>
      <c r="O1504" s="5">
        <v>77.34</v>
      </c>
      <c r="P1504" s="4">
        <f>--AND(OR(Dashboard!$A$10="All",C1504=Dashboard!$A$10),OR(Dashboard!$A$14="All",F1504=Dashboard!$A$14),OR(Dashboard!$A$18="All",G1504=Dashboard!$A$18),OR(Dashboard!$A$22="All",I1504=Dashboard!$A$22))</f>
        <v>1</v>
      </c>
    </row>
    <row r="1505" spans="1:16" ht="15.75" customHeight="1">
      <c r="A1505" s="4" t="s">
        <v>1711</v>
      </c>
      <c r="B1505" s="6">
        <v>45989</v>
      </c>
      <c r="C1505" s="4">
        <v>2025</v>
      </c>
      <c r="D1505" s="4">
        <v>11</v>
      </c>
      <c r="E1505" s="4" t="s">
        <v>89</v>
      </c>
      <c r="F1505" s="4" t="s">
        <v>5</v>
      </c>
      <c r="G1505" s="4" t="s">
        <v>6</v>
      </c>
      <c r="H1505" s="4" t="s">
        <v>136</v>
      </c>
      <c r="I1505" s="4" t="s">
        <v>13</v>
      </c>
      <c r="J1505" s="4" t="s">
        <v>149</v>
      </c>
      <c r="K1505" s="4">
        <v>5</v>
      </c>
      <c r="L1505" s="5">
        <v>132.16999999999999</v>
      </c>
      <c r="M1505" s="5">
        <v>660.85</v>
      </c>
      <c r="N1505" s="5">
        <v>429.69</v>
      </c>
      <c r="O1505" s="5">
        <v>231.16</v>
      </c>
      <c r="P1505" s="4">
        <f>--AND(OR(Dashboard!$A$10="All",C1505=Dashboard!$A$10),OR(Dashboard!$A$14="All",F1505=Dashboard!$A$14),OR(Dashboard!$A$18="All",G1505=Dashboard!$A$18),OR(Dashboard!$A$22="All",I1505=Dashboard!$A$22))</f>
        <v>1</v>
      </c>
    </row>
    <row r="1506" spans="1:16" ht="15.75" customHeight="1">
      <c r="A1506" s="4" t="s">
        <v>1712</v>
      </c>
      <c r="B1506" s="6">
        <v>45560</v>
      </c>
      <c r="C1506" s="4">
        <v>2024</v>
      </c>
      <c r="D1506" s="4">
        <v>9</v>
      </c>
      <c r="E1506" s="4" t="s">
        <v>79</v>
      </c>
      <c r="F1506" s="4" t="s">
        <v>11</v>
      </c>
      <c r="G1506" s="4" t="s">
        <v>9</v>
      </c>
      <c r="H1506" s="4" t="s">
        <v>64</v>
      </c>
      <c r="I1506" s="4" t="s">
        <v>7</v>
      </c>
      <c r="J1506" s="4" t="s">
        <v>195</v>
      </c>
      <c r="K1506" s="4">
        <v>3</v>
      </c>
      <c r="L1506" s="5">
        <v>52.42</v>
      </c>
      <c r="M1506" s="5">
        <v>157.26</v>
      </c>
      <c r="N1506" s="5">
        <v>80.48</v>
      </c>
      <c r="O1506" s="5">
        <v>76.78</v>
      </c>
      <c r="P1506" s="4">
        <f>--AND(OR(Dashboard!$A$10="All",C1506=Dashboard!$A$10),OR(Dashboard!$A$14="All",F1506=Dashboard!$A$14),OR(Dashboard!$A$18="All",G1506=Dashboard!$A$18),OR(Dashboard!$A$22="All",I1506=Dashboard!$A$22))</f>
        <v>1</v>
      </c>
    </row>
    <row r="1507" spans="1:16" ht="15.75" customHeight="1">
      <c r="A1507" s="4" t="s">
        <v>1713</v>
      </c>
      <c r="B1507" s="6">
        <v>45420</v>
      </c>
      <c r="C1507" s="4">
        <v>2024</v>
      </c>
      <c r="D1507" s="4">
        <v>5</v>
      </c>
      <c r="E1507" s="4" t="s">
        <v>108</v>
      </c>
      <c r="F1507" s="4" t="s">
        <v>5</v>
      </c>
      <c r="G1507" s="4" t="s">
        <v>12</v>
      </c>
      <c r="H1507" s="4" t="s">
        <v>127</v>
      </c>
      <c r="I1507" s="4" t="s">
        <v>7</v>
      </c>
      <c r="J1507" s="4" t="s">
        <v>59</v>
      </c>
      <c r="K1507" s="4">
        <v>1</v>
      </c>
      <c r="L1507" s="5">
        <v>210.16</v>
      </c>
      <c r="M1507" s="5">
        <v>210.16</v>
      </c>
      <c r="N1507" s="5">
        <v>126.31</v>
      </c>
      <c r="O1507" s="5">
        <v>83.85</v>
      </c>
      <c r="P1507" s="4">
        <f>--AND(OR(Dashboard!$A$10="All",C1507=Dashboard!$A$10),OR(Dashboard!$A$14="All",F1507=Dashboard!$A$14),OR(Dashboard!$A$18="All",G1507=Dashboard!$A$18),OR(Dashboard!$A$22="All",I1507=Dashboard!$A$22))</f>
        <v>1</v>
      </c>
    </row>
    <row r="1508" spans="1:16" ht="15.75" customHeight="1">
      <c r="A1508" s="4" t="s">
        <v>1714</v>
      </c>
      <c r="B1508" s="6">
        <v>45423</v>
      </c>
      <c r="C1508" s="4">
        <v>2024</v>
      </c>
      <c r="D1508" s="4">
        <v>5</v>
      </c>
      <c r="E1508" s="4" t="s">
        <v>108</v>
      </c>
      <c r="F1508" s="4" t="s">
        <v>5</v>
      </c>
      <c r="G1508" s="4" t="s">
        <v>9</v>
      </c>
      <c r="H1508" s="4" t="s">
        <v>142</v>
      </c>
      <c r="I1508" s="4" t="s">
        <v>7</v>
      </c>
      <c r="J1508" s="4" t="s">
        <v>317</v>
      </c>
      <c r="K1508" s="4">
        <v>1</v>
      </c>
      <c r="L1508" s="5">
        <v>46.42</v>
      </c>
      <c r="M1508" s="5">
        <v>46.42</v>
      </c>
      <c r="N1508" s="5">
        <v>23.35</v>
      </c>
      <c r="O1508" s="5">
        <v>23.07</v>
      </c>
      <c r="P1508" s="4">
        <f>--AND(OR(Dashboard!$A$10="All",C1508=Dashboard!$A$10),OR(Dashboard!$A$14="All",F1508=Dashboard!$A$14),OR(Dashboard!$A$18="All",G1508=Dashboard!$A$18),OR(Dashboard!$A$22="All",I1508=Dashboard!$A$22))</f>
        <v>1</v>
      </c>
    </row>
    <row r="1509" spans="1:16" ht="15.75" customHeight="1">
      <c r="A1509" s="4" t="s">
        <v>1715</v>
      </c>
      <c r="B1509" s="6">
        <v>45402</v>
      </c>
      <c r="C1509" s="4">
        <v>2024</v>
      </c>
      <c r="D1509" s="4">
        <v>4</v>
      </c>
      <c r="E1509" s="4" t="s">
        <v>106</v>
      </c>
      <c r="F1509" s="4" t="s">
        <v>5</v>
      </c>
      <c r="G1509" s="4" t="s">
        <v>6</v>
      </c>
      <c r="H1509" s="4" t="s">
        <v>114</v>
      </c>
      <c r="I1509" s="4" t="s">
        <v>13</v>
      </c>
      <c r="J1509" s="4" t="s">
        <v>55</v>
      </c>
      <c r="K1509" s="4">
        <v>11</v>
      </c>
      <c r="L1509" s="5">
        <v>164.03</v>
      </c>
      <c r="M1509" s="5">
        <v>1804.33</v>
      </c>
      <c r="N1509" s="5">
        <v>1162.07</v>
      </c>
      <c r="O1509" s="5">
        <v>642.26</v>
      </c>
      <c r="P1509" s="4">
        <f>--AND(OR(Dashboard!$A$10="All",C1509=Dashboard!$A$10),OR(Dashboard!$A$14="All",F1509=Dashboard!$A$14),OR(Dashboard!$A$18="All",G1509=Dashboard!$A$18),OR(Dashboard!$A$22="All",I1509=Dashboard!$A$22))</f>
        <v>1</v>
      </c>
    </row>
    <row r="1510" spans="1:16" ht="15.75" customHeight="1">
      <c r="A1510" s="4" t="s">
        <v>1716</v>
      </c>
      <c r="B1510" s="6">
        <v>45725</v>
      </c>
      <c r="C1510" s="4">
        <v>2025</v>
      </c>
      <c r="D1510" s="4">
        <v>3</v>
      </c>
      <c r="E1510" s="4" t="s">
        <v>100</v>
      </c>
      <c r="F1510" s="4" t="s">
        <v>5</v>
      </c>
      <c r="G1510" s="4" t="s">
        <v>6</v>
      </c>
      <c r="H1510" s="4" t="s">
        <v>54</v>
      </c>
      <c r="I1510" s="4" t="s">
        <v>10</v>
      </c>
      <c r="J1510" s="4" t="s">
        <v>261</v>
      </c>
      <c r="K1510" s="4">
        <v>4</v>
      </c>
      <c r="L1510" s="5">
        <v>176.65</v>
      </c>
      <c r="M1510" s="5">
        <v>706.6</v>
      </c>
      <c r="N1510" s="5">
        <v>466.59</v>
      </c>
      <c r="O1510" s="5">
        <v>240.01</v>
      </c>
      <c r="P1510" s="4">
        <f>--AND(OR(Dashboard!$A$10="All",C1510=Dashboard!$A$10),OR(Dashboard!$A$14="All",F1510=Dashboard!$A$14),OR(Dashboard!$A$18="All",G1510=Dashboard!$A$18),OR(Dashboard!$A$22="All",I1510=Dashboard!$A$22))</f>
        <v>1</v>
      </c>
    </row>
    <row r="1511" spans="1:16" ht="15.75" customHeight="1">
      <c r="A1511" s="4" t="s">
        <v>1717</v>
      </c>
      <c r="B1511" s="6">
        <v>46022</v>
      </c>
      <c r="C1511" s="4">
        <v>2025</v>
      </c>
      <c r="D1511" s="4">
        <v>12</v>
      </c>
      <c r="E1511" s="4" t="s">
        <v>57</v>
      </c>
      <c r="F1511" s="4" t="s">
        <v>5</v>
      </c>
      <c r="G1511" s="4" t="s">
        <v>12</v>
      </c>
      <c r="H1511" s="4" t="s">
        <v>92</v>
      </c>
      <c r="I1511" s="4" t="s">
        <v>10</v>
      </c>
      <c r="J1511" s="4" t="s">
        <v>118</v>
      </c>
      <c r="K1511" s="4">
        <v>1</v>
      </c>
      <c r="L1511" s="5">
        <v>303.3</v>
      </c>
      <c r="M1511" s="5">
        <v>303.3</v>
      </c>
      <c r="N1511" s="5">
        <v>180.73</v>
      </c>
      <c r="O1511" s="5">
        <v>122.57</v>
      </c>
      <c r="P1511" s="4">
        <f>--AND(OR(Dashboard!$A$10="All",C1511=Dashboard!$A$10),OR(Dashboard!$A$14="All",F1511=Dashboard!$A$14),OR(Dashboard!$A$18="All",G1511=Dashboard!$A$18),OR(Dashboard!$A$22="All",I1511=Dashboard!$A$22))</f>
        <v>1</v>
      </c>
    </row>
    <row r="1512" spans="1:16" ht="15.75" customHeight="1">
      <c r="A1512" s="4" t="s">
        <v>1718</v>
      </c>
      <c r="B1512" s="6">
        <v>45618</v>
      </c>
      <c r="C1512" s="4">
        <v>2024</v>
      </c>
      <c r="D1512" s="4">
        <v>11</v>
      </c>
      <c r="E1512" s="4" t="s">
        <v>89</v>
      </c>
      <c r="F1512" s="4" t="s">
        <v>5</v>
      </c>
      <c r="G1512" s="4" t="s">
        <v>12</v>
      </c>
      <c r="H1512" s="4" t="s">
        <v>127</v>
      </c>
      <c r="I1512" s="4" t="s">
        <v>7</v>
      </c>
      <c r="J1512" s="4" t="s">
        <v>460</v>
      </c>
      <c r="K1512" s="4">
        <v>2</v>
      </c>
      <c r="L1512" s="5">
        <v>166.25</v>
      </c>
      <c r="M1512" s="5">
        <v>332.5</v>
      </c>
      <c r="N1512" s="5">
        <v>200.94</v>
      </c>
      <c r="O1512" s="5">
        <v>131.56</v>
      </c>
      <c r="P1512" s="4">
        <f>--AND(OR(Dashboard!$A$10="All",C1512=Dashboard!$A$10),OR(Dashboard!$A$14="All",F1512=Dashboard!$A$14),OR(Dashboard!$A$18="All",G1512=Dashboard!$A$18),OR(Dashboard!$A$22="All",I1512=Dashboard!$A$22))</f>
        <v>1</v>
      </c>
    </row>
    <row r="1513" spans="1:16" ht="15.75" customHeight="1">
      <c r="A1513" s="4" t="s">
        <v>1719</v>
      </c>
      <c r="B1513" s="6">
        <v>45566</v>
      </c>
      <c r="C1513" s="4">
        <v>2024</v>
      </c>
      <c r="D1513" s="4">
        <v>10</v>
      </c>
      <c r="E1513" s="4" t="s">
        <v>120</v>
      </c>
      <c r="F1513" s="4" t="s">
        <v>5</v>
      </c>
      <c r="G1513" s="4" t="s">
        <v>6</v>
      </c>
      <c r="H1513" s="4" t="s">
        <v>136</v>
      </c>
      <c r="I1513" s="4" t="s">
        <v>7</v>
      </c>
      <c r="J1513" s="4" t="s">
        <v>153</v>
      </c>
      <c r="K1513" s="4">
        <v>9</v>
      </c>
      <c r="L1513" s="5">
        <v>113.55</v>
      </c>
      <c r="M1513" s="5">
        <v>1021.95</v>
      </c>
      <c r="N1513" s="5">
        <v>690.23</v>
      </c>
      <c r="O1513" s="5">
        <v>331.72</v>
      </c>
      <c r="P1513" s="4">
        <f>--AND(OR(Dashboard!$A$10="All",C1513=Dashboard!$A$10),OR(Dashboard!$A$14="All",F1513=Dashboard!$A$14),OR(Dashboard!$A$18="All",G1513=Dashboard!$A$18),OR(Dashboard!$A$22="All",I1513=Dashboard!$A$22))</f>
        <v>1</v>
      </c>
    </row>
    <row r="1514" spans="1:16" ht="15.75" customHeight="1">
      <c r="A1514" s="4" t="s">
        <v>1720</v>
      </c>
      <c r="B1514" s="6">
        <v>45675</v>
      </c>
      <c r="C1514" s="4">
        <v>2025</v>
      </c>
      <c r="D1514" s="4">
        <v>1</v>
      </c>
      <c r="E1514" s="4" t="s">
        <v>30</v>
      </c>
      <c r="F1514" s="4" t="s">
        <v>5</v>
      </c>
      <c r="G1514" s="4" t="s">
        <v>9</v>
      </c>
      <c r="H1514" s="4" t="s">
        <v>35</v>
      </c>
      <c r="I1514" s="4" t="s">
        <v>7</v>
      </c>
      <c r="J1514" s="4" t="s">
        <v>115</v>
      </c>
      <c r="K1514" s="4">
        <v>2</v>
      </c>
      <c r="L1514" s="5">
        <v>47.85</v>
      </c>
      <c r="M1514" s="5">
        <v>95.7</v>
      </c>
      <c r="N1514" s="5">
        <v>49.7</v>
      </c>
      <c r="O1514" s="5">
        <v>46</v>
      </c>
      <c r="P1514" s="4">
        <f>--AND(OR(Dashboard!$A$10="All",C1514=Dashboard!$A$10),OR(Dashboard!$A$14="All",F1514=Dashboard!$A$14),OR(Dashboard!$A$18="All",G1514=Dashboard!$A$18),OR(Dashboard!$A$22="All",I1514=Dashboard!$A$22))</f>
        <v>1</v>
      </c>
    </row>
    <row r="1515" spans="1:16" ht="15.75" customHeight="1">
      <c r="A1515" s="4" t="s">
        <v>1721</v>
      </c>
      <c r="B1515" s="6">
        <v>45898</v>
      </c>
      <c r="C1515" s="4">
        <v>2025</v>
      </c>
      <c r="D1515" s="4">
        <v>8</v>
      </c>
      <c r="E1515" s="4" t="s">
        <v>67</v>
      </c>
      <c r="F1515" s="4" t="s">
        <v>5</v>
      </c>
      <c r="G1515" s="4" t="s">
        <v>12</v>
      </c>
      <c r="H1515" s="4" t="s">
        <v>92</v>
      </c>
      <c r="I1515" s="4" t="s">
        <v>10</v>
      </c>
      <c r="J1515" s="4" t="s">
        <v>532</v>
      </c>
      <c r="K1515" s="4">
        <v>3</v>
      </c>
      <c r="L1515" s="5">
        <v>116.33</v>
      </c>
      <c r="M1515" s="5">
        <v>348.99</v>
      </c>
      <c r="N1515" s="5">
        <v>209.37</v>
      </c>
      <c r="O1515" s="5">
        <v>139.62</v>
      </c>
      <c r="P1515" s="4">
        <f>--AND(OR(Dashboard!$A$10="All",C1515=Dashboard!$A$10),OR(Dashboard!$A$14="All",F1515=Dashboard!$A$14),OR(Dashboard!$A$18="All",G1515=Dashboard!$A$18),OR(Dashboard!$A$22="All",I1515=Dashboard!$A$22))</f>
        <v>1</v>
      </c>
    </row>
    <row r="1516" spans="1:16" ht="15.75" customHeight="1">
      <c r="A1516" s="4" t="s">
        <v>1722</v>
      </c>
      <c r="B1516" s="6">
        <v>45568</v>
      </c>
      <c r="C1516" s="4">
        <v>2024</v>
      </c>
      <c r="D1516" s="4">
        <v>10</v>
      </c>
      <c r="E1516" s="4" t="s">
        <v>120</v>
      </c>
      <c r="F1516" s="4" t="s">
        <v>5</v>
      </c>
      <c r="G1516" s="4" t="s">
        <v>12</v>
      </c>
      <c r="H1516" s="4" t="s">
        <v>92</v>
      </c>
      <c r="I1516" s="4" t="s">
        <v>10</v>
      </c>
      <c r="J1516" s="4" t="s">
        <v>177</v>
      </c>
      <c r="K1516" s="4">
        <v>1</v>
      </c>
      <c r="L1516" s="5">
        <v>172.84</v>
      </c>
      <c r="M1516" s="5">
        <v>172.84</v>
      </c>
      <c r="N1516" s="5">
        <v>100.58</v>
      </c>
      <c r="O1516" s="5">
        <v>72.260000000000005</v>
      </c>
      <c r="P1516" s="4">
        <f>--AND(OR(Dashboard!$A$10="All",C1516=Dashboard!$A$10),OR(Dashboard!$A$14="All",F1516=Dashboard!$A$14),OR(Dashboard!$A$18="All",G1516=Dashboard!$A$18),OR(Dashboard!$A$22="All",I1516=Dashboard!$A$22))</f>
        <v>1</v>
      </c>
    </row>
    <row r="1517" spans="1:16" ht="15.75" customHeight="1">
      <c r="A1517" s="4" t="s">
        <v>1723</v>
      </c>
      <c r="B1517" s="6">
        <v>45664</v>
      </c>
      <c r="C1517" s="4">
        <v>2025</v>
      </c>
      <c r="D1517" s="4">
        <v>1</v>
      </c>
      <c r="E1517" s="4" t="s">
        <v>30</v>
      </c>
      <c r="F1517" s="4" t="s">
        <v>8</v>
      </c>
      <c r="G1517" s="4" t="s">
        <v>6</v>
      </c>
      <c r="H1517" s="4" t="s">
        <v>54</v>
      </c>
      <c r="I1517" s="4" t="s">
        <v>10</v>
      </c>
      <c r="J1517" s="4" t="s">
        <v>261</v>
      </c>
      <c r="K1517" s="4">
        <v>2</v>
      </c>
      <c r="L1517" s="5">
        <v>136.24</v>
      </c>
      <c r="M1517" s="5">
        <v>272.48</v>
      </c>
      <c r="N1517" s="5">
        <v>184.91</v>
      </c>
      <c r="O1517" s="5">
        <v>87.57</v>
      </c>
      <c r="P1517" s="4">
        <f>--AND(OR(Dashboard!$A$10="All",C1517=Dashboard!$A$10),OR(Dashboard!$A$14="All",F1517=Dashboard!$A$14),OR(Dashboard!$A$18="All",G1517=Dashboard!$A$18),OR(Dashboard!$A$22="All",I1517=Dashboard!$A$22))</f>
        <v>1</v>
      </c>
    </row>
    <row r="1518" spans="1:16" ht="15.75" customHeight="1">
      <c r="A1518" s="4" t="s">
        <v>1724</v>
      </c>
      <c r="B1518" s="6">
        <v>45601</v>
      </c>
      <c r="C1518" s="4">
        <v>2024</v>
      </c>
      <c r="D1518" s="4">
        <v>11</v>
      </c>
      <c r="E1518" s="4" t="s">
        <v>89</v>
      </c>
      <c r="F1518" s="4" t="s">
        <v>8</v>
      </c>
      <c r="G1518" s="4" t="s">
        <v>12</v>
      </c>
      <c r="H1518" s="4" t="s">
        <v>58</v>
      </c>
      <c r="I1518" s="4" t="s">
        <v>7</v>
      </c>
      <c r="J1518" s="4" t="s">
        <v>61</v>
      </c>
      <c r="K1518" s="4">
        <v>1</v>
      </c>
      <c r="L1518" s="5">
        <v>152.32</v>
      </c>
      <c r="M1518" s="5">
        <v>152.32</v>
      </c>
      <c r="N1518" s="5">
        <v>95.48</v>
      </c>
      <c r="O1518" s="5">
        <v>56.84</v>
      </c>
      <c r="P1518" s="4">
        <f>--AND(OR(Dashboard!$A$10="All",C1518=Dashboard!$A$10),OR(Dashboard!$A$14="All",F1518=Dashboard!$A$14),OR(Dashboard!$A$18="All",G1518=Dashboard!$A$18),OR(Dashboard!$A$22="All",I1518=Dashboard!$A$22))</f>
        <v>1</v>
      </c>
    </row>
    <row r="1519" spans="1:16" ht="15.75" customHeight="1">
      <c r="A1519" s="4" t="s">
        <v>1725</v>
      </c>
      <c r="B1519" s="6">
        <v>45482</v>
      </c>
      <c r="C1519" s="4">
        <v>2024</v>
      </c>
      <c r="D1519" s="4">
        <v>7</v>
      </c>
      <c r="E1519" s="4" t="s">
        <v>63</v>
      </c>
      <c r="F1519" s="4" t="s">
        <v>14</v>
      </c>
      <c r="G1519" s="4" t="s">
        <v>6</v>
      </c>
      <c r="H1519" s="4" t="s">
        <v>136</v>
      </c>
      <c r="I1519" s="4" t="s">
        <v>10</v>
      </c>
      <c r="J1519" s="4" t="s">
        <v>371</v>
      </c>
      <c r="K1519" s="4">
        <v>4</v>
      </c>
      <c r="L1519" s="5">
        <v>132.66</v>
      </c>
      <c r="M1519" s="5">
        <v>530.64</v>
      </c>
      <c r="N1519" s="5">
        <v>348.47</v>
      </c>
      <c r="O1519" s="5">
        <v>182.17</v>
      </c>
      <c r="P1519" s="4">
        <f>--AND(OR(Dashboard!$A$10="All",C1519=Dashboard!$A$10),OR(Dashboard!$A$14="All",F1519=Dashboard!$A$14),OR(Dashboard!$A$18="All",G1519=Dashboard!$A$18),OR(Dashboard!$A$22="All",I1519=Dashboard!$A$22))</f>
        <v>1</v>
      </c>
    </row>
    <row r="1520" spans="1:16" ht="15.75" customHeight="1">
      <c r="A1520" s="4" t="s">
        <v>1726</v>
      </c>
      <c r="B1520" s="6">
        <v>45478</v>
      </c>
      <c r="C1520" s="4">
        <v>2024</v>
      </c>
      <c r="D1520" s="4">
        <v>7</v>
      </c>
      <c r="E1520" s="4" t="s">
        <v>63</v>
      </c>
      <c r="F1520" s="4" t="s">
        <v>8</v>
      </c>
      <c r="G1520" s="4" t="s">
        <v>9</v>
      </c>
      <c r="H1520" s="4" t="s">
        <v>71</v>
      </c>
      <c r="I1520" s="4" t="s">
        <v>7</v>
      </c>
      <c r="J1520" s="4" t="s">
        <v>168</v>
      </c>
      <c r="K1520" s="4">
        <v>7</v>
      </c>
      <c r="L1520" s="5">
        <v>46.76</v>
      </c>
      <c r="M1520" s="5">
        <v>327.32</v>
      </c>
      <c r="N1520" s="5">
        <v>157.77000000000001</v>
      </c>
      <c r="O1520" s="5">
        <v>169.55</v>
      </c>
      <c r="P1520" s="4">
        <f>--AND(OR(Dashboard!$A$10="All",C1520=Dashboard!$A$10),OR(Dashboard!$A$14="All",F1520=Dashboard!$A$14),OR(Dashboard!$A$18="All",G1520=Dashboard!$A$18),OR(Dashboard!$A$22="All",I1520=Dashboard!$A$22))</f>
        <v>1</v>
      </c>
    </row>
    <row r="1521" spans="1:16" ht="15.75" customHeight="1">
      <c r="A1521" s="4" t="s">
        <v>1727</v>
      </c>
      <c r="B1521" s="6">
        <v>45574</v>
      </c>
      <c r="C1521" s="4">
        <v>2024</v>
      </c>
      <c r="D1521" s="4">
        <v>10</v>
      </c>
      <c r="E1521" s="4" t="s">
        <v>120</v>
      </c>
      <c r="F1521" s="4" t="s">
        <v>5</v>
      </c>
      <c r="G1521" s="4" t="s">
        <v>9</v>
      </c>
      <c r="H1521" s="4" t="s">
        <v>35</v>
      </c>
      <c r="I1521" s="4" t="s">
        <v>7</v>
      </c>
      <c r="J1521" s="4" t="s">
        <v>402</v>
      </c>
      <c r="K1521" s="4">
        <v>4</v>
      </c>
      <c r="L1521" s="5">
        <v>28.66</v>
      </c>
      <c r="M1521" s="5">
        <v>114.64</v>
      </c>
      <c r="N1521" s="5">
        <v>55.06</v>
      </c>
      <c r="O1521" s="5">
        <v>59.58</v>
      </c>
      <c r="P1521" s="4">
        <f>--AND(OR(Dashboard!$A$10="All",C1521=Dashboard!$A$10),OR(Dashboard!$A$14="All",F1521=Dashboard!$A$14),OR(Dashboard!$A$18="All",G1521=Dashboard!$A$18),OR(Dashboard!$A$22="All",I1521=Dashboard!$A$22))</f>
        <v>1</v>
      </c>
    </row>
    <row r="1522" spans="1:16" ht="15.75" customHeight="1">
      <c r="A1522" s="4" t="s">
        <v>1728</v>
      </c>
      <c r="B1522" s="6">
        <v>45965</v>
      </c>
      <c r="C1522" s="4">
        <v>2025</v>
      </c>
      <c r="D1522" s="4">
        <v>11</v>
      </c>
      <c r="E1522" s="4" t="s">
        <v>89</v>
      </c>
      <c r="F1522" s="4" t="s">
        <v>5</v>
      </c>
      <c r="G1522" s="4" t="s">
        <v>9</v>
      </c>
      <c r="H1522" s="4" t="s">
        <v>64</v>
      </c>
      <c r="I1522" s="4" t="s">
        <v>10</v>
      </c>
      <c r="J1522" s="4" t="s">
        <v>402</v>
      </c>
      <c r="K1522" s="4">
        <v>3</v>
      </c>
      <c r="L1522" s="5">
        <v>54.08</v>
      </c>
      <c r="M1522" s="5">
        <v>162.24</v>
      </c>
      <c r="N1522" s="5">
        <v>77.98</v>
      </c>
      <c r="O1522" s="5">
        <v>84.26</v>
      </c>
      <c r="P1522" s="4">
        <f>--AND(OR(Dashboard!$A$10="All",C1522=Dashboard!$A$10),OR(Dashboard!$A$14="All",F1522=Dashboard!$A$14),OR(Dashboard!$A$18="All",G1522=Dashboard!$A$18),OR(Dashboard!$A$22="All",I1522=Dashboard!$A$22))</f>
        <v>1</v>
      </c>
    </row>
    <row r="1523" spans="1:16" ht="15.75" customHeight="1">
      <c r="A1523" s="4" t="s">
        <v>1729</v>
      </c>
      <c r="B1523" s="6">
        <v>45965</v>
      </c>
      <c r="C1523" s="4">
        <v>2025</v>
      </c>
      <c r="D1523" s="4">
        <v>11</v>
      </c>
      <c r="E1523" s="4" t="s">
        <v>89</v>
      </c>
      <c r="F1523" s="4" t="s">
        <v>8</v>
      </c>
      <c r="G1523" s="4" t="s">
        <v>9</v>
      </c>
      <c r="H1523" s="4" t="s">
        <v>64</v>
      </c>
      <c r="I1523" s="4" t="s">
        <v>7</v>
      </c>
      <c r="J1523" s="4" t="s">
        <v>99</v>
      </c>
      <c r="K1523" s="4">
        <v>1</v>
      </c>
      <c r="L1523" s="5">
        <v>48.39</v>
      </c>
      <c r="M1523" s="5">
        <v>48.39</v>
      </c>
      <c r="N1523" s="5">
        <v>25.27</v>
      </c>
      <c r="O1523" s="5">
        <v>23.12</v>
      </c>
      <c r="P1523" s="4">
        <f>--AND(OR(Dashboard!$A$10="All",C1523=Dashboard!$A$10),OR(Dashboard!$A$14="All",F1523=Dashboard!$A$14),OR(Dashboard!$A$18="All",G1523=Dashboard!$A$18),OR(Dashboard!$A$22="All",I1523=Dashboard!$A$22))</f>
        <v>1</v>
      </c>
    </row>
    <row r="1524" spans="1:16" ht="15.75" customHeight="1">
      <c r="A1524" s="4" t="s">
        <v>1730</v>
      </c>
      <c r="B1524" s="6">
        <v>45983</v>
      </c>
      <c r="C1524" s="4">
        <v>2025</v>
      </c>
      <c r="D1524" s="4">
        <v>11</v>
      </c>
      <c r="E1524" s="4" t="s">
        <v>89</v>
      </c>
      <c r="F1524" s="4" t="s">
        <v>5</v>
      </c>
      <c r="G1524" s="4" t="s">
        <v>9</v>
      </c>
      <c r="H1524" s="4" t="s">
        <v>71</v>
      </c>
      <c r="I1524" s="4" t="s">
        <v>7</v>
      </c>
      <c r="J1524" s="4" t="s">
        <v>257</v>
      </c>
      <c r="K1524" s="4">
        <v>3</v>
      </c>
      <c r="L1524" s="5">
        <v>38.42</v>
      </c>
      <c r="M1524" s="5">
        <v>115.26</v>
      </c>
      <c r="N1524" s="5">
        <v>55.25</v>
      </c>
      <c r="O1524" s="5">
        <v>60.01</v>
      </c>
      <c r="P1524" s="4">
        <f>--AND(OR(Dashboard!$A$10="All",C1524=Dashboard!$A$10),OR(Dashboard!$A$14="All",F1524=Dashboard!$A$14),OR(Dashboard!$A$18="All",G1524=Dashboard!$A$18),OR(Dashboard!$A$22="All",I1524=Dashboard!$A$22))</f>
        <v>1</v>
      </c>
    </row>
    <row r="1525" spans="1:16" ht="15.75" customHeight="1">
      <c r="A1525" s="4" t="s">
        <v>1731</v>
      </c>
      <c r="B1525" s="6">
        <v>45818</v>
      </c>
      <c r="C1525" s="4">
        <v>2025</v>
      </c>
      <c r="D1525" s="4">
        <v>6</v>
      </c>
      <c r="E1525" s="4" t="s">
        <v>34</v>
      </c>
      <c r="F1525" s="4" t="s">
        <v>8</v>
      </c>
      <c r="G1525" s="4" t="s">
        <v>6</v>
      </c>
      <c r="H1525" s="4" t="s">
        <v>54</v>
      </c>
      <c r="I1525" s="4" t="s">
        <v>7</v>
      </c>
      <c r="J1525" s="4" t="s">
        <v>164</v>
      </c>
      <c r="K1525" s="4">
        <v>3</v>
      </c>
      <c r="L1525" s="5">
        <v>141.41</v>
      </c>
      <c r="M1525" s="5">
        <v>424.23</v>
      </c>
      <c r="N1525" s="5">
        <v>282.26</v>
      </c>
      <c r="O1525" s="5">
        <v>141.97</v>
      </c>
      <c r="P1525" s="4">
        <f>--AND(OR(Dashboard!$A$10="All",C1525=Dashboard!$A$10),OR(Dashboard!$A$14="All",F1525=Dashboard!$A$14),OR(Dashboard!$A$18="All",G1525=Dashboard!$A$18),OR(Dashboard!$A$22="All",I1525=Dashboard!$A$22))</f>
        <v>1</v>
      </c>
    </row>
    <row r="1526" spans="1:16" ht="15.75" customHeight="1">
      <c r="A1526" s="4" t="s">
        <v>1732</v>
      </c>
      <c r="B1526" s="6">
        <v>45471</v>
      </c>
      <c r="C1526" s="4">
        <v>2024</v>
      </c>
      <c r="D1526" s="4">
        <v>6</v>
      </c>
      <c r="E1526" s="4" t="s">
        <v>34</v>
      </c>
      <c r="F1526" s="4" t="s">
        <v>8</v>
      </c>
      <c r="G1526" s="4" t="s">
        <v>12</v>
      </c>
      <c r="H1526" s="4" t="s">
        <v>92</v>
      </c>
      <c r="I1526" s="4" t="s">
        <v>10</v>
      </c>
      <c r="J1526" s="4" t="s">
        <v>134</v>
      </c>
      <c r="K1526" s="4">
        <v>3</v>
      </c>
      <c r="L1526" s="5">
        <v>215.7</v>
      </c>
      <c r="M1526" s="5">
        <v>647.1</v>
      </c>
      <c r="N1526" s="5">
        <v>377.47</v>
      </c>
      <c r="O1526" s="5">
        <v>269.63</v>
      </c>
      <c r="P1526" s="4">
        <f>--AND(OR(Dashboard!$A$10="All",C1526=Dashboard!$A$10),OR(Dashboard!$A$14="All",F1526=Dashboard!$A$14),OR(Dashboard!$A$18="All",G1526=Dashboard!$A$18),OR(Dashboard!$A$22="All",I1526=Dashboard!$A$22))</f>
        <v>1</v>
      </c>
    </row>
    <row r="1527" spans="1:16" ht="15.75" customHeight="1">
      <c r="A1527" s="4" t="s">
        <v>1733</v>
      </c>
      <c r="B1527" s="6">
        <v>45443</v>
      </c>
      <c r="C1527" s="4">
        <v>2024</v>
      </c>
      <c r="D1527" s="4">
        <v>5</v>
      </c>
      <c r="E1527" s="4" t="s">
        <v>108</v>
      </c>
      <c r="F1527" s="4" t="s">
        <v>5</v>
      </c>
      <c r="G1527" s="4" t="s">
        <v>9</v>
      </c>
      <c r="H1527" s="4" t="s">
        <v>64</v>
      </c>
      <c r="I1527" s="4" t="s">
        <v>7</v>
      </c>
      <c r="J1527" s="4" t="s">
        <v>280</v>
      </c>
      <c r="K1527" s="4">
        <v>1</v>
      </c>
      <c r="L1527" s="5">
        <v>46.98</v>
      </c>
      <c r="M1527" s="5">
        <v>46.98</v>
      </c>
      <c r="N1527" s="5">
        <v>23.03</v>
      </c>
      <c r="O1527" s="5">
        <v>23.95</v>
      </c>
      <c r="P1527" s="4">
        <f>--AND(OR(Dashboard!$A$10="All",C1527=Dashboard!$A$10),OR(Dashboard!$A$14="All",F1527=Dashboard!$A$14),OR(Dashboard!$A$18="All",G1527=Dashboard!$A$18),OR(Dashboard!$A$22="All",I1527=Dashboard!$A$22))</f>
        <v>1</v>
      </c>
    </row>
    <row r="1528" spans="1:16" ht="15.75" customHeight="1">
      <c r="A1528" s="4" t="s">
        <v>1734</v>
      </c>
      <c r="B1528" s="6">
        <v>45890</v>
      </c>
      <c r="C1528" s="4">
        <v>2025</v>
      </c>
      <c r="D1528" s="4">
        <v>8</v>
      </c>
      <c r="E1528" s="4" t="s">
        <v>67</v>
      </c>
      <c r="F1528" s="4" t="s">
        <v>14</v>
      </c>
      <c r="G1528" s="4" t="s">
        <v>12</v>
      </c>
      <c r="H1528" s="4" t="s">
        <v>58</v>
      </c>
      <c r="I1528" s="4" t="s">
        <v>7</v>
      </c>
      <c r="J1528" s="4" t="s">
        <v>118</v>
      </c>
      <c r="K1528" s="4">
        <v>5</v>
      </c>
      <c r="L1528" s="5">
        <v>246.19</v>
      </c>
      <c r="M1528" s="5">
        <v>1230.95</v>
      </c>
      <c r="N1528" s="5">
        <v>728.71</v>
      </c>
      <c r="O1528" s="5">
        <v>502.24</v>
      </c>
      <c r="P1528" s="4">
        <f>--AND(OR(Dashboard!$A$10="All",C1528=Dashboard!$A$10),OR(Dashboard!$A$14="All",F1528=Dashboard!$A$14),OR(Dashboard!$A$18="All",G1528=Dashboard!$A$18),OR(Dashboard!$A$22="All",I1528=Dashboard!$A$22))</f>
        <v>1</v>
      </c>
    </row>
    <row r="1529" spans="1:16" ht="15.75" customHeight="1">
      <c r="A1529" s="4" t="s">
        <v>1735</v>
      </c>
      <c r="B1529" s="6">
        <v>45770</v>
      </c>
      <c r="C1529" s="4">
        <v>2025</v>
      </c>
      <c r="D1529" s="4">
        <v>4</v>
      </c>
      <c r="E1529" s="4" t="s">
        <v>106</v>
      </c>
      <c r="F1529" s="4" t="s">
        <v>8</v>
      </c>
      <c r="G1529" s="4" t="s">
        <v>9</v>
      </c>
      <c r="H1529" s="4" t="s">
        <v>142</v>
      </c>
      <c r="I1529" s="4" t="s">
        <v>10</v>
      </c>
      <c r="J1529" s="4" t="s">
        <v>247</v>
      </c>
      <c r="K1529" s="4">
        <v>5</v>
      </c>
      <c r="L1529" s="5">
        <v>46.18</v>
      </c>
      <c r="M1529" s="5">
        <v>230.9</v>
      </c>
      <c r="N1529" s="5">
        <v>120.74</v>
      </c>
      <c r="O1529" s="5">
        <v>110.16</v>
      </c>
      <c r="P1529" s="4">
        <f>--AND(OR(Dashboard!$A$10="All",C1529=Dashboard!$A$10),OR(Dashboard!$A$14="All",F1529=Dashboard!$A$14),OR(Dashboard!$A$18="All",G1529=Dashboard!$A$18),OR(Dashboard!$A$22="All",I1529=Dashboard!$A$22))</f>
        <v>1</v>
      </c>
    </row>
    <row r="1530" spans="1:16" ht="15.75" customHeight="1">
      <c r="A1530" s="4" t="s">
        <v>1736</v>
      </c>
      <c r="B1530" s="6">
        <v>45969</v>
      </c>
      <c r="C1530" s="4">
        <v>2025</v>
      </c>
      <c r="D1530" s="4">
        <v>11</v>
      </c>
      <c r="E1530" s="4" t="s">
        <v>89</v>
      </c>
      <c r="F1530" s="4" t="s">
        <v>14</v>
      </c>
      <c r="G1530" s="4" t="s">
        <v>6</v>
      </c>
      <c r="H1530" s="4" t="s">
        <v>98</v>
      </c>
      <c r="I1530" s="4" t="s">
        <v>13</v>
      </c>
      <c r="J1530" s="4" t="s">
        <v>121</v>
      </c>
      <c r="K1530" s="4">
        <v>2</v>
      </c>
      <c r="L1530" s="5">
        <v>111.02</v>
      </c>
      <c r="M1530" s="5">
        <v>222.04</v>
      </c>
      <c r="N1530" s="5">
        <v>142.82</v>
      </c>
      <c r="O1530" s="5">
        <v>79.22</v>
      </c>
      <c r="P1530" s="4">
        <f>--AND(OR(Dashboard!$A$10="All",C1530=Dashboard!$A$10),OR(Dashboard!$A$14="All",F1530=Dashboard!$A$14),OR(Dashboard!$A$18="All",G1530=Dashboard!$A$18),OR(Dashboard!$A$22="All",I1530=Dashboard!$A$22))</f>
        <v>1</v>
      </c>
    </row>
    <row r="1531" spans="1:16" ht="15.75" customHeight="1">
      <c r="A1531" s="4" t="s">
        <v>1737</v>
      </c>
      <c r="B1531" s="6">
        <v>45538</v>
      </c>
      <c r="C1531" s="4">
        <v>2024</v>
      </c>
      <c r="D1531" s="4">
        <v>9</v>
      </c>
      <c r="E1531" s="4" t="s">
        <v>79</v>
      </c>
      <c r="F1531" s="4" t="s">
        <v>5</v>
      </c>
      <c r="G1531" s="4" t="s">
        <v>9</v>
      </c>
      <c r="H1531" s="4" t="s">
        <v>110</v>
      </c>
      <c r="I1531" s="4" t="s">
        <v>7</v>
      </c>
      <c r="J1531" s="4" t="s">
        <v>125</v>
      </c>
      <c r="K1531" s="4">
        <v>2</v>
      </c>
      <c r="L1531" s="5">
        <v>66.66</v>
      </c>
      <c r="M1531" s="5">
        <v>133.32</v>
      </c>
      <c r="N1531" s="5">
        <v>66.61</v>
      </c>
      <c r="O1531" s="5">
        <v>66.709999999999994</v>
      </c>
      <c r="P1531" s="4">
        <f>--AND(OR(Dashboard!$A$10="All",C1531=Dashboard!$A$10),OR(Dashboard!$A$14="All",F1531=Dashboard!$A$14),OR(Dashboard!$A$18="All",G1531=Dashboard!$A$18),OR(Dashboard!$A$22="All",I1531=Dashboard!$A$22))</f>
        <v>1</v>
      </c>
    </row>
    <row r="1532" spans="1:16" ht="15.75" customHeight="1">
      <c r="A1532" s="4" t="s">
        <v>1738</v>
      </c>
      <c r="B1532" s="6">
        <v>45407</v>
      </c>
      <c r="C1532" s="4">
        <v>2024</v>
      </c>
      <c r="D1532" s="4">
        <v>4</v>
      </c>
      <c r="E1532" s="4" t="s">
        <v>106</v>
      </c>
      <c r="F1532" s="4" t="s">
        <v>5</v>
      </c>
      <c r="G1532" s="4" t="s">
        <v>9</v>
      </c>
      <c r="H1532" s="4" t="s">
        <v>142</v>
      </c>
      <c r="I1532" s="4" t="s">
        <v>13</v>
      </c>
      <c r="J1532" s="4" t="s">
        <v>134</v>
      </c>
      <c r="K1532" s="4">
        <v>4</v>
      </c>
      <c r="L1532" s="5">
        <v>52.4</v>
      </c>
      <c r="M1532" s="5">
        <v>209.6</v>
      </c>
      <c r="N1532" s="5">
        <v>109.06</v>
      </c>
      <c r="O1532" s="5">
        <v>100.54</v>
      </c>
      <c r="P1532" s="4">
        <f>--AND(OR(Dashboard!$A$10="All",C1532=Dashboard!$A$10),OR(Dashboard!$A$14="All",F1532=Dashboard!$A$14),OR(Dashboard!$A$18="All",G1532=Dashboard!$A$18),OR(Dashboard!$A$22="All",I1532=Dashboard!$A$22))</f>
        <v>1</v>
      </c>
    </row>
    <row r="1533" spans="1:16" ht="15.75" customHeight="1">
      <c r="A1533" s="4" t="s">
        <v>1739</v>
      </c>
      <c r="B1533" s="6">
        <v>45602</v>
      </c>
      <c r="C1533" s="4">
        <v>2024</v>
      </c>
      <c r="D1533" s="4">
        <v>11</v>
      </c>
      <c r="E1533" s="4" t="s">
        <v>89</v>
      </c>
      <c r="F1533" s="4" t="s">
        <v>14</v>
      </c>
      <c r="G1533" s="4" t="s">
        <v>9</v>
      </c>
      <c r="H1533" s="4" t="s">
        <v>71</v>
      </c>
      <c r="I1533" s="4" t="s">
        <v>7</v>
      </c>
      <c r="J1533" s="4" t="s">
        <v>371</v>
      </c>
      <c r="K1533" s="4">
        <v>1</v>
      </c>
      <c r="L1533" s="5">
        <v>23</v>
      </c>
      <c r="M1533" s="5">
        <v>23</v>
      </c>
      <c r="N1533" s="5">
        <v>11.01</v>
      </c>
      <c r="O1533" s="5">
        <v>11.99</v>
      </c>
      <c r="P1533" s="4">
        <f>--AND(OR(Dashboard!$A$10="All",C1533=Dashboard!$A$10),OR(Dashboard!$A$14="All",F1533=Dashboard!$A$14),OR(Dashboard!$A$18="All",G1533=Dashboard!$A$18),OR(Dashboard!$A$22="All",I1533=Dashboard!$A$22))</f>
        <v>1</v>
      </c>
    </row>
    <row r="1534" spans="1:16" ht="15.75" customHeight="1">
      <c r="A1534" s="4" t="s">
        <v>1740</v>
      </c>
      <c r="B1534" s="6">
        <v>45453</v>
      </c>
      <c r="C1534" s="4">
        <v>2024</v>
      </c>
      <c r="D1534" s="4">
        <v>6</v>
      </c>
      <c r="E1534" s="4" t="s">
        <v>34</v>
      </c>
      <c r="F1534" s="4" t="s">
        <v>8</v>
      </c>
      <c r="G1534" s="4" t="s">
        <v>9</v>
      </c>
      <c r="H1534" s="4" t="s">
        <v>64</v>
      </c>
      <c r="I1534" s="4" t="s">
        <v>7</v>
      </c>
      <c r="J1534" s="4" t="s">
        <v>255</v>
      </c>
      <c r="K1534" s="4">
        <v>7</v>
      </c>
      <c r="L1534" s="5">
        <v>60.89</v>
      </c>
      <c r="M1534" s="5">
        <v>426.23</v>
      </c>
      <c r="N1534" s="5">
        <v>218.56</v>
      </c>
      <c r="O1534" s="5">
        <v>207.67</v>
      </c>
      <c r="P1534" s="4">
        <f>--AND(OR(Dashboard!$A$10="All",C1534=Dashboard!$A$10),OR(Dashboard!$A$14="All",F1534=Dashboard!$A$14),OR(Dashboard!$A$18="All",G1534=Dashboard!$A$18),OR(Dashboard!$A$22="All",I1534=Dashboard!$A$22))</f>
        <v>1</v>
      </c>
    </row>
    <row r="1535" spans="1:16" ht="15.75" customHeight="1">
      <c r="A1535" s="4" t="s">
        <v>1741</v>
      </c>
      <c r="B1535" s="6">
        <v>45721</v>
      </c>
      <c r="C1535" s="4">
        <v>2025</v>
      </c>
      <c r="D1535" s="4">
        <v>3</v>
      </c>
      <c r="E1535" s="4" t="s">
        <v>100</v>
      </c>
      <c r="F1535" s="4" t="s">
        <v>5</v>
      </c>
      <c r="G1535" s="4" t="s">
        <v>12</v>
      </c>
      <c r="H1535" s="4" t="s">
        <v>58</v>
      </c>
      <c r="I1535" s="4" t="s">
        <v>13</v>
      </c>
      <c r="J1535" s="4" t="s">
        <v>199</v>
      </c>
      <c r="K1535" s="4">
        <v>2</v>
      </c>
      <c r="L1535" s="5">
        <v>187.85</v>
      </c>
      <c r="M1535" s="5">
        <v>375.7</v>
      </c>
      <c r="N1535" s="5">
        <v>228.98</v>
      </c>
      <c r="O1535" s="5">
        <v>146.72</v>
      </c>
      <c r="P1535" s="4">
        <f>--AND(OR(Dashboard!$A$10="All",C1535=Dashboard!$A$10),OR(Dashboard!$A$14="All",F1535=Dashboard!$A$14),OR(Dashboard!$A$18="All",G1535=Dashboard!$A$18),OR(Dashboard!$A$22="All",I1535=Dashboard!$A$22))</f>
        <v>1</v>
      </c>
    </row>
    <row r="1536" spans="1:16" ht="15.75" customHeight="1">
      <c r="A1536" s="4" t="s">
        <v>1742</v>
      </c>
      <c r="B1536" s="6">
        <v>45369</v>
      </c>
      <c r="C1536" s="4">
        <v>2024</v>
      </c>
      <c r="D1536" s="4">
        <v>3</v>
      </c>
      <c r="E1536" s="4" t="s">
        <v>100</v>
      </c>
      <c r="F1536" s="4" t="s">
        <v>11</v>
      </c>
      <c r="G1536" s="4" t="s">
        <v>12</v>
      </c>
      <c r="H1536" s="4" t="s">
        <v>127</v>
      </c>
      <c r="I1536" s="4" t="s">
        <v>7</v>
      </c>
      <c r="J1536" s="4" t="s">
        <v>270</v>
      </c>
      <c r="K1536" s="4">
        <v>5</v>
      </c>
      <c r="L1536" s="5">
        <v>301.67</v>
      </c>
      <c r="M1536" s="5">
        <v>1508.35</v>
      </c>
      <c r="N1536" s="5">
        <v>890.09</v>
      </c>
      <c r="O1536" s="5">
        <v>618.26</v>
      </c>
      <c r="P1536" s="4">
        <f>--AND(OR(Dashboard!$A$10="All",C1536=Dashboard!$A$10),OR(Dashboard!$A$14="All",F1536=Dashboard!$A$14),OR(Dashboard!$A$18="All",G1536=Dashboard!$A$18),OR(Dashboard!$A$22="All",I1536=Dashboard!$A$22))</f>
        <v>1</v>
      </c>
    </row>
    <row r="1537" spans="1:16" ht="15.75" customHeight="1">
      <c r="A1537" s="4" t="s">
        <v>1743</v>
      </c>
      <c r="B1537" s="6">
        <v>45738</v>
      </c>
      <c r="C1537" s="4">
        <v>2025</v>
      </c>
      <c r="D1537" s="4">
        <v>3</v>
      </c>
      <c r="E1537" s="4" t="s">
        <v>100</v>
      </c>
      <c r="F1537" s="4" t="s">
        <v>5</v>
      </c>
      <c r="G1537" s="4" t="s">
        <v>12</v>
      </c>
      <c r="H1537" s="4" t="s">
        <v>127</v>
      </c>
      <c r="I1537" s="4" t="s">
        <v>7</v>
      </c>
      <c r="J1537" s="4" t="s">
        <v>214</v>
      </c>
      <c r="K1537" s="4">
        <v>1</v>
      </c>
      <c r="L1537" s="5">
        <v>200.78</v>
      </c>
      <c r="M1537" s="5">
        <v>200.78</v>
      </c>
      <c r="N1537" s="5">
        <v>122.87</v>
      </c>
      <c r="O1537" s="5">
        <v>77.91</v>
      </c>
      <c r="P1537" s="4">
        <f>--AND(OR(Dashboard!$A$10="All",C1537=Dashboard!$A$10),OR(Dashboard!$A$14="All",F1537=Dashboard!$A$14),OR(Dashboard!$A$18="All",G1537=Dashboard!$A$18),OR(Dashboard!$A$22="All",I1537=Dashboard!$A$22))</f>
        <v>1</v>
      </c>
    </row>
    <row r="1538" spans="1:16" ht="15.75" customHeight="1">
      <c r="A1538" s="4" t="s">
        <v>1744</v>
      </c>
      <c r="B1538" s="6">
        <v>45664</v>
      </c>
      <c r="C1538" s="4">
        <v>2025</v>
      </c>
      <c r="D1538" s="4">
        <v>1</v>
      </c>
      <c r="E1538" s="4" t="s">
        <v>30</v>
      </c>
      <c r="F1538" s="4" t="s">
        <v>5</v>
      </c>
      <c r="G1538" s="4" t="s">
        <v>9</v>
      </c>
      <c r="H1538" s="4" t="s">
        <v>110</v>
      </c>
      <c r="I1538" s="4" t="s">
        <v>10</v>
      </c>
      <c r="J1538" s="4" t="s">
        <v>494</v>
      </c>
      <c r="K1538" s="4">
        <v>5</v>
      </c>
      <c r="L1538" s="5">
        <v>42.24</v>
      </c>
      <c r="M1538" s="5">
        <v>211.2</v>
      </c>
      <c r="N1538" s="5">
        <v>108.61</v>
      </c>
      <c r="O1538" s="5">
        <v>102.59</v>
      </c>
      <c r="P1538" s="4">
        <f>--AND(OR(Dashboard!$A$10="All",C1538=Dashboard!$A$10),OR(Dashboard!$A$14="All",F1538=Dashboard!$A$14),OR(Dashboard!$A$18="All",G1538=Dashboard!$A$18),OR(Dashboard!$A$22="All",I1538=Dashboard!$A$22))</f>
        <v>1</v>
      </c>
    </row>
    <row r="1539" spans="1:16" ht="15.75" customHeight="1">
      <c r="A1539" s="4" t="s">
        <v>1745</v>
      </c>
      <c r="B1539" s="6">
        <v>45430</v>
      </c>
      <c r="C1539" s="4">
        <v>2024</v>
      </c>
      <c r="D1539" s="4">
        <v>5</v>
      </c>
      <c r="E1539" s="4" t="s">
        <v>108</v>
      </c>
      <c r="F1539" s="4" t="s">
        <v>5</v>
      </c>
      <c r="G1539" s="4" t="s">
        <v>12</v>
      </c>
      <c r="H1539" s="4" t="s">
        <v>127</v>
      </c>
      <c r="I1539" s="4" t="s">
        <v>10</v>
      </c>
      <c r="J1539" s="4" t="s">
        <v>68</v>
      </c>
      <c r="K1539" s="4">
        <v>5</v>
      </c>
      <c r="L1539" s="5">
        <v>319.77</v>
      </c>
      <c r="M1539" s="5">
        <v>1598.85</v>
      </c>
      <c r="N1539" s="5">
        <v>957.78</v>
      </c>
      <c r="O1539" s="5">
        <v>641.07000000000005</v>
      </c>
      <c r="P1539" s="4">
        <f>--AND(OR(Dashboard!$A$10="All",C1539=Dashboard!$A$10),OR(Dashboard!$A$14="All",F1539=Dashboard!$A$14),OR(Dashboard!$A$18="All",G1539=Dashboard!$A$18),OR(Dashboard!$A$22="All",I1539=Dashboard!$A$22))</f>
        <v>1</v>
      </c>
    </row>
    <row r="1540" spans="1:16" ht="15.75" customHeight="1">
      <c r="A1540" s="4" t="s">
        <v>1746</v>
      </c>
      <c r="B1540" s="6">
        <v>45404</v>
      </c>
      <c r="C1540" s="4">
        <v>2024</v>
      </c>
      <c r="D1540" s="4">
        <v>4</v>
      </c>
      <c r="E1540" s="4" t="s">
        <v>106</v>
      </c>
      <c r="F1540" s="4" t="s">
        <v>5</v>
      </c>
      <c r="G1540" s="4" t="s">
        <v>12</v>
      </c>
      <c r="H1540" s="4" t="s">
        <v>92</v>
      </c>
      <c r="I1540" s="4" t="s">
        <v>10</v>
      </c>
      <c r="J1540" s="4" t="s">
        <v>195</v>
      </c>
      <c r="K1540" s="4">
        <v>4</v>
      </c>
      <c r="L1540" s="5">
        <v>283.92</v>
      </c>
      <c r="M1540" s="5">
        <v>1135.68</v>
      </c>
      <c r="N1540" s="5">
        <v>681.15</v>
      </c>
      <c r="O1540" s="5">
        <v>454.53</v>
      </c>
      <c r="P1540" s="4">
        <f>--AND(OR(Dashboard!$A$10="All",C1540=Dashboard!$A$10),OR(Dashboard!$A$14="All",F1540=Dashboard!$A$14),OR(Dashboard!$A$18="All",G1540=Dashboard!$A$18),OR(Dashboard!$A$22="All",I1540=Dashboard!$A$22))</f>
        <v>1</v>
      </c>
    </row>
    <row r="1541" spans="1:16" ht="15.75" customHeight="1">
      <c r="A1541" s="4" t="s">
        <v>1747</v>
      </c>
      <c r="B1541" s="6">
        <v>45788</v>
      </c>
      <c r="C1541" s="4">
        <v>2025</v>
      </c>
      <c r="D1541" s="4">
        <v>5</v>
      </c>
      <c r="E1541" s="4" t="s">
        <v>108</v>
      </c>
      <c r="F1541" s="4" t="s">
        <v>5</v>
      </c>
      <c r="G1541" s="4" t="s">
        <v>6</v>
      </c>
      <c r="H1541" s="4" t="s">
        <v>80</v>
      </c>
      <c r="I1541" s="4" t="s">
        <v>10</v>
      </c>
      <c r="J1541" s="4" t="s">
        <v>257</v>
      </c>
      <c r="K1541" s="4">
        <v>2</v>
      </c>
      <c r="L1541" s="5">
        <v>120.33</v>
      </c>
      <c r="M1541" s="5">
        <v>240.66</v>
      </c>
      <c r="N1541" s="5">
        <v>156.44</v>
      </c>
      <c r="O1541" s="5">
        <v>84.22</v>
      </c>
      <c r="P1541" s="4">
        <f>--AND(OR(Dashboard!$A$10="All",C1541=Dashboard!$A$10),OR(Dashboard!$A$14="All",F1541=Dashboard!$A$14),OR(Dashboard!$A$18="All",G1541=Dashboard!$A$18),OR(Dashboard!$A$22="All",I1541=Dashboard!$A$22))</f>
        <v>1</v>
      </c>
    </row>
    <row r="1542" spans="1:16" ht="15.75" customHeight="1">
      <c r="A1542" s="4" t="s">
        <v>1748</v>
      </c>
      <c r="B1542" s="6">
        <v>45656</v>
      </c>
      <c r="C1542" s="4">
        <v>2024</v>
      </c>
      <c r="D1542" s="4">
        <v>12</v>
      </c>
      <c r="E1542" s="4" t="s">
        <v>57</v>
      </c>
      <c r="F1542" s="4" t="s">
        <v>5</v>
      </c>
      <c r="G1542" s="4" t="s">
        <v>12</v>
      </c>
      <c r="H1542" s="4" t="s">
        <v>124</v>
      </c>
      <c r="I1542" s="4" t="s">
        <v>7</v>
      </c>
      <c r="J1542" s="4" t="s">
        <v>68</v>
      </c>
      <c r="K1542" s="4">
        <v>1</v>
      </c>
      <c r="L1542" s="5">
        <v>204.06</v>
      </c>
      <c r="M1542" s="5">
        <v>204.06</v>
      </c>
      <c r="N1542" s="5">
        <v>118.69</v>
      </c>
      <c r="O1542" s="5">
        <v>85.37</v>
      </c>
      <c r="P1542" s="4">
        <f>--AND(OR(Dashboard!$A$10="All",C1542=Dashboard!$A$10),OR(Dashboard!$A$14="All",F1542=Dashboard!$A$14),OR(Dashboard!$A$18="All",G1542=Dashboard!$A$18),OR(Dashboard!$A$22="All",I1542=Dashboard!$A$22))</f>
        <v>1</v>
      </c>
    </row>
    <row r="1543" spans="1:16" ht="15.75" customHeight="1">
      <c r="A1543" s="4" t="s">
        <v>1749</v>
      </c>
      <c r="B1543" s="6">
        <v>45940</v>
      </c>
      <c r="C1543" s="4">
        <v>2025</v>
      </c>
      <c r="D1543" s="4">
        <v>10</v>
      </c>
      <c r="E1543" s="4" t="s">
        <v>120</v>
      </c>
      <c r="F1543" s="4" t="s">
        <v>8</v>
      </c>
      <c r="G1543" s="4" t="s">
        <v>12</v>
      </c>
      <c r="H1543" s="4" t="s">
        <v>86</v>
      </c>
      <c r="I1543" s="4" t="s">
        <v>7</v>
      </c>
      <c r="J1543" s="4" t="s">
        <v>317</v>
      </c>
      <c r="K1543" s="4">
        <v>3</v>
      </c>
      <c r="L1543" s="5">
        <v>324.10000000000002</v>
      </c>
      <c r="M1543" s="5">
        <v>972.3</v>
      </c>
      <c r="N1543" s="5">
        <v>566.27</v>
      </c>
      <c r="O1543" s="5">
        <v>406.03</v>
      </c>
      <c r="P1543" s="4">
        <f>--AND(OR(Dashboard!$A$10="All",C1543=Dashboard!$A$10),OR(Dashboard!$A$14="All",F1543=Dashboard!$A$14),OR(Dashboard!$A$18="All",G1543=Dashboard!$A$18),OR(Dashboard!$A$22="All",I1543=Dashboard!$A$22))</f>
        <v>1</v>
      </c>
    </row>
    <row r="1544" spans="1:16" ht="15.75" customHeight="1">
      <c r="A1544" s="4" t="s">
        <v>1750</v>
      </c>
      <c r="B1544" s="6">
        <v>45595</v>
      </c>
      <c r="C1544" s="4">
        <v>2024</v>
      </c>
      <c r="D1544" s="4">
        <v>10</v>
      </c>
      <c r="E1544" s="4" t="s">
        <v>120</v>
      </c>
      <c r="F1544" s="4" t="s">
        <v>14</v>
      </c>
      <c r="G1544" s="4" t="s">
        <v>6</v>
      </c>
      <c r="H1544" s="4" t="s">
        <v>98</v>
      </c>
      <c r="I1544" s="4" t="s">
        <v>7</v>
      </c>
      <c r="J1544" s="4" t="s">
        <v>184</v>
      </c>
      <c r="K1544" s="4">
        <v>2</v>
      </c>
      <c r="L1544" s="5">
        <v>103.25</v>
      </c>
      <c r="M1544" s="5">
        <v>206.5</v>
      </c>
      <c r="N1544" s="5">
        <v>139.66</v>
      </c>
      <c r="O1544" s="5">
        <v>66.84</v>
      </c>
      <c r="P1544" s="4">
        <f>--AND(OR(Dashboard!$A$10="All",C1544=Dashboard!$A$10),OR(Dashboard!$A$14="All",F1544=Dashboard!$A$14),OR(Dashboard!$A$18="All",G1544=Dashboard!$A$18),OR(Dashboard!$A$22="All",I1544=Dashboard!$A$22))</f>
        <v>1</v>
      </c>
    </row>
    <row r="1545" spans="1:16" ht="15.75" customHeight="1">
      <c r="A1545" s="4" t="s">
        <v>1751</v>
      </c>
      <c r="B1545" s="6">
        <v>45876</v>
      </c>
      <c r="C1545" s="4">
        <v>2025</v>
      </c>
      <c r="D1545" s="4">
        <v>8</v>
      </c>
      <c r="E1545" s="4" t="s">
        <v>67</v>
      </c>
      <c r="F1545" s="4" t="s">
        <v>5</v>
      </c>
      <c r="G1545" s="4" t="s">
        <v>12</v>
      </c>
      <c r="H1545" s="4" t="s">
        <v>124</v>
      </c>
      <c r="I1545" s="4" t="s">
        <v>10</v>
      </c>
      <c r="J1545" s="4" t="s">
        <v>87</v>
      </c>
      <c r="K1545" s="4">
        <v>3</v>
      </c>
      <c r="L1545" s="5">
        <v>175.17</v>
      </c>
      <c r="M1545" s="5">
        <v>525.51</v>
      </c>
      <c r="N1545" s="5">
        <v>318.38</v>
      </c>
      <c r="O1545" s="5">
        <v>207.13</v>
      </c>
      <c r="P1545" s="4">
        <f>--AND(OR(Dashboard!$A$10="All",C1545=Dashboard!$A$10),OR(Dashboard!$A$14="All",F1545=Dashboard!$A$14),OR(Dashboard!$A$18="All",G1545=Dashboard!$A$18),OR(Dashboard!$A$22="All",I1545=Dashboard!$A$22))</f>
        <v>1</v>
      </c>
    </row>
    <row r="1546" spans="1:16" ht="15.75" customHeight="1">
      <c r="A1546" s="4" t="s">
        <v>1752</v>
      </c>
      <c r="B1546" s="6">
        <v>45610</v>
      </c>
      <c r="C1546" s="4">
        <v>2024</v>
      </c>
      <c r="D1546" s="4">
        <v>11</v>
      </c>
      <c r="E1546" s="4" t="s">
        <v>89</v>
      </c>
      <c r="F1546" s="4" t="s">
        <v>5</v>
      </c>
      <c r="G1546" s="4" t="s">
        <v>12</v>
      </c>
      <c r="H1546" s="4" t="s">
        <v>86</v>
      </c>
      <c r="I1546" s="4" t="s">
        <v>7</v>
      </c>
      <c r="J1546" s="4" t="s">
        <v>134</v>
      </c>
      <c r="K1546" s="4">
        <v>1</v>
      </c>
      <c r="L1546" s="5">
        <v>195.9</v>
      </c>
      <c r="M1546" s="5">
        <v>195.9</v>
      </c>
      <c r="N1546" s="5">
        <v>119.96</v>
      </c>
      <c r="O1546" s="5">
        <v>75.94</v>
      </c>
      <c r="P1546" s="4">
        <f>--AND(OR(Dashboard!$A$10="All",C1546=Dashboard!$A$10),OR(Dashboard!$A$14="All",F1546=Dashboard!$A$14),OR(Dashboard!$A$18="All",G1546=Dashboard!$A$18),OR(Dashboard!$A$22="All",I1546=Dashboard!$A$22))</f>
        <v>1</v>
      </c>
    </row>
    <row r="1547" spans="1:16" ht="15.75" customHeight="1">
      <c r="A1547" s="4" t="s">
        <v>1753</v>
      </c>
      <c r="B1547" s="6">
        <v>45779</v>
      </c>
      <c r="C1547" s="4">
        <v>2025</v>
      </c>
      <c r="D1547" s="4">
        <v>5</v>
      </c>
      <c r="E1547" s="4" t="s">
        <v>108</v>
      </c>
      <c r="F1547" s="4" t="s">
        <v>11</v>
      </c>
      <c r="G1547" s="4" t="s">
        <v>12</v>
      </c>
      <c r="H1547" s="4" t="s">
        <v>86</v>
      </c>
      <c r="I1547" s="4" t="s">
        <v>10</v>
      </c>
      <c r="J1547" s="4" t="s">
        <v>128</v>
      </c>
      <c r="K1547" s="4">
        <v>2</v>
      </c>
      <c r="L1547" s="5">
        <v>249.32</v>
      </c>
      <c r="M1547" s="5">
        <v>498.64</v>
      </c>
      <c r="N1547" s="5">
        <v>306.17</v>
      </c>
      <c r="O1547" s="5">
        <v>192.47</v>
      </c>
      <c r="P1547" s="4">
        <f>--AND(OR(Dashboard!$A$10="All",C1547=Dashboard!$A$10),OR(Dashboard!$A$14="All",F1547=Dashboard!$A$14),OR(Dashboard!$A$18="All",G1547=Dashboard!$A$18),OR(Dashboard!$A$22="All",I1547=Dashboard!$A$22))</f>
        <v>1</v>
      </c>
    </row>
    <row r="1548" spans="1:16" ht="15.75" customHeight="1">
      <c r="A1548" s="4" t="s">
        <v>1754</v>
      </c>
      <c r="B1548" s="6">
        <v>45818</v>
      </c>
      <c r="C1548" s="4">
        <v>2025</v>
      </c>
      <c r="D1548" s="4">
        <v>6</v>
      </c>
      <c r="E1548" s="4" t="s">
        <v>34</v>
      </c>
      <c r="F1548" s="4" t="s">
        <v>8</v>
      </c>
      <c r="G1548" s="4" t="s">
        <v>9</v>
      </c>
      <c r="H1548" s="4" t="s">
        <v>35</v>
      </c>
      <c r="I1548" s="4" t="s">
        <v>13</v>
      </c>
      <c r="J1548" s="4" t="s">
        <v>259</v>
      </c>
      <c r="K1548" s="4">
        <v>3</v>
      </c>
      <c r="L1548" s="5">
        <v>55.31</v>
      </c>
      <c r="M1548" s="5">
        <v>165.93</v>
      </c>
      <c r="N1548" s="5">
        <v>86.01</v>
      </c>
      <c r="O1548" s="5">
        <v>79.92</v>
      </c>
      <c r="P1548" s="4">
        <f>--AND(OR(Dashboard!$A$10="All",C1548=Dashboard!$A$10),OR(Dashboard!$A$14="All",F1548=Dashboard!$A$14),OR(Dashboard!$A$18="All",G1548=Dashboard!$A$18),OR(Dashboard!$A$22="All",I1548=Dashboard!$A$22))</f>
        <v>1</v>
      </c>
    </row>
    <row r="1549" spans="1:16" ht="15.75" customHeight="1">
      <c r="A1549" s="4" t="s">
        <v>1755</v>
      </c>
      <c r="B1549" s="6">
        <v>45715</v>
      </c>
      <c r="C1549" s="4">
        <v>2025</v>
      </c>
      <c r="D1549" s="4">
        <v>2</v>
      </c>
      <c r="E1549" s="4" t="s">
        <v>70</v>
      </c>
      <c r="F1549" s="4" t="s">
        <v>8</v>
      </c>
      <c r="G1549" s="4" t="s">
        <v>6</v>
      </c>
      <c r="H1549" s="4" t="s">
        <v>54</v>
      </c>
      <c r="I1549" s="4" t="s">
        <v>7</v>
      </c>
      <c r="J1549" s="4" t="s">
        <v>209</v>
      </c>
      <c r="K1549" s="4">
        <v>2</v>
      </c>
      <c r="L1549" s="5">
        <v>100.4</v>
      </c>
      <c r="M1549" s="5">
        <v>200.8</v>
      </c>
      <c r="N1549" s="5">
        <v>131.88</v>
      </c>
      <c r="O1549" s="5">
        <v>68.92</v>
      </c>
      <c r="P1549" s="4">
        <f>--AND(OR(Dashboard!$A$10="All",C1549=Dashboard!$A$10),OR(Dashboard!$A$14="All",F1549=Dashboard!$A$14),OR(Dashboard!$A$18="All",G1549=Dashboard!$A$18),OR(Dashboard!$A$22="All",I1549=Dashboard!$A$22))</f>
        <v>1</v>
      </c>
    </row>
    <row r="1550" spans="1:16" ht="15.75" customHeight="1">
      <c r="A1550" s="4" t="s">
        <v>1756</v>
      </c>
      <c r="B1550" s="6">
        <v>45331</v>
      </c>
      <c r="C1550" s="4">
        <v>2024</v>
      </c>
      <c r="D1550" s="4">
        <v>2</v>
      </c>
      <c r="E1550" s="4" t="s">
        <v>70</v>
      </c>
      <c r="F1550" s="4" t="s">
        <v>8</v>
      </c>
      <c r="G1550" s="4" t="s">
        <v>6</v>
      </c>
      <c r="H1550" s="4" t="s">
        <v>136</v>
      </c>
      <c r="I1550" s="4" t="s">
        <v>7</v>
      </c>
      <c r="J1550" s="4" t="s">
        <v>528</v>
      </c>
      <c r="K1550" s="4">
        <v>4</v>
      </c>
      <c r="L1550" s="5">
        <v>208.17</v>
      </c>
      <c r="M1550" s="5">
        <v>832.68</v>
      </c>
      <c r="N1550" s="5">
        <v>554.08000000000004</v>
      </c>
      <c r="O1550" s="5">
        <v>278.60000000000002</v>
      </c>
      <c r="P1550" s="4">
        <f>--AND(OR(Dashboard!$A$10="All",C1550=Dashboard!$A$10),OR(Dashboard!$A$14="All",F1550=Dashboard!$A$14),OR(Dashboard!$A$18="All",G1550=Dashboard!$A$18),OR(Dashboard!$A$22="All",I1550=Dashboard!$A$22))</f>
        <v>1</v>
      </c>
    </row>
    <row r="1551" spans="1:16" ht="15.75" customHeight="1">
      <c r="A1551" s="4" t="s">
        <v>1757</v>
      </c>
      <c r="B1551" s="6">
        <v>45323</v>
      </c>
      <c r="C1551" s="4">
        <v>2024</v>
      </c>
      <c r="D1551" s="4">
        <v>2</v>
      </c>
      <c r="E1551" s="4" t="s">
        <v>70</v>
      </c>
      <c r="F1551" s="4" t="s">
        <v>5</v>
      </c>
      <c r="G1551" s="4" t="s">
        <v>12</v>
      </c>
      <c r="H1551" s="4" t="s">
        <v>127</v>
      </c>
      <c r="I1551" s="4" t="s">
        <v>10</v>
      </c>
      <c r="J1551" s="4" t="s">
        <v>455</v>
      </c>
      <c r="K1551" s="4">
        <v>2</v>
      </c>
      <c r="L1551" s="5">
        <v>126.3</v>
      </c>
      <c r="M1551" s="5">
        <v>252.6</v>
      </c>
      <c r="N1551" s="5">
        <v>155.91</v>
      </c>
      <c r="O1551" s="5">
        <v>96.69</v>
      </c>
      <c r="P1551" s="4">
        <f>--AND(OR(Dashboard!$A$10="All",C1551=Dashboard!$A$10),OR(Dashboard!$A$14="All",F1551=Dashboard!$A$14),OR(Dashboard!$A$18="All",G1551=Dashboard!$A$18),OR(Dashboard!$A$22="All",I1551=Dashboard!$A$22))</f>
        <v>1</v>
      </c>
    </row>
    <row r="1552" spans="1:16" ht="15.75" customHeight="1">
      <c r="A1552" s="4" t="s">
        <v>1758</v>
      </c>
      <c r="B1552" s="6">
        <v>45921</v>
      </c>
      <c r="C1552" s="4">
        <v>2025</v>
      </c>
      <c r="D1552" s="4">
        <v>9</v>
      </c>
      <c r="E1552" s="4" t="s">
        <v>79</v>
      </c>
      <c r="F1552" s="4" t="s">
        <v>5</v>
      </c>
      <c r="G1552" s="4" t="s">
        <v>6</v>
      </c>
      <c r="H1552" s="4" t="s">
        <v>80</v>
      </c>
      <c r="I1552" s="4" t="s">
        <v>10</v>
      </c>
      <c r="J1552" s="4" t="s">
        <v>189</v>
      </c>
      <c r="K1552" s="4">
        <v>4</v>
      </c>
      <c r="L1552" s="5">
        <v>203.99</v>
      </c>
      <c r="M1552" s="5">
        <v>815.96</v>
      </c>
      <c r="N1552" s="5">
        <v>560.03</v>
      </c>
      <c r="O1552" s="5">
        <v>255.93</v>
      </c>
      <c r="P1552" s="4">
        <f>--AND(OR(Dashboard!$A$10="All",C1552=Dashboard!$A$10),OR(Dashboard!$A$14="All",F1552=Dashboard!$A$14),OR(Dashboard!$A$18="All",G1552=Dashboard!$A$18),OR(Dashboard!$A$22="All",I1552=Dashboard!$A$22))</f>
        <v>1</v>
      </c>
    </row>
    <row r="1553" spans="1:16" ht="15.75" customHeight="1">
      <c r="A1553" s="4" t="s">
        <v>1759</v>
      </c>
      <c r="B1553" s="6">
        <v>45886</v>
      </c>
      <c r="C1553" s="4">
        <v>2025</v>
      </c>
      <c r="D1553" s="4">
        <v>8</v>
      </c>
      <c r="E1553" s="4" t="s">
        <v>67</v>
      </c>
      <c r="F1553" s="4" t="s">
        <v>5</v>
      </c>
      <c r="G1553" s="4" t="s">
        <v>9</v>
      </c>
      <c r="H1553" s="4" t="s">
        <v>71</v>
      </c>
      <c r="I1553" s="4" t="s">
        <v>7</v>
      </c>
      <c r="J1553" s="4" t="s">
        <v>205</v>
      </c>
      <c r="K1553" s="4">
        <v>11</v>
      </c>
      <c r="L1553" s="5">
        <v>64.38</v>
      </c>
      <c r="M1553" s="5">
        <v>708.18</v>
      </c>
      <c r="N1553" s="5">
        <v>352.77</v>
      </c>
      <c r="O1553" s="5">
        <v>355.41</v>
      </c>
      <c r="P1553" s="4">
        <f>--AND(OR(Dashboard!$A$10="All",C1553=Dashboard!$A$10),OR(Dashboard!$A$14="All",F1553=Dashboard!$A$14),OR(Dashboard!$A$18="All",G1553=Dashboard!$A$18),OR(Dashboard!$A$22="All",I1553=Dashboard!$A$22))</f>
        <v>1</v>
      </c>
    </row>
    <row r="1554" spans="1:16" ht="15.75" customHeight="1">
      <c r="A1554" s="4" t="s">
        <v>1760</v>
      </c>
      <c r="B1554" s="6">
        <v>45505</v>
      </c>
      <c r="C1554" s="4">
        <v>2024</v>
      </c>
      <c r="D1554" s="4">
        <v>8</v>
      </c>
      <c r="E1554" s="4" t="s">
        <v>67</v>
      </c>
      <c r="F1554" s="4" t="s">
        <v>8</v>
      </c>
      <c r="G1554" s="4" t="s">
        <v>6</v>
      </c>
      <c r="H1554" s="4" t="s">
        <v>98</v>
      </c>
      <c r="I1554" s="4" t="s">
        <v>13</v>
      </c>
      <c r="J1554" s="4" t="s">
        <v>455</v>
      </c>
      <c r="K1554" s="4">
        <v>3</v>
      </c>
      <c r="L1554" s="5">
        <v>92.34</v>
      </c>
      <c r="M1554" s="5">
        <v>277.02</v>
      </c>
      <c r="N1554" s="5">
        <v>189.47</v>
      </c>
      <c r="O1554" s="5">
        <v>87.55</v>
      </c>
      <c r="P1554" s="4">
        <f>--AND(OR(Dashboard!$A$10="All",C1554=Dashboard!$A$10),OR(Dashboard!$A$14="All",F1554=Dashboard!$A$14),OR(Dashboard!$A$18="All",G1554=Dashboard!$A$18),OR(Dashboard!$A$22="All",I1554=Dashboard!$A$22))</f>
        <v>1</v>
      </c>
    </row>
    <row r="1555" spans="1:16" ht="15.75" customHeight="1">
      <c r="A1555" s="4" t="s">
        <v>1761</v>
      </c>
      <c r="B1555" s="6">
        <v>45310</v>
      </c>
      <c r="C1555" s="4">
        <v>2024</v>
      </c>
      <c r="D1555" s="4">
        <v>1</v>
      </c>
      <c r="E1555" s="4" t="s">
        <v>30</v>
      </c>
      <c r="F1555" s="4" t="s">
        <v>5</v>
      </c>
      <c r="G1555" s="4" t="s">
        <v>9</v>
      </c>
      <c r="H1555" s="4" t="s">
        <v>71</v>
      </c>
      <c r="I1555" s="4" t="s">
        <v>7</v>
      </c>
      <c r="J1555" s="4" t="s">
        <v>373</v>
      </c>
      <c r="K1555" s="4">
        <v>2</v>
      </c>
      <c r="L1555" s="5">
        <v>53.79</v>
      </c>
      <c r="M1555" s="5">
        <v>107.58</v>
      </c>
      <c r="N1555" s="5">
        <v>53.82</v>
      </c>
      <c r="O1555" s="5">
        <v>53.76</v>
      </c>
      <c r="P1555" s="4">
        <f>--AND(OR(Dashboard!$A$10="All",C1555=Dashboard!$A$10),OR(Dashboard!$A$14="All",F1555=Dashboard!$A$14),OR(Dashboard!$A$18="All",G1555=Dashboard!$A$18),OR(Dashboard!$A$22="All",I1555=Dashboard!$A$22))</f>
        <v>1</v>
      </c>
    </row>
    <row r="1556" spans="1:16" ht="15.75" customHeight="1">
      <c r="A1556" s="4" t="s">
        <v>1762</v>
      </c>
      <c r="B1556" s="6">
        <v>45701</v>
      </c>
      <c r="C1556" s="4">
        <v>2025</v>
      </c>
      <c r="D1556" s="4">
        <v>2</v>
      </c>
      <c r="E1556" s="4" t="s">
        <v>70</v>
      </c>
      <c r="F1556" s="4" t="s">
        <v>11</v>
      </c>
      <c r="G1556" s="4" t="s">
        <v>9</v>
      </c>
      <c r="H1556" s="4" t="s">
        <v>142</v>
      </c>
      <c r="I1556" s="4" t="s">
        <v>7</v>
      </c>
      <c r="J1556" s="4" t="s">
        <v>164</v>
      </c>
      <c r="K1556" s="4">
        <v>4</v>
      </c>
      <c r="L1556" s="5">
        <v>27.31</v>
      </c>
      <c r="M1556" s="5">
        <v>109.24</v>
      </c>
      <c r="N1556" s="5">
        <v>56.9</v>
      </c>
      <c r="O1556" s="5">
        <v>52.34</v>
      </c>
      <c r="P1556" s="4">
        <f>--AND(OR(Dashboard!$A$10="All",C1556=Dashboard!$A$10),OR(Dashboard!$A$14="All",F1556=Dashboard!$A$14),OR(Dashboard!$A$18="All",G1556=Dashboard!$A$18),OR(Dashboard!$A$22="All",I1556=Dashboard!$A$22))</f>
        <v>1</v>
      </c>
    </row>
    <row r="1557" spans="1:16" ht="15.75" customHeight="1">
      <c r="A1557" s="4" t="s">
        <v>1763</v>
      </c>
      <c r="B1557" s="6">
        <v>45295</v>
      </c>
      <c r="C1557" s="4">
        <v>2024</v>
      </c>
      <c r="D1557" s="4">
        <v>1</v>
      </c>
      <c r="E1557" s="4" t="s">
        <v>30</v>
      </c>
      <c r="F1557" s="4" t="s">
        <v>14</v>
      </c>
      <c r="G1557" s="4" t="s">
        <v>6</v>
      </c>
      <c r="H1557" s="4" t="s">
        <v>114</v>
      </c>
      <c r="I1557" s="4" t="s">
        <v>10</v>
      </c>
      <c r="J1557" s="4" t="s">
        <v>247</v>
      </c>
      <c r="K1557" s="4">
        <v>7</v>
      </c>
      <c r="L1557" s="5">
        <v>191.55</v>
      </c>
      <c r="M1557" s="5">
        <v>1340.85</v>
      </c>
      <c r="N1557" s="5">
        <v>906.46</v>
      </c>
      <c r="O1557" s="5">
        <v>434.39</v>
      </c>
      <c r="P1557" s="4">
        <f>--AND(OR(Dashboard!$A$10="All",C1557=Dashboard!$A$10),OR(Dashboard!$A$14="All",F1557=Dashboard!$A$14),OR(Dashboard!$A$18="All",G1557=Dashboard!$A$18),OR(Dashboard!$A$22="All",I1557=Dashboard!$A$22))</f>
        <v>1</v>
      </c>
    </row>
    <row r="1558" spans="1:16" ht="15.75" customHeight="1">
      <c r="A1558" s="4" t="s">
        <v>1764</v>
      </c>
      <c r="B1558" s="6">
        <v>45849</v>
      </c>
      <c r="C1558" s="4">
        <v>2025</v>
      </c>
      <c r="D1558" s="4">
        <v>7</v>
      </c>
      <c r="E1558" s="4" t="s">
        <v>63</v>
      </c>
      <c r="F1558" s="4" t="s">
        <v>5</v>
      </c>
      <c r="G1558" s="4" t="s">
        <v>9</v>
      </c>
      <c r="H1558" s="4" t="s">
        <v>64</v>
      </c>
      <c r="I1558" s="4" t="s">
        <v>10</v>
      </c>
      <c r="J1558" s="4" t="s">
        <v>344</v>
      </c>
      <c r="K1558" s="4">
        <v>7</v>
      </c>
      <c r="L1558" s="5">
        <v>29.39</v>
      </c>
      <c r="M1558" s="5">
        <v>205.73</v>
      </c>
      <c r="N1558" s="5">
        <v>104.99</v>
      </c>
      <c r="O1558" s="5">
        <v>100.74</v>
      </c>
      <c r="P1558" s="4">
        <f>--AND(OR(Dashboard!$A$10="All",C1558=Dashboard!$A$10),OR(Dashboard!$A$14="All",F1558=Dashboard!$A$14),OR(Dashboard!$A$18="All",G1558=Dashboard!$A$18),OR(Dashboard!$A$22="All",I1558=Dashboard!$A$22))</f>
        <v>1</v>
      </c>
    </row>
    <row r="1559" spans="1:16" ht="15.75" customHeight="1">
      <c r="A1559" s="4" t="s">
        <v>1765</v>
      </c>
      <c r="B1559" s="6">
        <v>45410</v>
      </c>
      <c r="C1559" s="4">
        <v>2024</v>
      </c>
      <c r="D1559" s="4">
        <v>4</v>
      </c>
      <c r="E1559" s="4" t="s">
        <v>106</v>
      </c>
      <c r="F1559" s="4" t="s">
        <v>11</v>
      </c>
      <c r="G1559" s="4" t="s">
        <v>9</v>
      </c>
      <c r="H1559" s="4" t="s">
        <v>71</v>
      </c>
      <c r="I1559" s="4" t="s">
        <v>7</v>
      </c>
      <c r="J1559" s="4" t="s">
        <v>94</v>
      </c>
      <c r="K1559" s="4">
        <v>2</v>
      </c>
      <c r="L1559" s="5">
        <v>45.63</v>
      </c>
      <c r="M1559" s="5">
        <v>91.26</v>
      </c>
      <c r="N1559" s="5">
        <v>46.1</v>
      </c>
      <c r="O1559" s="5">
        <v>45.16</v>
      </c>
      <c r="P1559" s="4">
        <f>--AND(OR(Dashboard!$A$10="All",C1559=Dashboard!$A$10),OR(Dashboard!$A$14="All",F1559=Dashboard!$A$14),OR(Dashboard!$A$18="All",G1559=Dashboard!$A$18),OR(Dashboard!$A$22="All",I1559=Dashboard!$A$22))</f>
        <v>1</v>
      </c>
    </row>
    <row r="1560" spans="1:16" ht="15.75" customHeight="1">
      <c r="A1560" s="4" t="s">
        <v>1766</v>
      </c>
      <c r="B1560" s="6">
        <v>45389</v>
      </c>
      <c r="C1560" s="4">
        <v>2024</v>
      </c>
      <c r="D1560" s="4">
        <v>4</v>
      </c>
      <c r="E1560" s="4" t="s">
        <v>106</v>
      </c>
      <c r="F1560" s="4" t="s">
        <v>11</v>
      </c>
      <c r="G1560" s="4" t="s">
        <v>6</v>
      </c>
      <c r="H1560" s="4" t="s">
        <v>80</v>
      </c>
      <c r="I1560" s="4" t="s">
        <v>7</v>
      </c>
      <c r="J1560" s="4" t="s">
        <v>381</v>
      </c>
      <c r="K1560" s="4">
        <v>2</v>
      </c>
      <c r="L1560" s="5">
        <v>185.42</v>
      </c>
      <c r="M1560" s="5">
        <v>370.84</v>
      </c>
      <c r="N1560" s="5">
        <v>254.79</v>
      </c>
      <c r="O1560" s="5">
        <v>116.05</v>
      </c>
      <c r="P1560" s="4">
        <f>--AND(OR(Dashboard!$A$10="All",C1560=Dashboard!$A$10),OR(Dashboard!$A$14="All",F1560=Dashboard!$A$14),OR(Dashboard!$A$18="All",G1560=Dashboard!$A$18),OR(Dashboard!$A$22="All",I1560=Dashboard!$A$22))</f>
        <v>1</v>
      </c>
    </row>
    <row r="1561" spans="1:16" ht="15.75" customHeight="1">
      <c r="A1561" s="4" t="s">
        <v>1767</v>
      </c>
      <c r="B1561" s="6">
        <v>45373</v>
      </c>
      <c r="C1561" s="4">
        <v>2024</v>
      </c>
      <c r="D1561" s="4">
        <v>3</v>
      </c>
      <c r="E1561" s="4" t="s">
        <v>100</v>
      </c>
      <c r="F1561" s="4" t="s">
        <v>11</v>
      </c>
      <c r="G1561" s="4" t="s">
        <v>12</v>
      </c>
      <c r="H1561" s="4" t="s">
        <v>58</v>
      </c>
      <c r="I1561" s="4" t="s">
        <v>10</v>
      </c>
      <c r="J1561" s="4" t="s">
        <v>455</v>
      </c>
      <c r="K1561" s="4">
        <v>1</v>
      </c>
      <c r="L1561" s="5">
        <v>282.05</v>
      </c>
      <c r="M1561" s="5">
        <v>282.05</v>
      </c>
      <c r="N1561" s="5">
        <v>164.94</v>
      </c>
      <c r="O1561" s="5">
        <v>117.11</v>
      </c>
      <c r="P1561" s="4">
        <f>--AND(OR(Dashboard!$A$10="All",C1561=Dashboard!$A$10),OR(Dashboard!$A$14="All",F1561=Dashboard!$A$14),OR(Dashboard!$A$18="All",G1561=Dashboard!$A$18),OR(Dashboard!$A$22="All",I1561=Dashboard!$A$22))</f>
        <v>1</v>
      </c>
    </row>
    <row r="1562" spans="1:16" ht="15.75" customHeight="1">
      <c r="A1562" s="4" t="s">
        <v>1768</v>
      </c>
      <c r="B1562" s="6">
        <v>45406</v>
      </c>
      <c r="C1562" s="4">
        <v>2024</v>
      </c>
      <c r="D1562" s="4">
        <v>4</v>
      </c>
      <c r="E1562" s="4" t="s">
        <v>106</v>
      </c>
      <c r="F1562" s="4" t="s">
        <v>5</v>
      </c>
      <c r="G1562" s="4" t="s">
        <v>12</v>
      </c>
      <c r="H1562" s="4" t="s">
        <v>58</v>
      </c>
      <c r="I1562" s="4" t="s">
        <v>13</v>
      </c>
      <c r="J1562" s="4" t="s">
        <v>292</v>
      </c>
      <c r="K1562" s="4">
        <v>1</v>
      </c>
      <c r="L1562" s="5">
        <v>218.79</v>
      </c>
      <c r="M1562" s="5">
        <v>218.79</v>
      </c>
      <c r="N1562" s="5">
        <v>126.17</v>
      </c>
      <c r="O1562" s="5">
        <v>92.62</v>
      </c>
      <c r="P1562" s="4">
        <f>--AND(OR(Dashboard!$A$10="All",C1562=Dashboard!$A$10),OR(Dashboard!$A$14="All",F1562=Dashboard!$A$14),OR(Dashboard!$A$18="All",G1562=Dashboard!$A$18),OR(Dashboard!$A$22="All",I1562=Dashboard!$A$22))</f>
        <v>1</v>
      </c>
    </row>
    <row r="1563" spans="1:16" ht="15.75" customHeight="1">
      <c r="A1563" s="4" t="s">
        <v>1769</v>
      </c>
      <c r="B1563" s="6">
        <v>45456</v>
      </c>
      <c r="C1563" s="4">
        <v>2024</v>
      </c>
      <c r="D1563" s="4">
        <v>6</v>
      </c>
      <c r="E1563" s="4" t="s">
        <v>34</v>
      </c>
      <c r="F1563" s="4" t="s">
        <v>5</v>
      </c>
      <c r="G1563" s="4" t="s">
        <v>6</v>
      </c>
      <c r="H1563" s="4" t="s">
        <v>80</v>
      </c>
      <c r="I1563" s="4" t="s">
        <v>7</v>
      </c>
      <c r="J1563" s="4" t="s">
        <v>381</v>
      </c>
      <c r="K1563" s="4">
        <v>1</v>
      </c>
      <c r="L1563" s="5">
        <v>157.52000000000001</v>
      </c>
      <c r="M1563" s="5">
        <v>157.52000000000001</v>
      </c>
      <c r="N1563" s="5">
        <v>108.32</v>
      </c>
      <c r="O1563" s="5">
        <v>49.2</v>
      </c>
      <c r="P1563" s="4">
        <f>--AND(OR(Dashboard!$A$10="All",C1563=Dashboard!$A$10),OR(Dashboard!$A$14="All",F1563=Dashboard!$A$14),OR(Dashboard!$A$18="All",G1563=Dashboard!$A$18),OR(Dashboard!$A$22="All",I1563=Dashboard!$A$22))</f>
        <v>1</v>
      </c>
    </row>
    <row r="1564" spans="1:16" ht="15.75" customHeight="1">
      <c r="A1564" s="4" t="s">
        <v>1770</v>
      </c>
      <c r="B1564" s="6">
        <v>45498</v>
      </c>
      <c r="C1564" s="4">
        <v>2024</v>
      </c>
      <c r="D1564" s="4">
        <v>7</v>
      </c>
      <c r="E1564" s="4" t="s">
        <v>63</v>
      </c>
      <c r="F1564" s="4" t="s">
        <v>11</v>
      </c>
      <c r="G1564" s="4" t="s">
        <v>6</v>
      </c>
      <c r="H1564" s="4" t="s">
        <v>98</v>
      </c>
      <c r="I1564" s="4" t="s">
        <v>7</v>
      </c>
      <c r="J1564" s="4" t="s">
        <v>118</v>
      </c>
      <c r="K1564" s="4">
        <v>1</v>
      </c>
      <c r="L1564" s="5">
        <v>160.80000000000001</v>
      </c>
      <c r="M1564" s="5">
        <v>160.80000000000001</v>
      </c>
      <c r="N1564" s="5">
        <v>110.79</v>
      </c>
      <c r="O1564" s="5">
        <v>50.01</v>
      </c>
      <c r="P1564" s="4">
        <f>--AND(OR(Dashboard!$A$10="All",C1564=Dashboard!$A$10),OR(Dashboard!$A$14="All",F1564=Dashboard!$A$14),OR(Dashboard!$A$18="All",G1564=Dashboard!$A$18),OR(Dashboard!$A$22="All",I1564=Dashboard!$A$22))</f>
        <v>1</v>
      </c>
    </row>
    <row r="1565" spans="1:16" ht="15.75" customHeight="1">
      <c r="A1565" s="4" t="s">
        <v>1771</v>
      </c>
      <c r="B1565" s="6">
        <v>45908</v>
      </c>
      <c r="C1565" s="4">
        <v>2025</v>
      </c>
      <c r="D1565" s="4">
        <v>9</v>
      </c>
      <c r="E1565" s="4" t="s">
        <v>79</v>
      </c>
      <c r="F1565" s="4" t="s">
        <v>5</v>
      </c>
      <c r="G1565" s="4" t="s">
        <v>6</v>
      </c>
      <c r="H1565" s="4" t="s">
        <v>54</v>
      </c>
      <c r="I1565" s="4" t="s">
        <v>7</v>
      </c>
      <c r="J1565" s="4" t="s">
        <v>209</v>
      </c>
      <c r="K1565" s="4">
        <v>4</v>
      </c>
      <c r="L1565" s="5">
        <v>214.79</v>
      </c>
      <c r="M1565" s="5">
        <v>859.16</v>
      </c>
      <c r="N1565" s="5">
        <v>540.94000000000005</v>
      </c>
      <c r="O1565" s="5">
        <v>318.22000000000003</v>
      </c>
      <c r="P1565" s="4">
        <f>--AND(OR(Dashboard!$A$10="All",C1565=Dashboard!$A$10),OR(Dashboard!$A$14="All",F1565=Dashboard!$A$14),OR(Dashboard!$A$18="All",G1565=Dashboard!$A$18),OR(Dashboard!$A$22="All",I1565=Dashboard!$A$22))</f>
        <v>1</v>
      </c>
    </row>
    <row r="1566" spans="1:16" ht="15.75" customHeight="1">
      <c r="A1566" s="4" t="s">
        <v>1772</v>
      </c>
      <c r="B1566" s="6">
        <v>45714</v>
      </c>
      <c r="C1566" s="4">
        <v>2025</v>
      </c>
      <c r="D1566" s="4">
        <v>2</v>
      </c>
      <c r="E1566" s="4" t="s">
        <v>70</v>
      </c>
      <c r="F1566" s="4" t="s">
        <v>8</v>
      </c>
      <c r="G1566" s="4" t="s">
        <v>6</v>
      </c>
      <c r="H1566" s="4" t="s">
        <v>80</v>
      </c>
      <c r="I1566" s="4" t="s">
        <v>13</v>
      </c>
      <c r="J1566" s="4" t="s">
        <v>532</v>
      </c>
      <c r="K1566" s="4">
        <v>9</v>
      </c>
      <c r="L1566" s="5">
        <v>175.98</v>
      </c>
      <c r="M1566" s="5">
        <v>1583.82</v>
      </c>
      <c r="N1566" s="5">
        <v>1057.8800000000001</v>
      </c>
      <c r="O1566" s="5">
        <v>525.94000000000005</v>
      </c>
      <c r="P1566" s="4">
        <f>--AND(OR(Dashboard!$A$10="All",C1566=Dashboard!$A$10),OR(Dashboard!$A$14="All",F1566=Dashboard!$A$14),OR(Dashboard!$A$18="All",G1566=Dashboard!$A$18),OR(Dashboard!$A$22="All",I1566=Dashboard!$A$22))</f>
        <v>1</v>
      </c>
    </row>
    <row r="1567" spans="1:16" ht="15.75" customHeight="1">
      <c r="A1567" s="4" t="s">
        <v>1773</v>
      </c>
      <c r="B1567" s="6">
        <v>45348</v>
      </c>
      <c r="C1567" s="4">
        <v>2024</v>
      </c>
      <c r="D1567" s="4">
        <v>2</v>
      </c>
      <c r="E1567" s="4" t="s">
        <v>70</v>
      </c>
      <c r="F1567" s="4" t="s">
        <v>5</v>
      </c>
      <c r="G1567" s="4" t="s">
        <v>9</v>
      </c>
      <c r="H1567" s="4" t="s">
        <v>142</v>
      </c>
      <c r="I1567" s="4" t="s">
        <v>7</v>
      </c>
      <c r="J1567" s="4" t="s">
        <v>177</v>
      </c>
      <c r="K1567" s="4">
        <v>1</v>
      </c>
      <c r="L1567" s="5">
        <v>43.95</v>
      </c>
      <c r="M1567" s="5">
        <v>43.95</v>
      </c>
      <c r="N1567" s="5">
        <v>21.05</v>
      </c>
      <c r="O1567" s="5">
        <v>22.9</v>
      </c>
      <c r="P1567" s="4">
        <f>--AND(OR(Dashboard!$A$10="All",C1567=Dashboard!$A$10),OR(Dashboard!$A$14="All",F1567=Dashboard!$A$14),OR(Dashboard!$A$18="All",G1567=Dashboard!$A$18),OR(Dashboard!$A$22="All",I1567=Dashboard!$A$22))</f>
        <v>1</v>
      </c>
    </row>
    <row r="1568" spans="1:16" ht="15.75" customHeight="1">
      <c r="A1568" s="4" t="s">
        <v>1774</v>
      </c>
      <c r="B1568" s="6">
        <v>45510</v>
      </c>
      <c r="C1568" s="4">
        <v>2024</v>
      </c>
      <c r="D1568" s="4">
        <v>8</v>
      </c>
      <c r="E1568" s="4" t="s">
        <v>67</v>
      </c>
      <c r="F1568" s="4" t="s">
        <v>5</v>
      </c>
      <c r="G1568" s="4" t="s">
        <v>9</v>
      </c>
      <c r="H1568" s="4" t="s">
        <v>35</v>
      </c>
      <c r="I1568" s="4" t="s">
        <v>10</v>
      </c>
      <c r="J1568" s="4" t="s">
        <v>146</v>
      </c>
      <c r="K1568" s="4">
        <v>1</v>
      </c>
      <c r="L1568" s="5">
        <v>56.06</v>
      </c>
      <c r="M1568" s="5">
        <v>56.06</v>
      </c>
      <c r="N1568" s="5">
        <v>27.44</v>
      </c>
      <c r="O1568" s="5">
        <v>28.62</v>
      </c>
      <c r="P1568" s="4">
        <f>--AND(OR(Dashboard!$A$10="All",C1568=Dashboard!$A$10),OR(Dashboard!$A$14="All",F1568=Dashboard!$A$14),OR(Dashboard!$A$18="All",G1568=Dashboard!$A$18),OR(Dashboard!$A$22="All",I1568=Dashboard!$A$22))</f>
        <v>1</v>
      </c>
    </row>
    <row r="1569" spans="1:16" ht="15.75" customHeight="1">
      <c r="A1569" s="4" t="s">
        <v>1775</v>
      </c>
      <c r="B1569" s="6">
        <v>45589</v>
      </c>
      <c r="C1569" s="4">
        <v>2024</v>
      </c>
      <c r="D1569" s="4">
        <v>10</v>
      </c>
      <c r="E1569" s="4" t="s">
        <v>120</v>
      </c>
      <c r="F1569" s="4" t="s">
        <v>14</v>
      </c>
      <c r="G1569" s="4" t="s">
        <v>9</v>
      </c>
      <c r="H1569" s="4" t="s">
        <v>142</v>
      </c>
      <c r="I1569" s="4" t="s">
        <v>13</v>
      </c>
      <c r="J1569" s="4" t="s">
        <v>207</v>
      </c>
      <c r="K1569" s="4">
        <v>5</v>
      </c>
      <c r="L1569" s="5">
        <v>37.799999999999997</v>
      </c>
      <c r="M1569" s="5">
        <v>189</v>
      </c>
      <c r="N1569" s="5">
        <v>92.42</v>
      </c>
      <c r="O1569" s="5">
        <v>96.58</v>
      </c>
      <c r="P1569" s="4">
        <f>--AND(OR(Dashboard!$A$10="All",C1569=Dashboard!$A$10),OR(Dashboard!$A$14="All",F1569=Dashboard!$A$14),OR(Dashboard!$A$18="All",G1569=Dashboard!$A$18),OR(Dashboard!$A$22="All",I1569=Dashboard!$A$22))</f>
        <v>1</v>
      </c>
    </row>
    <row r="1570" spans="1:16" ht="15.75" customHeight="1">
      <c r="A1570" s="4" t="s">
        <v>1776</v>
      </c>
      <c r="B1570" s="6">
        <v>45891</v>
      </c>
      <c r="C1570" s="4">
        <v>2025</v>
      </c>
      <c r="D1570" s="4">
        <v>8</v>
      </c>
      <c r="E1570" s="4" t="s">
        <v>67</v>
      </c>
      <c r="F1570" s="4" t="s">
        <v>14</v>
      </c>
      <c r="G1570" s="4" t="s">
        <v>6</v>
      </c>
      <c r="H1570" s="4" t="s">
        <v>80</v>
      </c>
      <c r="I1570" s="4" t="s">
        <v>13</v>
      </c>
      <c r="J1570" s="4" t="s">
        <v>68</v>
      </c>
      <c r="K1570" s="4">
        <v>3</v>
      </c>
      <c r="L1570" s="5">
        <v>137.91999999999999</v>
      </c>
      <c r="M1570" s="5">
        <v>413.76</v>
      </c>
      <c r="N1570" s="5">
        <v>265.10000000000002</v>
      </c>
      <c r="O1570" s="5">
        <v>148.66</v>
      </c>
      <c r="P1570" s="4">
        <f>--AND(OR(Dashboard!$A$10="All",C1570=Dashboard!$A$10),OR(Dashboard!$A$14="All",F1570=Dashboard!$A$14),OR(Dashboard!$A$18="All",G1570=Dashboard!$A$18),OR(Dashboard!$A$22="All",I1570=Dashboard!$A$22))</f>
        <v>1</v>
      </c>
    </row>
    <row r="1571" spans="1:16" ht="15.75" customHeight="1">
      <c r="A1571" s="4" t="s">
        <v>1777</v>
      </c>
      <c r="B1571" s="6">
        <v>45466</v>
      </c>
      <c r="C1571" s="4">
        <v>2024</v>
      </c>
      <c r="D1571" s="4">
        <v>6</v>
      </c>
      <c r="E1571" s="4" t="s">
        <v>34</v>
      </c>
      <c r="F1571" s="4" t="s">
        <v>5</v>
      </c>
      <c r="G1571" s="4" t="s">
        <v>6</v>
      </c>
      <c r="H1571" s="4" t="s">
        <v>136</v>
      </c>
      <c r="I1571" s="4" t="s">
        <v>7</v>
      </c>
      <c r="J1571" s="4" t="s">
        <v>125</v>
      </c>
      <c r="K1571" s="4">
        <v>2</v>
      </c>
      <c r="L1571" s="5">
        <v>213.58</v>
      </c>
      <c r="M1571" s="5">
        <v>427.16</v>
      </c>
      <c r="N1571" s="5">
        <v>273.67</v>
      </c>
      <c r="O1571" s="5">
        <v>153.49</v>
      </c>
      <c r="P1571" s="4">
        <f>--AND(OR(Dashboard!$A$10="All",C1571=Dashboard!$A$10),OR(Dashboard!$A$14="All",F1571=Dashboard!$A$14),OR(Dashboard!$A$18="All",G1571=Dashboard!$A$18),OR(Dashboard!$A$22="All",I1571=Dashboard!$A$22))</f>
        <v>1</v>
      </c>
    </row>
    <row r="1572" spans="1:16" ht="15.75" customHeight="1">
      <c r="A1572" s="4" t="s">
        <v>1778</v>
      </c>
      <c r="B1572" s="6">
        <v>45945</v>
      </c>
      <c r="C1572" s="4">
        <v>2025</v>
      </c>
      <c r="D1572" s="4">
        <v>10</v>
      </c>
      <c r="E1572" s="4" t="s">
        <v>120</v>
      </c>
      <c r="F1572" s="4" t="s">
        <v>5</v>
      </c>
      <c r="G1572" s="4" t="s">
        <v>6</v>
      </c>
      <c r="H1572" s="4" t="s">
        <v>98</v>
      </c>
      <c r="I1572" s="4" t="s">
        <v>7</v>
      </c>
      <c r="J1572" s="4" t="s">
        <v>59</v>
      </c>
      <c r="K1572" s="4">
        <v>3</v>
      </c>
      <c r="L1572" s="5">
        <v>221.73</v>
      </c>
      <c r="M1572" s="5">
        <v>665.19</v>
      </c>
      <c r="N1572" s="5">
        <v>452.35</v>
      </c>
      <c r="O1572" s="5">
        <v>212.84</v>
      </c>
      <c r="P1572" s="4">
        <f>--AND(OR(Dashboard!$A$10="All",C1572=Dashboard!$A$10),OR(Dashboard!$A$14="All",F1572=Dashboard!$A$14),OR(Dashboard!$A$18="All",G1572=Dashboard!$A$18),OR(Dashboard!$A$22="All",I1572=Dashboard!$A$22))</f>
        <v>1</v>
      </c>
    </row>
    <row r="1573" spans="1:16" ht="15.75" customHeight="1">
      <c r="A1573" s="4" t="s">
        <v>1779</v>
      </c>
      <c r="B1573" s="6">
        <v>45677</v>
      </c>
      <c r="C1573" s="4">
        <v>2025</v>
      </c>
      <c r="D1573" s="4">
        <v>1</v>
      </c>
      <c r="E1573" s="4" t="s">
        <v>30</v>
      </c>
      <c r="F1573" s="4" t="s">
        <v>8</v>
      </c>
      <c r="G1573" s="4" t="s">
        <v>12</v>
      </c>
      <c r="H1573" s="4" t="s">
        <v>92</v>
      </c>
      <c r="I1573" s="4" t="s">
        <v>10</v>
      </c>
      <c r="J1573" s="4" t="s">
        <v>336</v>
      </c>
      <c r="K1573" s="4">
        <v>10</v>
      </c>
      <c r="L1573" s="5">
        <v>238</v>
      </c>
      <c r="M1573" s="5">
        <v>2380</v>
      </c>
      <c r="N1573" s="5">
        <v>1439.49</v>
      </c>
      <c r="O1573" s="5">
        <v>940.51</v>
      </c>
      <c r="P1573" s="4">
        <f>--AND(OR(Dashboard!$A$10="All",C1573=Dashboard!$A$10),OR(Dashboard!$A$14="All",F1573=Dashboard!$A$14),OR(Dashboard!$A$18="All",G1573=Dashboard!$A$18),OR(Dashboard!$A$22="All",I1573=Dashboard!$A$22))</f>
        <v>1</v>
      </c>
    </row>
    <row r="1574" spans="1:16" ht="15.75" customHeight="1">
      <c r="A1574" s="4" t="s">
        <v>1780</v>
      </c>
      <c r="B1574" s="6">
        <v>45404</v>
      </c>
      <c r="C1574" s="4">
        <v>2024</v>
      </c>
      <c r="D1574" s="4">
        <v>4</v>
      </c>
      <c r="E1574" s="4" t="s">
        <v>106</v>
      </c>
      <c r="F1574" s="4" t="s">
        <v>5</v>
      </c>
      <c r="G1574" s="4" t="s">
        <v>9</v>
      </c>
      <c r="H1574" s="4" t="s">
        <v>142</v>
      </c>
      <c r="I1574" s="4" t="s">
        <v>7</v>
      </c>
      <c r="J1574" s="4" t="s">
        <v>292</v>
      </c>
      <c r="K1574" s="4">
        <v>3</v>
      </c>
      <c r="L1574" s="5">
        <v>27.2</v>
      </c>
      <c r="M1574" s="5">
        <v>81.599999999999994</v>
      </c>
      <c r="N1574" s="5">
        <v>39.880000000000003</v>
      </c>
      <c r="O1574" s="5">
        <v>41.72</v>
      </c>
      <c r="P1574" s="4">
        <f>--AND(OR(Dashboard!$A$10="All",C1574=Dashboard!$A$10),OR(Dashboard!$A$14="All",F1574=Dashboard!$A$14),OR(Dashboard!$A$18="All",G1574=Dashboard!$A$18),OR(Dashboard!$A$22="All",I1574=Dashboard!$A$22))</f>
        <v>1</v>
      </c>
    </row>
    <row r="1575" spans="1:16" ht="15.75" customHeight="1">
      <c r="A1575" s="4" t="s">
        <v>1781</v>
      </c>
      <c r="B1575" s="6">
        <v>45857</v>
      </c>
      <c r="C1575" s="4">
        <v>2025</v>
      </c>
      <c r="D1575" s="4">
        <v>7</v>
      </c>
      <c r="E1575" s="4" t="s">
        <v>63</v>
      </c>
      <c r="F1575" s="4" t="s">
        <v>11</v>
      </c>
      <c r="G1575" s="4" t="s">
        <v>6</v>
      </c>
      <c r="H1575" s="4" t="s">
        <v>114</v>
      </c>
      <c r="I1575" s="4" t="s">
        <v>10</v>
      </c>
      <c r="J1575" s="4" t="s">
        <v>205</v>
      </c>
      <c r="K1575" s="4">
        <v>8</v>
      </c>
      <c r="L1575" s="5">
        <v>210.13</v>
      </c>
      <c r="M1575" s="5">
        <v>1681.04</v>
      </c>
      <c r="N1575" s="5">
        <v>1089.07</v>
      </c>
      <c r="O1575" s="5">
        <v>591.97</v>
      </c>
      <c r="P1575" s="4">
        <f>--AND(OR(Dashboard!$A$10="All",C1575=Dashboard!$A$10),OR(Dashboard!$A$14="All",F1575=Dashboard!$A$14),OR(Dashboard!$A$18="All",G1575=Dashboard!$A$18),OR(Dashboard!$A$22="All",I1575=Dashboard!$A$22))</f>
        <v>1</v>
      </c>
    </row>
    <row r="1576" spans="1:16" ht="15.75" customHeight="1">
      <c r="A1576" s="4" t="s">
        <v>1782</v>
      </c>
      <c r="B1576" s="6">
        <v>45815</v>
      </c>
      <c r="C1576" s="4">
        <v>2025</v>
      </c>
      <c r="D1576" s="4">
        <v>6</v>
      </c>
      <c r="E1576" s="4" t="s">
        <v>34</v>
      </c>
      <c r="F1576" s="4" t="s">
        <v>8</v>
      </c>
      <c r="G1576" s="4" t="s">
        <v>9</v>
      </c>
      <c r="H1576" s="4" t="s">
        <v>142</v>
      </c>
      <c r="I1576" s="4" t="s">
        <v>7</v>
      </c>
      <c r="J1576" s="4" t="s">
        <v>186</v>
      </c>
      <c r="K1576" s="4">
        <v>1</v>
      </c>
      <c r="L1576" s="5">
        <v>28.81</v>
      </c>
      <c r="M1576" s="5">
        <v>28.81</v>
      </c>
      <c r="N1576" s="5">
        <v>13.98</v>
      </c>
      <c r="O1576" s="5">
        <v>14.83</v>
      </c>
      <c r="P1576" s="4">
        <f>--AND(OR(Dashboard!$A$10="All",C1576=Dashboard!$A$10),OR(Dashboard!$A$14="All",F1576=Dashboard!$A$14),OR(Dashboard!$A$18="All",G1576=Dashboard!$A$18),OR(Dashboard!$A$22="All",I1576=Dashboard!$A$22))</f>
        <v>1</v>
      </c>
    </row>
    <row r="1577" spans="1:16" ht="15.75" customHeight="1">
      <c r="A1577" s="4" t="s">
        <v>1783</v>
      </c>
      <c r="B1577" s="6">
        <v>46000</v>
      </c>
      <c r="C1577" s="4">
        <v>2025</v>
      </c>
      <c r="D1577" s="4">
        <v>12</v>
      </c>
      <c r="E1577" s="4" t="s">
        <v>57</v>
      </c>
      <c r="F1577" s="4" t="s">
        <v>5</v>
      </c>
      <c r="G1577" s="4" t="s">
        <v>12</v>
      </c>
      <c r="H1577" s="4" t="s">
        <v>58</v>
      </c>
      <c r="I1577" s="4" t="s">
        <v>7</v>
      </c>
      <c r="J1577" s="4" t="s">
        <v>218</v>
      </c>
      <c r="K1577" s="4">
        <v>1</v>
      </c>
      <c r="L1577" s="5">
        <v>238.38</v>
      </c>
      <c r="M1577" s="5">
        <v>238.38</v>
      </c>
      <c r="N1577" s="5">
        <v>150.09</v>
      </c>
      <c r="O1577" s="5">
        <v>88.29</v>
      </c>
      <c r="P1577" s="4">
        <f>--AND(OR(Dashboard!$A$10="All",C1577=Dashboard!$A$10),OR(Dashboard!$A$14="All",F1577=Dashboard!$A$14),OR(Dashboard!$A$18="All",G1577=Dashboard!$A$18),OR(Dashboard!$A$22="All",I1577=Dashboard!$A$22))</f>
        <v>1</v>
      </c>
    </row>
    <row r="1578" spans="1:16" ht="15.75" customHeight="1">
      <c r="A1578" s="4" t="s">
        <v>1784</v>
      </c>
      <c r="B1578" s="6">
        <v>45830</v>
      </c>
      <c r="C1578" s="4">
        <v>2025</v>
      </c>
      <c r="D1578" s="4">
        <v>6</v>
      </c>
      <c r="E1578" s="4" t="s">
        <v>34</v>
      </c>
      <c r="F1578" s="4" t="s">
        <v>8</v>
      </c>
      <c r="G1578" s="4" t="s">
        <v>6</v>
      </c>
      <c r="H1578" s="4" t="s">
        <v>54</v>
      </c>
      <c r="I1578" s="4" t="s">
        <v>13</v>
      </c>
      <c r="J1578" s="4" t="s">
        <v>263</v>
      </c>
      <c r="K1578" s="4">
        <v>8</v>
      </c>
      <c r="L1578" s="5">
        <v>115.79</v>
      </c>
      <c r="M1578" s="5">
        <v>926.32</v>
      </c>
      <c r="N1578" s="5">
        <v>591.76</v>
      </c>
      <c r="O1578" s="5">
        <v>334.56</v>
      </c>
      <c r="P1578" s="4">
        <f>--AND(OR(Dashboard!$A$10="All",C1578=Dashboard!$A$10),OR(Dashboard!$A$14="All",F1578=Dashboard!$A$14),OR(Dashboard!$A$18="All",G1578=Dashboard!$A$18),OR(Dashboard!$A$22="All",I1578=Dashboard!$A$22))</f>
        <v>1</v>
      </c>
    </row>
    <row r="1579" spans="1:16" ht="15.75" customHeight="1">
      <c r="A1579" s="4" t="s">
        <v>1785</v>
      </c>
      <c r="B1579" s="6">
        <v>45539</v>
      </c>
      <c r="C1579" s="4">
        <v>2024</v>
      </c>
      <c r="D1579" s="4">
        <v>9</v>
      </c>
      <c r="E1579" s="4" t="s">
        <v>79</v>
      </c>
      <c r="F1579" s="4" t="s">
        <v>5</v>
      </c>
      <c r="G1579" s="4" t="s">
        <v>6</v>
      </c>
      <c r="H1579" s="4" t="s">
        <v>98</v>
      </c>
      <c r="I1579" s="4" t="s">
        <v>10</v>
      </c>
      <c r="J1579" s="4" t="s">
        <v>177</v>
      </c>
      <c r="K1579" s="4">
        <v>1</v>
      </c>
      <c r="L1579" s="5">
        <v>152.9</v>
      </c>
      <c r="M1579" s="5">
        <v>152.9</v>
      </c>
      <c r="N1579" s="5">
        <v>104.09</v>
      </c>
      <c r="O1579" s="5">
        <v>48.81</v>
      </c>
      <c r="P1579" s="4">
        <f>--AND(OR(Dashboard!$A$10="All",C1579=Dashboard!$A$10),OR(Dashboard!$A$14="All",F1579=Dashboard!$A$14),OR(Dashboard!$A$18="All",G1579=Dashboard!$A$18),OR(Dashboard!$A$22="All",I1579=Dashboard!$A$22))</f>
        <v>1</v>
      </c>
    </row>
    <row r="1580" spans="1:16" ht="15.75" customHeight="1">
      <c r="A1580" s="4" t="s">
        <v>1786</v>
      </c>
      <c r="B1580" s="6">
        <v>45657</v>
      </c>
      <c r="C1580" s="4">
        <v>2024</v>
      </c>
      <c r="D1580" s="4">
        <v>12</v>
      </c>
      <c r="E1580" s="4" t="s">
        <v>57</v>
      </c>
      <c r="F1580" s="4" t="s">
        <v>5</v>
      </c>
      <c r="G1580" s="4" t="s">
        <v>12</v>
      </c>
      <c r="H1580" s="4" t="s">
        <v>86</v>
      </c>
      <c r="I1580" s="4" t="s">
        <v>7</v>
      </c>
      <c r="J1580" s="4" t="s">
        <v>301</v>
      </c>
      <c r="K1580" s="4">
        <v>4</v>
      </c>
      <c r="L1580" s="5">
        <v>308.31</v>
      </c>
      <c r="M1580" s="5">
        <v>1233.24</v>
      </c>
      <c r="N1580" s="5">
        <v>706.97</v>
      </c>
      <c r="O1580" s="5">
        <v>526.27</v>
      </c>
      <c r="P1580" s="4">
        <f>--AND(OR(Dashboard!$A$10="All",C1580=Dashboard!$A$10),OR(Dashboard!$A$14="All",F1580=Dashboard!$A$14),OR(Dashboard!$A$18="All",G1580=Dashboard!$A$18),OR(Dashboard!$A$22="All",I1580=Dashboard!$A$22))</f>
        <v>1</v>
      </c>
    </row>
    <row r="1581" spans="1:16" ht="15.75" customHeight="1">
      <c r="A1581" s="4" t="s">
        <v>1787</v>
      </c>
      <c r="B1581" s="6">
        <v>45979</v>
      </c>
      <c r="C1581" s="4">
        <v>2025</v>
      </c>
      <c r="D1581" s="4">
        <v>11</v>
      </c>
      <c r="E1581" s="4" t="s">
        <v>89</v>
      </c>
      <c r="F1581" s="4" t="s">
        <v>8</v>
      </c>
      <c r="G1581" s="4" t="s">
        <v>9</v>
      </c>
      <c r="H1581" s="4" t="s">
        <v>35</v>
      </c>
      <c r="I1581" s="4" t="s">
        <v>7</v>
      </c>
      <c r="J1581" s="4" t="s">
        <v>189</v>
      </c>
      <c r="K1581" s="4">
        <v>1</v>
      </c>
      <c r="L1581" s="5">
        <v>25.23</v>
      </c>
      <c r="M1581" s="5">
        <v>25.23</v>
      </c>
      <c r="N1581" s="5">
        <v>12.71</v>
      </c>
      <c r="O1581" s="5">
        <v>12.52</v>
      </c>
      <c r="P1581" s="4">
        <f>--AND(OR(Dashboard!$A$10="All",C1581=Dashboard!$A$10),OR(Dashboard!$A$14="All",F1581=Dashboard!$A$14),OR(Dashboard!$A$18="All",G1581=Dashboard!$A$18),OR(Dashboard!$A$22="All",I1581=Dashboard!$A$22))</f>
        <v>1</v>
      </c>
    </row>
    <row r="1582" spans="1:16" ht="15.75" customHeight="1">
      <c r="A1582" s="4" t="s">
        <v>1788</v>
      </c>
      <c r="B1582" s="6">
        <v>45688</v>
      </c>
      <c r="C1582" s="4">
        <v>2025</v>
      </c>
      <c r="D1582" s="4">
        <v>1</v>
      </c>
      <c r="E1582" s="4" t="s">
        <v>30</v>
      </c>
      <c r="F1582" s="4" t="s">
        <v>5</v>
      </c>
      <c r="G1582" s="4" t="s">
        <v>6</v>
      </c>
      <c r="H1582" s="4" t="s">
        <v>54</v>
      </c>
      <c r="I1582" s="4" t="s">
        <v>10</v>
      </c>
      <c r="J1582" s="4" t="s">
        <v>72</v>
      </c>
      <c r="K1582" s="4">
        <v>6</v>
      </c>
      <c r="L1582" s="5">
        <v>206.98</v>
      </c>
      <c r="M1582" s="5">
        <v>1241.8800000000001</v>
      </c>
      <c r="N1582" s="5">
        <v>818.96</v>
      </c>
      <c r="O1582" s="5">
        <v>422.92</v>
      </c>
      <c r="P1582" s="4">
        <f>--AND(OR(Dashboard!$A$10="All",C1582=Dashboard!$A$10),OR(Dashboard!$A$14="All",F1582=Dashboard!$A$14),OR(Dashboard!$A$18="All",G1582=Dashboard!$A$18),OR(Dashboard!$A$22="All",I1582=Dashboard!$A$22))</f>
        <v>1</v>
      </c>
    </row>
    <row r="1583" spans="1:16" ht="15.75" customHeight="1">
      <c r="A1583" s="4" t="s">
        <v>1789</v>
      </c>
      <c r="B1583" s="6">
        <v>45311</v>
      </c>
      <c r="C1583" s="4">
        <v>2024</v>
      </c>
      <c r="D1583" s="4">
        <v>1</v>
      </c>
      <c r="E1583" s="4" t="s">
        <v>30</v>
      </c>
      <c r="F1583" s="4" t="s">
        <v>5</v>
      </c>
      <c r="G1583" s="4" t="s">
        <v>12</v>
      </c>
      <c r="H1583" s="4" t="s">
        <v>86</v>
      </c>
      <c r="I1583" s="4" t="s">
        <v>13</v>
      </c>
      <c r="J1583" s="4" t="s">
        <v>371</v>
      </c>
      <c r="K1583" s="4">
        <v>5</v>
      </c>
      <c r="L1583" s="5">
        <v>316.86</v>
      </c>
      <c r="M1583" s="5">
        <v>1584.3</v>
      </c>
      <c r="N1583" s="5">
        <v>947.28</v>
      </c>
      <c r="O1583" s="5">
        <v>637.02</v>
      </c>
      <c r="P1583" s="4">
        <f>--AND(OR(Dashboard!$A$10="All",C1583=Dashboard!$A$10),OR(Dashboard!$A$14="All",F1583=Dashboard!$A$14),OR(Dashboard!$A$18="All",G1583=Dashboard!$A$18),OR(Dashboard!$A$22="All",I1583=Dashboard!$A$22))</f>
        <v>1</v>
      </c>
    </row>
    <row r="1584" spans="1:16" ht="15.75" customHeight="1">
      <c r="A1584" s="4" t="s">
        <v>1790</v>
      </c>
      <c r="B1584" s="6">
        <v>46000</v>
      </c>
      <c r="C1584" s="4">
        <v>2025</v>
      </c>
      <c r="D1584" s="4">
        <v>12</v>
      </c>
      <c r="E1584" s="4" t="s">
        <v>57</v>
      </c>
      <c r="F1584" s="4" t="s">
        <v>5</v>
      </c>
      <c r="G1584" s="4" t="s">
        <v>6</v>
      </c>
      <c r="H1584" s="4" t="s">
        <v>114</v>
      </c>
      <c r="I1584" s="4" t="s">
        <v>10</v>
      </c>
      <c r="J1584" s="4" t="s">
        <v>317</v>
      </c>
      <c r="K1584" s="4">
        <v>7</v>
      </c>
      <c r="L1584" s="5">
        <v>125.95</v>
      </c>
      <c r="M1584" s="5">
        <v>881.65</v>
      </c>
      <c r="N1584" s="5">
        <v>594.16999999999996</v>
      </c>
      <c r="O1584" s="5">
        <v>287.48</v>
      </c>
      <c r="P1584" s="4">
        <f>--AND(OR(Dashboard!$A$10="All",C1584=Dashboard!$A$10),OR(Dashboard!$A$14="All",F1584=Dashboard!$A$14),OR(Dashboard!$A$18="All",G1584=Dashboard!$A$18),OR(Dashboard!$A$22="All",I1584=Dashboard!$A$22))</f>
        <v>1</v>
      </c>
    </row>
    <row r="1585" spans="1:16" ht="15.75" customHeight="1">
      <c r="A1585" s="4" t="s">
        <v>1791</v>
      </c>
      <c r="B1585" s="6">
        <v>45809</v>
      </c>
      <c r="C1585" s="4">
        <v>2025</v>
      </c>
      <c r="D1585" s="4">
        <v>6</v>
      </c>
      <c r="E1585" s="4" t="s">
        <v>34</v>
      </c>
      <c r="F1585" s="4" t="s">
        <v>5</v>
      </c>
      <c r="G1585" s="4" t="s">
        <v>6</v>
      </c>
      <c r="H1585" s="4" t="s">
        <v>80</v>
      </c>
      <c r="I1585" s="4" t="s">
        <v>13</v>
      </c>
      <c r="J1585" s="4" t="s">
        <v>319</v>
      </c>
      <c r="K1585" s="4">
        <v>9</v>
      </c>
      <c r="L1585" s="5">
        <v>208.72</v>
      </c>
      <c r="M1585" s="5">
        <v>1878.48</v>
      </c>
      <c r="N1585" s="5">
        <v>1261.21</v>
      </c>
      <c r="O1585" s="5">
        <v>617.27</v>
      </c>
      <c r="P1585" s="4">
        <f>--AND(OR(Dashboard!$A$10="All",C1585=Dashboard!$A$10),OR(Dashboard!$A$14="All",F1585=Dashboard!$A$14),OR(Dashboard!$A$18="All",G1585=Dashboard!$A$18),OR(Dashboard!$A$22="All",I1585=Dashboard!$A$22))</f>
        <v>1</v>
      </c>
    </row>
    <row r="1586" spans="1:16" ht="15.75" customHeight="1">
      <c r="A1586" s="4" t="s">
        <v>1792</v>
      </c>
      <c r="B1586" s="6">
        <v>45774</v>
      </c>
      <c r="C1586" s="4">
        <v>2025</v>
      </c>
      <c r="D1586" s="4">
        <v>4</v>
      </c>
      <c r="E1586" s="4" t="s">
        <v>106</v>
      </c>
      <c r="F1586" s="4" t="s">
        <v>5</v>
      </c>
      <c r="G1586" s="4" t="s">
        <v>12</v>
      </c>
      <c r="H1586" s="4" t="s">
        <v>92</v>
      </c>
      <c r="I1586" s="4" t="s">
        <v>7</v>
      </c>
      <c r="J1586" s="4" t="s">
        <v>270</v>
      </c>
      <c r="K1586" s="4">
        <v>2</v>
      </c>
      <c r="L1586" s="5">
        <v>290.74</v>
      </c>
      <c r="M1586" s="5">
        <v>581.48</v>
      </c>
      <c r="N1586" s="5">
        <v>354.22</v>
      </c>
      <c r="O1586" s="5">
        <v>227.26</v>
      </c>
      <c r="P1586" s="4">
        <f>--AND(OR(Dashboard!$A$10="All",C1586=Dashboard!$A$10),OR(Dashboard!$A$14="All",F1586=Dashboard!$A$14),OR(Dashboard!$A$18="All",G1586=Dashboard!$A$18),OR(Dashboard!$A$22="All",I1586=Dashboard!$A$22))</f>
        <v>1</v>
      </c>
    </row>
    <row r="1587" spans="1:16" ht="15.75" customHeight="1">
      <c r="A1587" s="4" t="s">
        <v>1793</v>
      </c>
      <c r="B1587" s="6">
        <v>45559</v>
      </c>
      <c r="C1587" s="4">
        <v>2024</v>
      </c>
      <c r="D1587" s="4">
        <v>9</v>
      </c>
      <c r="E1587" s="4" t="s">
        <v>79</v>
      </c>
      <c r="F1587" s="4" t="s">
        <v>11</v>
      </c>
      <c r="G1587" s="4" t="s">
        <v>12</v>
      </c>
      <c r="H1587" s="4" t="s">
        <v>92</v>
      </c>
      <c r="I1587" s="4" t="s">
        <v>10</v>
      </c>
      <c r="J1587" s="4" t="s">
        <v>144</v>
      </c>
      <c r="K1587" s="4">
        <v>5</v>
      </c>
      <c r="L1587" s="5">
        <v>222.89</v>
      </c>
      <c r="M1587" s="5">
        <v>1114.45</v>
      </c>
      <c r="N1587" s="5">
        <v>662.57</v>
      </c>
      <c r="O1587" s="5">
        <v>451.88</v>
      </c>
      <c r="P1587" s="4">
        <f>--AND(OR(Dashboard!$A$10="All",C1587=Dashboard!$A$10),OR(Dashboard!$A$14="All",F1587=Dashboard!$A$14),OR(Dashboard!$A$18="All",G1587=Dashboard!$A$18),OR(Dashboard!$A$22="All",I1587=Dashboard!$A$22))</f>
        <v>1</v>
      </c>
    </row>
    <row r="1588" spans="1:16" ht="15.75" customHeight="1">
      <c r="A1588" s="4" t="s">
        <v>1794</v>
      </c>
      <c r="B1588" s="6">
        <v>45376</v>
      </c>
      <c r="C1588" s="4">
        <v>2024</v>
      </c>
      <c r="D1588" s="4">
        <v>3</v>
      </c>
      <c r="E1588" s="4" t="s">
        <v>100</v>
      </c>
      <c r="F1588" s="4" t="s">
        <v>5</v>
      </c>
      <c r="G1588" s="4" t="s">
        <v>9</v>
      </c>
      <c r="H1588" s="4" t="s">
        <v>110</v>
      </c>
      <c r="I1588" s="4" t="s">
        <v>10</v>
      </c>
      <c r="J1588" s="4" t="s">
        <v>174</v>
      </c>
      <c r="K1588" s="4">
        <v>5</v>
      </c>
      <c r="L1588" s="5">
        <v>47.12</v>
      </c>
      <c r="M1588" s="5">
        <v>235.6</v>
      </c>
      <c r="N1588" s="5">
        <v>113.39</v>
      </c>
      <c r="O1588" s="5">
        <v>122.21</v>
      </c>
      <c r="P1588" s="4">
        <f>--AND(OR(Dashboard!$A$10="All",C1588=Dashboard!$A$10),OR(Dashboard!$A$14="All",F1588=Dashboard!$A$14),OR(Dashboard!$A$18="All",G1588=Dashboard!$A$18),OR(Dashboard!$A$22="All",I1588=Dashboard!$A$22))</f>
        <v>1</v>
      </c>
    </row>
    <row r="1589" spans="1:16" ht="15.75" customHeight="1">
      <c r="A1589" s="4" t="s">
        <v>1795</v>
      </c>
      <c r="B1589" s="6">
        <v>45325</v>
      </c>
      <c r="C1589" s="4">
        <v>2024</v>
      </c>
      <c r="D1589" s="4">
        <v>2</v>
      </c>
      <c r="E1589" s="4" t="s">
        <v>70</v>
      </c>
      <c r="F1589" s="4" t="s">
        <v>8</v>
      </c>
      <c r="G1589" s="4" t="s">
        <v>6</v>
      </c>
      <c r="H1589" s="4" t="s">
        <v>114</v>
      </c>
      <c r="I1589" s="4" t="s">
        <v>7</v>
      </c>
      <c r="J1589" s="4" t="s">
        <v>381</v>
      </c>
      <c r="K1589" s="4">
        <v>5</v>
      </c>
      <c r="L1589" s="5">
        <v>176.69</v>
      </c>
      <c r="M1589" s="5">
        <v>883.45</v>
      </c>
      <c r="N1589" s="5">
        <v>587.38</v>
      </c>
      <c r="O1589" s="5">
        <v>296.07</v>
      </c>
      <c r="P1589" s="4">
        <f>--AND(OR(Dashboard!$A$10="All",C1589=Dashboard!$A$10),OR(Dashboard!$A$14="All",F1589=Dashboard!$A$14),OR(Dashboard!$A$18="All",G1589=Dashboard!$A$18),OR(Dashboard!$A$22="All",I1589=Dashboard!$A$22))</f>
        <v>1</v>
      </c>
    </row>
    <row r="1590" spans="1:16" ht="15.75" customHeight="1">
      <c r="A1590" s="4" t="s">
        <v>1796</v>
      </c>
      <c r="B1590" s="6">
        <v>45665</v>
      </c>
      <c r="C1590" s="4">
        <v>2025</v>
      </c>
      <c r="D1590" s="4">
        <v>1</v>
      </c>
      <c r="E1590" s="4" t="s">
        <v>30</v>
      </c>
      <c r="F1590" s="4" t="s">
        <v>14</v>
      </c>
      <c r="G1590" s="4" t="s">
        <v>9</v>
      </c>
      <c r="H1590" s="4" t="s">
        <v>64</v>
      </c>
      <c r="I1590" s="4" t="s">
        <v>7</v>
      </c>
      <c r="J1590" s="4" t="s">
        <v>373</v>
      </c>
      <c r="K1590" s="4">
        <v>5</v>
      </c>
      <c r="L1590" s="5">
        <v>53.07</v>
      </c>
      <c r="M1590" s="5">
        <v>265.35000000000002</v>
      </c>
      <c r="N1590" s="5">
        <v>128.01</v>
      </c>
      <c r="O1590" s="5">
        <v>137.34</v>
      </c>
      <c r="P1590" s="4">
        <f>--AND(OR(Dashboard!$A$10="All",C1590=Dashboard!$A$10),OR(Dashboard!$A$14="All",F1590=Dashboard!$A$14),OR(Dashboard!$A$18="All",G1590=Dashboard!$A$18),OR(Dashboard!$A$22="All",I1590=Dashboard!$A$22))</f>
        <v>1</v>
      </c>
    </row>
    <row r="1591" spans="1:16" ht="15.75" customHeight="1">
      <c r="A1591" s="4" t="s">
        <v>1797</v>
      </c>
      <c r="B1591" s="6">
        <v>45505</v>
      </c>
      <c r="C1591" s="4">
        <v>2024</v>
      </c>
      <c r="D1591" s="4">
        <v>8</v>
      </c>
      <c r="E1591" s="4" t="s">
        <v>67</v>
      </c>
      <c r="F1591" s="4" t="s">
        <v>8</v>
      </c>
      <c r="G1591" s="4" t="s">
        <v>6</v>
      </c>
      <c r="H1591" s="4" t="s">
        <v>98</v>
      </c>
      <c r="I1591" s="4" t="s">
        <v>10</v>
      </c>
      <c r="J1591" s="4" t="s">
        <v>255</v>
      </c>
      <c r="K1591" s="4">
        <v>2</v>
      </c>
      <c r="L1591" s="5">
        <v>83.61</v>
      </c>
      <c r="M1591" s="5">
        <v>167.22</v>
      </c>
      <c r="N1591" s="5">
        <v>104.93</v>
      </c>
      <c r="O1591" s="5">
        <v>62.29</v>
      </c>
      <c r="P1591" s="4">
        <f>--AND(OR(Dashboard!$A$10="All",C1591=Dashboard!$A$10),OR(Dashboard!$A$14="All",F1591=Dashboard!$A$14),OR(Dashboard!$A$18="All",G1591=Dashboard!$A$18),OR(Dashboard!$A$22="All",I1591=Dashboard!$A$22))</f>
        <v>1</v>
      </c>
    </row>
    <row r="1592" spans="1:16" ht="15.75" customHeight="1">
      <c r="A1592" s="4" t="s">
        <v>1798</v>
      </c>
      <c r="B1592" s="6">
        <v>45999</v>
      </c>
      <c r="C1592" s="4">
        <v>2025</v>
      </c>
      <c r="D1592" s="4">
        <v>12</v>
      </c>
      <c r="E1592" s="4" t="s">
        <v>57</v>
      </c>
      <c r="F1592" s="4" t="s">
        <v>8</v>
      </c>
      <c r="G1592" s="4" t="s">
        <v>12</v>
      </c>
      <c r="H1592" s="4" t="s">
        <v>127</v>
      </c>
      <c r="I1592" s="4" t="s">
        <v>7</v>
      </c>
      <c r="J1592" s="4" t="s">
        <v>235</v>
      </c>
      <c r="K1592" s="4">
        <v>2</v>
      </c>
      <c r="L1592" s="5">
        <v>198.43</v>
      </c>
      <c r="M1592" s="5">
        <v>396.86</v>
      </c>
      <c r="N1592" s="5">
        <v>227.2</v>
      </c>
      <c r="O1592" s="5">
        <v>169.66</v>
      </c>
      <c r="P1592" s="4">
        <f>--AND(OR(Dashboard!$A$10="All",C1592=Dashboard!$A$10),OR(Dashboard!$A$14="All",F1592=Dashboard!$A$14),OR(Dashboard!$A$18="All",G1592=Dashboard!$A$18),OR(Dashboard!$A$22="All",I1592=Dashboard!$A$22))</f>
        <v>1</v>
      </c>
    </row>
    <row r="1593" spans="1:16" ht="15.75" customHeight="1">
      <c r="A1593" s="4" t="s">
        <v>1799</v>
      </c>
      <c r="B1593" s="6">
        <v>45722</v>
      </c>
      <c r="C1593" s="4">
        <v>2025</v>
      </c>
      <c r="D1593" s="4">
        <v>3</v>
      </c>
      <c r="E1593" s="4" t="s">
        <v>100</v>
      </c>
      <c r="F1593" s="4" t="s">
        <v>14</v>
      </c>
      <c r="G1593" s="4" t="s">
        <v>6</v>
      </c>
      <c r="H1593" s="4" t="s">
        <v>98</v>
      </c>
      <c r="I1593" s="4" t="s">
        <v>10</v>
      </c>
      <c r="J1593" s="4" t="s">
        <v>455</v>
      </c>
      <c r="K1593" s="4">
        <v>4</v>
      </c>
      <c r="L1593" s="5">
        <v>156.66999999999999</v>
      </c>
      <c r="M1593" s="5">
        <v>626.67999999999995</v>
      </c>
      <c r="N1593" s="5">
        <v>406.34</v>
      </c>
      <c r="O1593" s="5">
        <v>220.34</v>
      </c>
      <c r="P1593" s="4">
        <f>--AND(OR(Dashboard!$A$10="All",C1593=Dashboard!$A$10),OR(Dashboard!$A$14="All",F1593=Dashboard!$A$14),OR(Dashboard!$A$18="All",G1593=Dashboard!$A$18),OR(Dashboard!$A$22="All",I1593=Dashboard!$A$22))</f>
        <v>1</v>
      </c>
    </row>
    <row r="1594" spans="1:16" ht="15.75" customHeight="1">
      <c r="A1594" s="4" t="s">
        <v>1800</v>
      </c>
      <c r="B1594" s="6">
        <v>45656</v>
      </c>
      <c r="C1594" s="4">
        <v>2024</v>
      </c>
      <c r="D1594" s="4">
        <v>12</v>
      </c>
      <c r="E1594" s="4" t="s">
        <v>57</v>
      </c>
      <c r="F1594" s="4" t="s">
        <v>5</v>
      </c>
      <c r="G1594" s="4" t="s">
        <v>6</v>
      </c>
      <c r="H1594" s="4" t="s">
        <v>54</v>
      </c>
      <c r="I1594" s="4" t="s">
        <v>7</v>
      </c>
      <c r="J1594" s="4" t="s">
        <v>104</v>
      </c>
      <c r="K1594" s="4">
        <v>4</v>
      </c>
      <c r="L1594" s="5">
        <v>149.46</v>
      </c>
      <c r="M1594" s="5">
        <v>597.84</v>
      </c>
      <c r="N1594" s="5">
        <v>388.03</v>
      </c>
      <c r="O1594" s="5">
        <v>209.81</v>
      </c>
      <c r="P1594" s="4">
        <f>--AND(OR(Dashboard!$A$10="All",C1594=Dashboard!$A$10),OR(Dashboard!$A$14="All",F1594=Dashboard!$A$14),OR(Dashboard!$A$18="All",G1594=Dashboard!$A$18),OR(Dashboard!$A$22="All",I1594=Dashboard!$A$22))</f>
        <v>1</v>
      </c>
    </row>
    <row r="1595" spans="1:16" ht="15.75" customHeight="1">
      <c r="A1595" s="4" t="s">
        <v>1801</v>
      </c>
      <c r="B1595" s="6">
        <v>45464</v>
      </c>
      <c r="C1595" s="4">
        <v>2024</v>
      </c>
      <c r="D1595" s="4">
        <v>6</v>
      </c>
      <c r="E1595" s="4" t="s">
        <v>34</v>
      </c>
      <c r="F1595" s="4" t="s">
        <v>5</v>
      </c>
      <c r="G1595" s="4" t="s">
        <v>9</v>
      </c>
      <c r="H1595" s="4" t="s">
        <v>35</v>
      </c>
      <c r="I1595" s="4" t="s">
        <v>7</v>
      </c>
      <c r="J1595" s="4" t="s">
        <v>216</v>
      </c>
      <c r="K1595" s="4">
        <v>4</v>
      </c>
      <c r="L1595" s="5">
        <v>28.98</v>
      </c>
      <c r="M1595" s="5">
        <v>115.92</v>
      </c>
      <c r="N1595" s="5">
        <v>55.6</v>
      </c>
      <c r="O1595" s="5">
        <v>60.32</v>
      </c>
      <c r="P1595" s="4">
        <f>--AND(OR(Dashboard!$A$10="All",C1595=Dashboard!$A$10),OR(Dashboard!$A$14="All",F1595=Dashboard!$A$14),OR(Dashboard!$A$18="All",G1595=Dashboard!$A$18),OR(Dashboard!$A$22="All",I1595=Dashboard!$A$22))</f>
        <v>1</v>
      </c>
    </row>
    <row r="1596" spans="1:16" ht="15.75" customHeight="1">
      <c r="A1596" s="4" t="s">
        <v>1802</v>
      </c>
      <c r="B1596" s="6">
        <v>46001</v>
      </c>
      <c r="C1596" s="4">
        <v>2025</v>
      </c>
      <c r="D1596" s="4">
        <v>12</v>
      </c>
      <c r="E1596" s="4" t="s">
        <v>57</v>
      </c>
      <c r="F1596" s="4" t="s">
        <v>8</v>
      </c>
      <c r="G1596" s="4" t="s">
        <v>6</v>
      </c>
      <c r="H1596" s="4" t="s">
        <v>136</v>
      </c>
      <c r="I1596" s="4" t="s">
        <v>7</v>
      </c>
      <c r="J1596" s="4" t="s">
        <v>333</v>
      </c>
      <c r="K1596" s="4">
        <v>3</v>
      </c>
      <c r="L1596" s="5">
        <v>202</v>
      </c>
      <c r="M1596" s="5">
        <v>606</v>
      </c>
      <c r="N1596" s="5">
        <v>411.35</v>
      </c>
      <c r="O1596" s="5">
        <v>194.65</v>
      </c>
      <c r="P1596" s="4">
        <f>--AND(OR(Dashboard!$A$10="All",C1596=Dashboard!$A$10),OR(Dashboard!$A$14="All",F1596=Dashboard!$A$14),OR(Dashboard!$A$18="All",G1596=Dashboard!$A$18),OR(Dashboard!$A$22="All",I1596=Dashboard!$A$22))</f>
        <v>1</v>
      </c>
    </row>
    <row r="1597" spans="1:16" ht="15.75" customHeight="1">
      <c r="A1597" s="4" t="s">
        <v>1803</v>
      </c>
      <c r="B1597" s="6">
        <v>45566</v>
      </c>
      <c r="C1597" s="4">
        <v>2024</v>
      </c>
      <c r="D1597" s="4">
        <v>10</v>
      </c>
      <c r="E1597" s="4" t="s">
        <v>120</v>
      </c>
      <c r="F1597" s="4" t="s">
        <v>11</v>
      </c>
      <c r="G1597" s="4" t="s">
        <v>6</v>
      </c>
      <c r="H1597" s="4" t="s">
        <v>136</v>
      </c>
      <c r="I1597" s="4" t="s">
        <v>13</v>
      </c>
      <c r="J1597" s="4" t="s">
        <v>144</v>
      </c>
      <c r="K1597" s="4">
        <v>5</v>
      </c>
      <c r="L1597" s="5">
        <v>114.84</v>
      </c>
      <c r="M1597" s="5">
        <v>574.20000000000005</v>
      </c>
      <c r="N1597" s="5">
        <v>395.73</v>
      </c>
      <c r="O1597" s="5">
        <v>178.47</v>
      </c>
      <c r="P1597" s="4">
        <f>--AND(OR(Dashboard!$A$10="All",C1597=Dashboard!$A$10),OR(Dashboard!$A$14="All",F1597=Dashboard!$A$14),OR(Dashboard!$A$18="All",G1597=Dashboard!$A$18),OR(Dashboard!$A$22="All",I1597=Dashboard!$A$22))</f>
        <v>1</v>
      </c>
    </row>
    <row r="1598" spans="1:16" ht="15.75" customHeight="1">
      <c r="A1598" s="4" t="s">
        <v>1804</v>
      </c>
      <c r="B1598" s="6">
        <v>45731</v>
      </c>
      <c r="C1598" s="4">
        <v>2025</v>
      </c>
      <c r="D1598" s="4">
        <v>3</v>
      </c>
      <c r="E1598" s="4" t="s">
        <v>100</v>
      </c>
      <c r="F1598" s="4" t="s">
        <v>5</v>
      </c>
      <c r="G1598" s="4" t="s">
        <v>12</v>
      </c>
      <c r="H1598" s="4" t="s">
        <v>127</v>
      </c>
      <c r="I1598" s="4" t="s">
        <v>7</v>
      </c>
      <c r="J1598" s="4" t="s">
        <v>362</v>
      </c>
      <c r="K1598" s="4">
        <v>4</v>
      </c>
      <c r="L1598" s="5">
        <v>116.6</v>
      </c>
      <c r="M1598" s="5">
        <v>466.4</v>
      </c>
      <c r="N1598" s="5">
        <v>290.60000000000002</v>
      </c>
      <c r="O1598" s="5">
        <v>175.8</v>
      </c>
      <c r="P1598" s="4">
        <f>--AND(OR(Dashboard!$A$10="All",C1598=Dashboard!$A$10),OR(Dashboard!$A$14="All",F1598=Dashboard!$A$14),OR(Dashboard!$A$18="All",G1598=Dashboard!$A$18),OR(Dashboard!$A$22="All",I1598=Dashboard!$A$22))</f>
        <v>1</v>
      </c>
    </row>
    <row r="1599" spans="1:16" ht="15.75" customHeight="1">
      <c r="A1599" s="4" t="s">
        <v>1805</v>
      </c>
      <c r="B1599" s="6">
        <v>45910</v>
      </c>
      <c r="C1599" s="4">
        <v>2025</v>
      </c>
      <c r="D1599" s="4">
        <v>9</v>
      </c>
      <c r="E1599" s="4" t="s">
        <v>79</v>
      </c>
      <c r="F1599" s="4" t="s">
        <v>5</v>
      </c>
      <c r="G1599" s="4" t="s">
        <v>6</v>
      </c>
      <c r="H1599" s="4" t="s">
        <v>54</v>
      </c>
      <c r="I1599" s="4" t="s">
        <v>7</v>
      </c>
      <c r="J1599" s="4" t="s">
        <v>292</v>
      </c>
      <c r="K1599" s="4">
        <v>3</v>
      </c>
      <c r="L1599" s="5">
        <v>194.21</v>
      </c>
      <c r="M1599" s="5">
        <v>582.63</v>
      </c>
      <c r="N1599" s="5">
        <v>396.4</v>
      </c>
      <c r="O1599" s="5">
        <v>186.23</v>
      </c>
      <c r="P1599" s="4">
        <f>--AND(OR(Dashboard!$A$10="All",C1599=Dashboard!$A$10),OR(Dashboard!$A$14="All",F1599=Dashboard!$A$14),OR(Dashboard!$A$18="All",G1599=Dashboard!$A$18),OR(Dashboard!$A$22="All",I1599=Dashboard!$A$22))</f>
        <v>1</v>
      </c>
    </row>
    <row r="1600" spans="1:16" ht="15.75" customHeight="1">
      <c r="A1600" s="4" t="s">
        <v>1806</v>
      </c>
      <c r="B1600" s="6">
        <v>45537</v>
      </c>
      <c r="C1600" s="4">
        <v>2024</v>
      </c>
      <c r="D1600" s="4">
        <v>9</v>
      </c>
      <c r="E1600" s="4" t="s">
        <v>79</v>
      </c>
      <c r="F1600" s="4" t="s">
        <v>5</v>
      </c>
      <c r="G1600" s="4" t="s">
        <v>9</v>
      </c>
      <c r="H1600" s="4" t="s">
        <v>110</v>
      </c>
      <c r="I1600" s="4" t="s">
        <v>7</v>
      </c>
      <c r="J1600" s="4" t="s">
        <v>314</v>
      </c>
      <c r="K1600" s="4">
        <v>1</v>
      </c>
      <c r="L1600" s="5">
        <v>34.85</v>
      </c>
      <c r="M1600" s="5">
        <v>34.85</v>
      </c>
      <c r="N1600" s="5">
        <v>17.260000000000002</v>
      </c>
      <c r="O1600" s="5">
        <v>17.59</v>
      </c>
      <c r="P1600" s="4">
        <f>--AND(OR(Dashboard!$A$10="All",C1600=Dashboard!$A$10),OR(Dashboard!$A$14="All",F1600=Dashboard!$A$14),OR(Dashboard!$A$18="All",G1600=Dashboard!$A$18),OR(Dashboard!$A$22="All",I1600=Dashboard!$A$22))</f>
        <v>1</v>
      </c>
    </row>
    <row r="1601" spans="1:16" ht="15.75" customHeight="1">
      <c r="A1601" s="4" t="s">
        <v>1807</v>
      </c>
      <c r="B1601" s="6">
        <v>45806</v>
      </c>
      <c r="C1601" s="4">
        <v>2025</v>
      </c>
      <c r="D1601" s="4">
        <v>5</v>
      </c>
      <c r="E1601" s="4" t="s">
        <v>108</v>
      </c>
      <c r="F1601" s="4" t="s">
        <v>5</v>
      </c>
      <c r="G1601" s="4" t="s">
        <v>9</v>
      </c>
      <c r="H1601" s="4" t="s">
        <v>110</v>
      </c>
      <c r="I1601" s="4" t="s">
        <v>7</v>
      </c>
      <c r="J1601" s="4" t="s">
        <v>381</v>
      </c>
      <c r="K1601" s="4">
        <v>3</v>
      </c>
      <c r="L1601" s="5">
        <v>50.7</v>
      </c>
      <c r="M1601" s="5">
        <v>152.1</v>
      </c>
      <c r="N1601" s="5">
        <v>76.23</v>
      </c>
      <c r="O1601" s="5">
        <v>75.87</v>
      </c>
      <c r="P1601" s="4">
        <f>--AND(OR(Dashboard!$A$10="All",C1601=Dashboard!$A$10),OR(Dashboard!$A$14="All",F1601=Dashboard!$A$14),OR(Dashboard!$A$18="All",G1601=Dashboard!$A$18),OR(Dashboard!$A$22="All",I1601=Dashboard!$A$22))</f>
        <v>1</v>
      </c>
    </row>
    <row r="1602" spans="1:16" ht="15.75" customHeight="1">
      <c r="A1602" s="4" t="s">
        <v>1808</v>
      </c>
      <c r="B1602" s="6">
        <v>45590</v>
      </c>
      <c r="C1602" s="4">
        <v>2024</v>
      </c>
      <c r="D1602" s="4">
        <v>10</v>
      </c>
      <c r="E1602" s="4" t="s">
        <v>120</v>
      </c>
      <c r="F1602" s="4" t="s">
        <v>5</v>
      </c>
      <c r="G1602" s="4" t="s">
        <v>12</v>
      </c>
      <c r="H1602" s="4" t="s">
        <v>127</v>
      </c>
      <c r="I1602" s="4" t="s">
        <v>7</v>
      </c>
      <c r="J1602" s="4" t="s">
        <v>407</v>
      </c>
      <c r="K1602" s="4">
        <v>1</v>
      </c>
      <c r="L1602" s="5">
        <v>151.05000000000001</v>
      </c>
      <c r="M1602" s="5">
        <v>151.05000000000001</v>
      </c>
      <c r="N1602" s="5">
        <v>89.79</v>
      </c>
      <c r="O1602" s="5">
        <v>61.26</v>
      </c>
      <c r="P1602" s="4">
        <f>--AND(OR(Dashboard!$A$10="All",C1602=Dashboard!$A$10),OR(Dashboard!$A$14="All",F1602=Dashboard!$A$14),OR(Dashboard!$A$18="All",G1602=Dashboard!$A$18),OR(Dashboard!$A$22="All",I1602=Dashboard!$A$22))</f>
        <v>1</v>
      </c>
    </row>
    <row r="1603" spans="1:16" ht="15.75" customHeight="1">
      <c r="A1603" s="4" t="s">
        <v>1809</v>
      </c>
      <c r="B1603" s="6">
        <v>45371</v>
      </c>
      <c r="C1603" s="4">
        <v>2024</v>
      </c>
      <c r="D1603" s="4">
        <v>3</v>
      </c>
      <c r="E1603" s="4" t="s">
        <v>100</v>
      </c>
      <c r="F1603" s="4" t="s">
        <v>5</v>
      </c>
      <c r="G1603" s="4" t="s">
        <v>6</v>
      </c>
      <c r="H1603" s="4" t="s">
        <v>54</v>
      </c>
      <c r="I1603" s="4" t="s">
        <v>10</v>
      </c>
      <c r="J1603" s="4" t="s">
        <v>191</v>
      </c>
      <c r="K1603" s="4">
        <v>12</v>
      </c>
      <c r="L1603" s="5">
        <v>153.88</v>
      </c>
      <c r="M1603" s="5">
        <v>1846.56</v>
      </c>
      <c r="N1603" s="5">
        <v>1184.8</v>
      </c>
      <c r="O1603" s="5">
        <v>661.76</v>
      </c>
      <c r="P1603" s="4">
        <f>--AND(OR(Dashboard!$A$10="All",C1603=Dashboard!$A$10),OR(Dashboard!$A$14="All",F1603=Dashboard!$A$14),OR(Dashboard!$A$18="All",G1603=Dashboard!$A$18),OR(Dashboard!$A$22="All",I1603=Dashboard!$A$22))</f>
        <v>1</v>
      </c>
    </row>
    <row r="1604" spans="1:16" ht="15.75" customHeight="1">
      <c r="A1604" s="4" t="s">
        <v>1810</v>
      </c>
      <c r="B1604" s="6">
        <v>45905</v>
      </c>
      <c r="C1604" s="4">
        <v>2025</v>
      </c>
      <c r="D1604" s="4">
        <v>9</v>
      </c>
      <c r="E1604" s="4" t="s">
        <v>79</v>
      </c>
      <c r="F1604" s="4" t="s">
        <v>11</v>
      </c>
      <c r="G1604" s="4" t="s">
        <v>9</v>
      </c>
      <c r="H1604" s="4" t="s">
        <v>142</v>
      </c>
      <c r="I1604" s="4" t="s">
        <v>10</v>
      </c>
      <c r="J1604" s="4" t="s">
        <v>131</v>
      </c>
      <c r="K1604" s="4">
        <v>2</v>
      </c>
      <c r="L1604" s="5">
        <v>61.1</v>
      </c>
      <c r="M1604" s="5">
        <v>122.2</v>
      </c>
      <c r="N1604" s="5">
        <v>60.07</v>
      </c>
      <c r="O1604" s="5">
        <v>62.13</v>
      </c>
      <c r="P1604" s="4">
        <f>--AND(OR(Dashboard!$A$10="All",C1604=Dashboard!$A$10),OR(Dashboard!$A$14="All",F1604=Dashboard!$A$14),OR(Dashboard!$A$18="All",G1604=Dashboard!$A$18),OR(Dashboard!$A$22="All",I1604=Dashboard!$A$22))</f>
        <v>1</v>
      </c>
    </row>
    <row r="1605" spans="1:16" ht="15.75" customHeight="1">
      <c r="A1605" s="4" t="s">
        <v>1811</v>
      </c>
      <c r="B1605" s="6">
        <v>45461</v>
      </c>
      <c r="C1605" s="4">
        <v>2024</v>
      </c>
      <c r="D1605" s="4">
        <v>6</v>
      </c>
      <c r="E1605" s="4" t="s">
        <v>34</v>
      </c>
      <c r="F1605" s="4" t="s">
        <v>5</v>
      </c>
      <c r="G1605" s="4" t="s">
        <v>12</v>
      </c>
      <c r="H1605" s="4" t="s">
        <v>86</v>
      </c>
      <c r="I1605" s="4" t="s">
        <v>10</v>
      </c>
      <c r="J1605" s="4" t="s">
        <v>170</v>
      </c>
      <c r="K1605" s="4">
        <v>7</v>
      </c>
      <c r="L1605" s="5">
        <v>161.38</v>
      </c>
      <c r="M1605" s="5">
        <v>1129.6600000000001</v>
      </c>
      <c r="N1605" s="5">
        <v>653.16</v>
      </c>
      <c r="O1605" s="5">
        <v>476.5</v>
      </c>
      <c r="P1605" s="4">
        <f>--AND(OR(Dashboard!$A$10="All",C1605=Dashboard!$A$10),OR(Dashboard!$A$14="All",F1605=Dashboard!$A$14),OR(Dashboard!$A$18="All",G1605=Dashboard!$A$18),OR(Dashboard!$A$22="All",I1605=Dashboard!$A$22))</f>
        <v>1</v>
      </c>
    </row>
    <row r="1606" spans="1:16" ht="15.75" customHeight="1">
      <c r="A1606" s="4" t="s">
        <v>1812</v>
      </c>
      <c r="B1606" s="6">
        <v>45397</v>
      </c>
      <c r="C1606" s="4">
        <v>2024</v>
      </c>
      <c r="D1606" s="4">
        <v>4</v>
      </c>
      <c r="E1606" s="4" t="s">
        <v>106</v>
      </c>
      <c r="F1606" s="4" t="s">
        <v>5</v>
      </c>
      <c r="G1606" s="4" t="s">
        <v>9</v>
      </c>
      <c r="H1606" s="4" t="s">
        <v>110</v>
      </c>
      <c r="I1606" s="4" t="s">
        <v>10</v>
      </c>
      <c r="J1606" s="4" t="s">
        <v>311</v>
      </c>
      <c r="K1606" s="4">
        <v>3</v>
      </c>
      <c r="L1606" s="5">
        <v>59.93</v>
      </c>
      <c r="M1606" s="5">
        <v>179.79</v>
      </c>
      <c r="N1606" s="5">
        <v>90.45</v>
      </c>
      <c r="O1606" s="5">
        <v>89.34</v>
      </c>
      <c r="P1606" s="4">
        <f>--AND(OR(Dashboard!$A$10="All",C1606=Dashboard!$A$10),OR(Dashboard!$A$14="All",F1606=Dashboard!$A$14),OR(Dashboard!$A$18="All",G1606=Dashboard!$A$18),OR(Dashboard!$A$22="All",I1606=Dashboard!$A$22))</f>
        <v>1</v>
      </c>
    </row>
    <row r="1607" spans="1:16" ht="15.75" customHeight="1">
      <c r="A1607" s="4" t="s">
        <v>1813</v>
      </c>
      <c r="B1607" s="6">
        <v>45482</v>
      </c>
      <c r="C1607" s="4">
        <v>2024</v>
      </c>
      <c r="D1607" s="4">
        <v>7</v>
      </c>
      <c r="E1607" s="4" t="s">
        <v>63</v>
      </c>
      <c r="F1607" s="4" t="s">
        <v>8</v>
      </c>
      <c r="G1607" s="4" t="s">
        <v>12</v>
      </c>
      <c r="H1607" s="4" t="s">
        <v>58</v>
      </c>
      <c r="I1607" s="4" t="s">
        <v>10</v>
      </c>
      <c r="J1607" s="4" t="s">
        <v>263</v>
      </c>
      <c r="K1607" s="4">
        <v>5</v>
      </c>
      <c r="L1607" s="5">
        <v>227.61</v>
      </c>
      <c r="M1607" s="5">
        <v>1138.05</v>
      </c>
      <c r="N1607" s="5">
        <v>695.04</v>
      </c>
      <c r="O1607" s="5">
        <v>443.01</v>
      </c>
      <c r="P1607" s="4">
        <f>--AND(OR(Dashboard!$A$10="All",C1607=Dashboard!$A$10),OR(Dashboard!$A$14="All",F1607=Dashboard!$A$14),OR(Dashboard!$A$18="All",G1607=Dashboard!$A$18),OR(Dashboard!$A$22="All",I1607=Dashboard!$A$22))</f>
        <v>1</v>
      </c>
    </row>
    <row r="1608" spans="1:16" ht="15.75" customHeight="1">
      <c r="A1608" s="4" t="s">
        <v>1814</v>
      </c>
      <c r="B1608" s="6">
        <v>45507</v>
      </c>
      <c r="C1608" s="4">
        <v>2024</v>
      </c>
      <c r="D1608" s="4">
        <v>8</v>
      </c>
      <c r="E1608" s="4" t="s">
        <v>67</v>
      </c>
      <c r="F1608" s="4" t="s">
        <v>8</v>
      </c>
      <c r="G1608" s="4" t="s">
        <v>12</v>
      </c>
      <c r="H1608" s="4" t="s">
        <v>124</v>
      </c>
      <c r="I1608" s="4" t="s">
        <v>7</v>
      </c>
      <c r="J1608" s="4" t="s">
        <v>317</v>
      </c>
      <c r="K1608" s="4">
        <v>1</v>
      </c>
      <c r="L1608" s="5">
        <v>218.06</v>
      </c>
      <c r="M1608" s="5">
        <v>218.06</v>
      </c>
      <c r="N1608" s="5">
        <v>135.69999999999999</v>
      </c>
      <c r="O1608" s="5">
        <v>82.36</v>
      </c>
      <c r="P1608" s="4">
        <f>--AND(OR(Dashboard!$A$10="All",C1608=Dashboard!$A$10),OR(Dashboard!$A$14="All",F1608=Dashboard!$A$14),OR(Dashboard!$A$18="All",G1608=Dashboard!$A$18),OR(Dashboard!$A$22="All",I1608=Dashboard!$A$22))</f>
        <v>1</v>
      </c>
    </row>
    <row r="1609" spans="1:16" ht="15.75" customHeight="1">
      <c r="A1609" s="4" t="s">
        <v>1815</v>
      </c>
      <c r="B1609" s="6">
        <v>45635</v>
      </c>
      <c r="C1609" s="4">
        <v>2024</v>
      </c>
      <c r="D1609" s="4">
        <v>12</v>
      </c>
      <c r="E1609" s="4" t="s">
        <v>57</v>
      </c>
      <c r="F1609" s="4" t="s">
        <v>5</v>
      </c>
      <c r="G1609" s="4" t="s">
        <v>12</v>
      </c>
      <c r="H1609" s="4" t="s">
        <v>127</v>
      </c>
      <c r="I1609" s="4" t="s">
        <v>10</v>
      </c>
      <c r="J1609" s="4" t="s">
        <v>216</v>
      </c>
      <c r="K1609" s="4">
        <v>3</v>
      </c>
      <c r="L1609" s="5">
        <v>310.12</v>
      </c>
      <c r="M1609" s="5">
        <v>930.36</v>
      </c>
      <c r="N1609" s="5">
        <v>576.66999999999996</v>
      </c>
      <c r="O1609" s="5">
        <v>353.69</v>
      </c>
      <c r="P1609" s="4">
        <f>--AND(OR(Dashboard!$A$10="All",C1609=Dashboard!$A$10),OR(Dashboard!$A$14="All",F1609=Dashboard!$A$14),OR(Dashboard!$A$18="All",G1609=Dashboard!$A$18),OR(Dashboard!$A$22="All",I1609=Dashboard!$A$22))</f>
        <v>1</v>
      </c>
    </row>
    <row r="1610" spans="1:16" ht="15.75" customHeight="1">
      <c r="A1610" s="4" t="s">
        <v>1816</v>
      </c>
      <c r="B1610" s="6">
        <v>45416</v>
      </c>
      <c r="C1610" s="4">
        <v>2024</v>
      </c>
      <c r="D1610" s="4">
        <v>5</v>
      </c>
      <c r="E1610" s="4" t="s">
        <v>108</v>
      </c>
      <c r="F1610" s="4" t="s">
        <v>5</v>
      </c>
      <c r="G1610" s="4" t="s">
        <v>6</v>
      </c>
      <c r="H1610" s="4" t="s">
        <v>114</v>
      </c>
      <c r="I1610" s="4" t="s">
        <v>10</v>
      </c>
      <c r="J1610" s="4" t="s">
        <v>528</v>
      </c>
      <c r="K1610" s="4">
        <v>1</v>
      </c>
      <c r="L1610" s="5">
        <v>100.27</v>
      </c>
      <c r="M1610" s="5">
        <v>100.27</v>
      </c>
      <c r="N1610" s="5">
        <v>67.989999999999995</v>
      </c>
      <c r="O1610" s="5">
        <v>32.28</v>
      </c>
      <c r="P1610" s="4">
        <f>--AND(OR(Dashboard!$A$10="All",C1610=Dashboard!$A$10),OR(Dashboard!$A$14="All",F1610=Dashboard!$A$14),OR(Dashboard!$A$18="All",G1610=Dashboard!$A$18),OR(Dashboard!$A$22="All",I1610=Dashboard!$A$22))</f>
        <v>1</v>
      </c>
    </row>
    <row r="1611" spans="1:16" ht="15.75" customHeight="1">
      <c r="A1611" s="4" t="s">
        <v>1817</v>
      </c>
      <c r="B1611" s="6">
        <v>45945</v>
      </c>
      <c r="C1611" s="4">
        <v>2025</v>
      </c>
      <c r="D1611" s="4">
        <v>10</v>
      </c>
      <c r="E1611" s="4" t="s">
        <v>120</v>
      </c>
      <c r="F1611" s="4" t="s">
        <v>8</v>
      </c>
      <c r="G1611" s="4" t="s">
        <v>9</v>
      </c>
      <c r="H1611" s="4" t="s">
        <v>71</v>
      </c>
      <c r="I1611" s="4" t="s">
        <v>7</v>
      </c>
      <c r="J1611" s="4" t="s">
        <v>319</v>
      </c>
      <c r="K1611" s="4">
        <v>3</v>
      </c>
      <c r="L1611" s="5">
        <v>42.26</v>
      </c>
      <c r="M1611" s="5">
        <v>126.78</v>
      </c>
      <c r="N1611" s="5">
        <v>64</v>
      </c>
      <c r="O1611" s="5">
        <v>62.78</v>
      </c>
      <c r="P1611" s="4">
        <f>--AND(OR(Dashboard!$A$10="All",C1611=Dashboard!$A$10),OR(Dashboard!$A$14="All",F1611=Dashboard!$A$14),OR(Dashboard!$A$18="All",G1611=Dashboard!$A$18),OR(Dashboard!$A$22="All",I1611=Dashboard!$A$22))</f>
        <v>1</v>
      </c>
    </row>
    <row r="1612" spans="1:16" ht="15.75" customHeight="1">
      <c r="A1612" s="4" t="s">
        <v>1818</v>
      </c>
      <c r="B1612" s="6">
        <v>45922</v>
      </c>
      <c r="C1612" s="4">
        <v>2025</v>
      </c>
      <c r="D1612" s="4">
        <v>9</v>
      </c>
      <c r="E1612" s="4" t="s">
        <v>79</v>
      </c>
      <c r="F1612" s="4" t="s">
        <v>5</v>
      </c>
      <c r="G1612" s="4" t="s">
        <v>12</v>
      </c>
      <c r="H1612" s="4" t="s">
        <v>86</v>
      </c>
      <c r="I1612" s="4" t="s">
        <v>13</v>
      </c>
      <c r="J1612" s="4" t="s">
        <v>314</v>
      </c>
      <c r="K1612" s="4">
        <v>2</v>
      </c>
      <c r="L1612" s="5">
        <v>158.63</v>
      </c>
      <c r="M1612" s="5">
        <v>317.26</v>
      </c>
      <c r="N1612" s="5">
        <v>188.16</v>
      </c>
      <c r="O1612" s="5">
        <v>129.1</v>
      </c>
      <c r="P1612" s="4">
        <f>--AND(OR(Dashboard!$A$10="All",C1612=Dashboard!$A$10),OR(Dashboard!$A$14="All",F1612=Dashboard!$A$14),OR(Dashboard!$A$18="All",G1612=Dashboard!$A$18),OR(Dashboard!$A$22="All",I1612=Dashboard!$A$22))</f>
        <v>1</v>
      </c>
    </row>
    <row r="1613" spans="1:16" ht="15.75" customHeight="1">
      <c r="A1613" s="4" t="s">
        <v>1819</v>
      </c>
      <c r="B1613" s="6">
        <v>45530</v>
      </c>
      <c r="C1613" s="4">
        <v>2024</v>
      </c>
      <c r="D1613" s="4">
        <v>8</v>
      </c>
      <c r="E1613" s="4" t="s">
        <v>67</v>
      </c>
      <c r="F1613" s="4" t="s">
        <v>8</v>
      </c>
      <c r="G1613" s="4" t="s">
        <v>9</v>
      </c>
      <c r="H1613" s="4" t="s">
        <v>110</v>
      </c>
      <c r="I1613" s="4" t="s">
        <v>10</v>
      </c>
      <c r="J1613" s="4" t="s">
        <v>261</v>
      </c>
      <c r="K1613" s="4">
        <v>13</v>
      </c>
      <c r="L1613" s="5">
        <v>38.880000000000003</v>
      </c>
      <c r="M1613" s="5">
        <v>505.44</v>
      </c>
      <c r="N1613" s="5">
        <v>246.85</v>
      </c>
      <c r="O1613" s="5">
        <v>258.58999999999997</v>
      </c>
      <c r="P1613" s="4">
        <f>--AND(OR(Dashboard!$A$10="All",C1613=Dashboard!$A$10),OR(Dashboard!$A$14="All",F1613=Dashboard!$A$14),OR(Dashboard!$A$18="All",G1613=Dashboard!$A$18),OR(Dashboard!$A$22="All",I1613=Dashboard!$A$22))</f>
        <v>1</v>
      </c>
    </row>
    <row r="1614" spans="1:16" ht="15.75" customHeight="1">
      <c r="A1614" s="4" t="s">
        <v>1820</v>
      </c>
      <c r="B1614" s="6">
        <v>45558</v>
      </c>
      <c r="C1614" s="4">
        <v>2024</v>
      </c>
      <c r="D1614" s="4">
        <v>9</v>
      </c>
      <c r="E1614" s="4" t="s">
        <v>79</v>
      </c>
      <c r="F1614" s="4" t="s">
        <v>11</v>
      </c>
      <c r="G1614" s="4" t="s">
        <v>12</v>
      </c>
      <c r="H1614" s="4" t="s">
        <v>124</v>
      </c>
      <c r="I1614" s="4" t="s">
        <v>13</v>
      </c>
      <c r="J1614" s="4" t="s">
        <v>184</v>
      </c>
      <c r="K1614" s="4">
        <v>3</v>
      </c>
      <c r="L1614" s="5">
        <v>269.12</v>
      </c>
      <c r="M1614" s="5">
        <v>807.36</v>
      </c>
      <c r="N1614" s="5">
        <v>476.22</v>
      </c>
      <c r="O1614" s="5">
        <v>331.14</v>
      </c>
      <c r="P1614" s="4">
        <f>--AND(OR(Dashboard!$A$10="All",C1614=Dashboard!$A$10),OR(Dashboard!$A$14="All",F1614=Dashboard!$A$14),OR(Dashboard!$A$18="All",G1614=Dashboard!$A$18),OR(Dashboard!$A$22="All",I1614=Dashboard!$A$22))</f>
        <v>1</v>
      </c>
    </row>
    <row r="1615" spans="1:16" ht="15.75" customHeight="1">
      <c r="A1615" s="4" t="s">
        <v>1821</v>
      </c>
      <c r="B1615" s="6">
        <v>45811</v>
      </c>
      <c r="C1615" s="4">
        <v>2025</v>
      </c>
      <c r="D1615" s="4">
        <v>6</v>
      </c>
      <c r="E1615" s="4" t="s">
        <v>34</v>
      </c>
      <c r="F1615" s="4" t="s">
        <v>5</v>
      </c>
      <c r="G1615" s="4" t="s">
        <v>6</v>
      </c>
      <c r="H1615" s="4" t="s">
        <v>80</v>
      </c>
      <c r="I1615" s="4" t="s">
        <v>7</v>
      </c>
      <c r="J1615" s="4" t="s">
        <v>255</v>
      </c>
      <c r="K1615" s="4">
        <v>7</v>
      </c>
      <c r="L1615" s="5">
        <v>133.03</v>
      </c>
      <c r="M1615" s="5">
        <v>931.21</v>
      </c>
      <c r="N1615" s="5">
        <v>596.53</v>
      </c>
      <c r="O1615" s="5">
        <v>334.68</v>
      </c>
      <c r="P1615" s="4">
        <f>--AND(OR(Dashboard!$A$10="All",C1615=Dashboard!$A$10),OR(Dashboard!$A$14="All",F1615=Dashboard!$A$14),OR(Dashboard!$A$18="All",G1615=Dashboard!$A$18),OR(Dashboard!$A$22="All",I1615=Dashboard!$A$22))</f>
        <v>1</v>
      </c>
    </row>
    <row r="1616" spans="1:16" ht="15.75" customHeight="1">
      <c r="A1616" s="4" t="s">
        <v>1822</v>
      </c>
      <c r="B1616" s="6">
        <v>45394</v>
      </c>
      <c r="C1616" s="4">
        <v>2024</v>
      </c>
      <c r="D1616" s="4">
        <v>4</v>
      </c>
      <c r="E1616" s="4" t="s">
        <v>106</v>
      </c>
      <c r="F1616" s="4" t="s">
        <v>5</v>
      </c>
      <c r="G1616" s="4" t="s">
        <v>12</v>
      </c>
      <c r="H1616" s="4" t="s">
        <v>86</v>
      </c>
      <c r="I1616" s="4" t="s">
        <v>13</v>
      </c>
      <c r="J1616" s="4" t="s">
        <v>111</v>
      </c>
      <c r="K1616" s="4">
        <v>1</v>
      </c>
      <c r="L1616" s="5">
        <v>297.67</v>
      </c>
      <c r="M1616" s="5">
        <v>297.67</v>
      </c>
      <c r="N1616" s="5">
        <v>181.71</v>
      </c>
      <c r="O1616" s="5">
        <v>115.96</v>
      </c>
      <c r="P1616" s="4">
        <f>--AND(OR(Dashboard!$A$10="All",C1616=Dashboard!$A$10),OR(Dashboard!$A$14="All",F1616=Dashboard!$A$14),OR(Dashboard!$A$18="All",G1616=Dashboard!$A$18),OR(Dashboard!$A$22="All",I1616=Dashboard!$A$22))</f>
        <v>1</v>
      </c>
    </row>
    <row r="1617" spans="1:16" ht="15.75" customHeight="1">
      <c r="A1617" s="4" t="s">
        <v>1823</v>
      </c>
      <c r="B1617" s="6">
        <v>45404</v>
      </c>
      <c r="C1617" s="4">
        <v>2024</v>
      </c>
      <c r="D1617" s="4">
        <v>4</v>
      </c>
      <c r="E1617" s="4" t="s">
        <v>106</v>
      </c>
      <c r="F1617" s="4" t="s">
        <v>5</v>
      </c>
      <c r="G1617" s="4" t="s">
        <v>9</v>
      </c>
      <c r="H1617" s="4" t="s">
        <v>142</v>
      </c>
      <c r="I1617" s="4" t="s">
        <v>10</v>
      </c>
      <c r="J1617" s="4" t="s">
        <v>209</v>
      </c>
      <c r="K1617" s="4">
        <v>5</v>
      </c>
      <c r="L1617" s="5">
        <v>53.78</v>
      </c>
      <c r="M1617" s="5">
        <v>268.89999999999998</v>
      </c>
      <c r="N1617" s="5">
        <v>140.63</v>
      </c>
      <c r="O1617" s="5">
        <v>128.27000000000001</v>
      </c>
      <c r="P1617" s="4">
        <f>--AND(OR(Dashboard!$A$10="All",C1617=Dashboard!$A$10),OR(Dashboard!$A$14="All",F1617=Dashboard!$A$14),OR(Dashboard!$A$18="All",G1617=Dashboard!$A$18),OR(Dashboard!$A$22="All",I1617=Dashboard!$A$22))</f>
        <v>1</v>
      </c>
    </row>
    <row r="1618" spans="1:16" ht="15.75" customHeight="1">
      <c r="A1618" s="4" t="s">
        <v>1824</v>
      </c>
      <c r="B1618" s="6">
        <v>45791</v>
      </c>
      <c r="C1618" s="4">
        <v>2025</v>
      </c>
      <c r="D1618" s="4">
        <v>5</v>
      </c>
      <c r="E1618" s="4" t="s">
        <v>108</v>
      </c>
      <c r="F1618" s="4" t="s">
        <v>5</v>
      </c>
      <c r="G1618" s="4" t="s">
        <v>6</v>
      </c>
      <c r="H1618" s="4" t="s">
        <v>54</v>
      </c>
      <c r="I1618" s="4" t="s">
        <v>7</v>
      </c>
      <c r="J1618" s="4" t="s">
        <v>371</v>
      </c>
      <c r="K1618" s="4">
        <v>3</v>
      </c>
      <c r="L1618" s="5">
        <v>219.63</v>
      </c>
      <c r="M1618" s="5">
        <v>658.89</v>
      </c>
      <c r="N1618" s="5">
        <v>426.29</v>
      </c>
      <c r="O1618" s="5">
        <v>232.6</v>
      </c>
      <c r="P1618" s="4">
        <f>--AND(OR(Dashboard!$A$10="All",C1618=Dashboard!$A$10),OR(Dashboard!$A$14="All",F1618=Dashboard!$A$14),OR(Dashboard!$A$18="All",G1618=Dashboard!$A$18),OR(Dashboard!$A$22="All",I1618=Dashboard!$A$22))</f>
        <v>1</v>
      </c>
    </row>
    <row r="1619" spans="1:16" ht="15.75" customHeight="1">
      <c r="A1619" s="4" t="s">
        <v>1825</v>
      </c>
      <c r="B1619" s="6">
        <v>45567</v>
      </c>
      <c r="C1619" s="4">
        <v>2024</v>
      </c>
      <c r="D1619" s="4">
        <v>10</v>
      </c>
      <c r="E1619" s="4" t="s">
        <v>120</v>
      </c>
      <c r="F1619" s="4" t="s">
        <v>11</v>
      </c>
      <c r="G1619" s="4" t="s">
        <v>12</v>
      </c>
      <c r="H1619" s="4" t="s">
        <v>92</v>
      </c>
      <c r="I1619" s="4" t="s">
        <v>7</v>
      </c>
      <c r="J1619" s="4" t="s">
        <v>87</v>
      </c>
      <c r="K1619" s="4">
        <v>4</v>
      </c>
      <c r="L1619" s="5">
        <v>212.25</v>
      </c>
      <c r="M1619" s="5">
        <v>849</v>
      </c>
      <c r="N1619" s="5">
        <v>515.11</v>
      </c>
      <c r="O1619" s="5">
        <v>333.89</v>
      </c>
      <c r="P1619" s="4">
        <f>--AND(OR(Dashboard!$A$10="All",C1619=Dashboard!$A$10),OR(Dashboard!$A$14="All",F1619=Dashboard!$A$14),OR(Dashboard!$A$18="All",G1619=Dashboard!$A$18),OR(Dashboard!$A$22="All",I1619=Dashboard!$A$22))</f>
        <v>1</v>
      </c>
    </row>
    <row r="1620" spans="1:16" ht="15.75" customHeight="1">
      <c r="A1620" s="4" t="s">
        <v>1826</v>
      </c>
      <c r="B1620" s="6">
        <v>45444</v>
      </c>
      <c r="C1620" s="4">
        <v>2024</v>
      </c>
      <c r="D1620" s="4">
        <v>6</v>
      </c>
      <c r="E1620" s="4" t="s">
        <v>34</v>
      </c>
      <c r="F1620" s="4" t="s">
        <v>5</v>
      </c>
      <c r="G1620" s="4" t="s">
        <v>6</v>
      </c>
      <c r="H1620" s="4" t="s">
        <v>98</v>
      </c>
      <c r="I1620" s="4" t="s">
        <v>7</v>
      </c>
      <c r="J1620" s="4" t="s">
        <v>311</v>
      </c>
      <c r="K1620" s="4">
        <v>5</v>
      </c>
      <c r="L1620" s="5">
        <v>123.89</v>
      </c>
      <c r="M1620" s="5">
        <v>619.45000000000005</v>
      </c>
      <c r="N1620" s="5">
        <v>427.93</v>
      </c>
      <c r="O1620" s="5">
        <v>191.52</v>
      </c>
      <c r="P1620" s="4">
        <f>--AND(OR(Dashboard!$A$10="All",C1620=Dashboard!$A$10),OR(Dashboard!$A$14="All",F1620=Dashboard!$A$14),OR(Dashboard!$A$18="All",G1620=Dashboard!$A$18),OR(Dashboard!$A$22="All",I1620=Dashboard!$A$22))</f>
        <v>1</v>
      </c>
    </row>
    <row r="1621" spans="1:16" ht="15.75" customHeight="1">
      <c r="A1621" s="4" t="s">
        <v>1827</v>
      </c>
      <c r="B1621" s="6">
        <v>45952</v>
      </c>
      <c r="C1621" s="4">
        <v>2025</v>
      </c>
      <c r="D1621" s="4">
        <v>10</v>
      </c>
      <c r="E1621" s="4" t="s">
        <v>120</v>
      </c>
      <c r="F1621" s="4" t="s">
        <v>5</v>
      </c>
      <c r="G1621" s="4" t="s">
        <v>6</v>
      </c>
      <c r="H1621" s="4" t="s">
        <v>54</v>
      </c>
      <c r="I1621" s="4" t="s">
        <v>10</v>
      </c>
      <c r="J1621" s="4" t="s">
        <v>319</v>
      </c>
      <c r="K1621" s="4">
        <v>1</v>
      </c>
      <c r="L1621" s="5">
        <v>184.4</v>
      </c>
      <c r="M1621" s="5">
        <v>184.4</v>
      </c>
      <c r="N1621" s="5">
        <v>116.58</v>
      </c>
      <c r="O1621" s="5">
        <v>67.819999999999993</v>
      </c>
      <c r="P1621" s="4">
        <f>--AND(OR(Dashboard!$A$10="All",C1621=Dashboard!$A$10),OR(Dashboard!$A$14="All",F1621=Dashboard!$A$14),OR(Dashboard!$A$18="All",G1621=Dashboard!$A$18),OR(Dashboard!$A$22="All",I1621=Dashboard!$A$22))</f>
        <v>1</v>
      </c>
    </row>
    <row r="1622" spans="1:16" ht="15.75" customHeight="1">
      <c r="A1622" s="4" t="s">
        <v>1828</v>
      </c>
      <c r="B1622" s="6">
        <v>45321</v>
      </c>
      <c r="C1622" s="4">
        <v>2024</v>
      </c>
      <c r="D1622" s="4">
        <v>1</v>
      </c>
      <c r="E1622" s="4" t="s">
        <v>30</v>
      </c>
      <c r="F1622" s="4" t="s">
        <v>5</v>
      </c>
      <c r="G1622" s="4" t="s">
        <v>6</v>
      </c>
      <c r="H1622" s="4" t="s">
        <v>98</v>
      </c>
      <c r="I1622" s="4" t="s">
        <v>10</v>
      </c>
      <c r="J1622" s="4" t="s">
        <v>37</v>
      </c>
      <c r="K1622" s="4">
        <v>1</v>
      </c>
      <c r="L1622" s="5">
        <v>77.48</v>
      </c>
      <c r="M1622" s="5">
        <v>77.48</v>
      </c>
      <c r="N1622" s="5">
        <v>52.91</v>
      </c>
      <c r="O1622" s="5">
        <v>24.57</v>
      </c>
      <c r="P1622" s="4">
        <f>--AND(OR(Dashboard!$A$10="All",C1622=Dashboard!$A$10),OR(Dashboard!$A$14="All",F1622=Dashboard!$A$14),OR(Dashboard!$A$18="All",G1622=Dashboard!$A$18),OR(Dashboard!$A$22="All",I1622=Dashboard!$A$22))</f>
        <v>1</v>
      </c>
    </row>
    <row r="1623" spans="1:16" ht="15.75" customHeight="1">
      <c r="A1623" s="4" t="s">
        <v>1829</v>
      </c>
      <c r="B1623" s="6">
        <v>45728</v>
      </c>
      <c r="C1623" s="4">
        <v>2025</v>
      </c>
      <c r="D1623" s="4">
        <v>3</v>
      </c>
      <c r="E1623" s="4" t="s">
        <v>100</v>
      </c>
      <c r="F1623" s="4" t="s">
        <v>5</v>
      </c>
      <c r="G1623" s="4" t="s">
        <v>12</v>
      </c>
      <c r="H1623" s="4" t="s">
        <v>58</v>
      </c>
      <c r="I1623" s="4" t="s">
        <v>7</v>
      </c>
      <c r="J1623" s="4" t="s">
        <v>417</v>
      </c>
      <c r="K1623" s="4">
        <v>2</v>
      </c>
      <c r="L1623" s="5">
        <v>266.52999999999997</v>
      </c>
      <c r="M1623" s="5">
        <v>533.05999999999995</v>
      </c>
      <c r="N1623" s="5">
        <v>316.01</v>
      </c>
      <c r="O1623" s="5">
        <v>217.05</v>
      </c>
      <c r="P1623" s="4">
        <f>--AND(OR(Dashboard!$A$10="All",C1623=Dashboard!$A$10),OR(Dashboard!$A$14="All",F1623=Dashboard!$A$14),OR(Dashboard!$A$18="All",G1623=Dashboard!$A$18),OR(Dashboard!$A$22="All",I1623=Dashboard!$A$22))</f>
        <v>1</v>
      </c>
    </row>
    <row r="1624" spans="1:16" ht="15.75" customHeight="1">
      <c r="A1624" s="4" t="s">
        <v>1830</v>
      </c>
      <c r="B1624" s="6">
        <v>45582</v>
      </c>
      <c r="C1624" s="4">
        <v>2024</v>
      </c>
      <c r="D1624" s="4">
        <v>10</v>
      </c>
      <c r="E1624" s="4" t="s">
        <v>120</v>
      </c>
      <c r="F1624" s="4" t="s">
        <v>5</v>
      </c>
      <c r="G1624" s="4" t="s">
        <v>6</v>
      </c>
      <c r="H1624" s="4" t="s">
        <v>114</v>
      </c>
      <c r="I1624" s="4" t="s">
        <v>10</v>
      </c>
      <c r="J1624" s="4" t="s">
        <v>311</v>
      </c>
      <c r="K1624" s="4">
        <v>3</v>
      </c>
      <c r="L1624" s="5">
        <v>130.74</v>
      </c>
      <c r="M1624" s="5">
        <v>392.22</v>
      </c>
      <c r="N1624" s="5">
        <v>265.57</v>
      </c>
      <c r="O1624" s="5">
        <v>126.65</v>
      </c>
      <c r="P1624" s="4">
        <f>--AND(OR(Dashboard!$A$10="All",C1624=Dashboard!$A$10),OR(Dashboard!$A$14="All",F1624=Dashboard!$A$14),OR(Dashboard!$A$18="All",G1624=Dashboard!$A$18),OR(Dashboard!$A$22="All",I1624=Dashboard!$A$22))</f>
        <v>1</v>
      </c>
    </row>
    <row r="1625" spans="1:16" ht="15.75" customHeight="1">
      <c r="A1625" s="4" t="s">
        <v>1831</v>
      </c>
      <c r="B1625" s="6">
        <v>45687</v>
      </c>
      <c r="C1625" s="4">
        <v>2025</v>
      </c>
      <c r="D1625" s="4">
        <v>1</v>
      </c>
      <c r="E1625" s="4" t="s">
        <v>30</v>
      </c>
      <c r="F1625" s="4" t="s">
        <v>5</v>
      </c>
      <c r="G1625" s="4" t="s">
        <v>9</v>
      </c>
      <c r="H1625" s="4" t="s">
        <v>110</v>
      </c>
      <c r="I1625" s="4" t="s">
        <v>10</v>
      </c>
      <c r="J1625" s="4" t="s">
        <v>455</v>
      </c>
      <c r="K1625" s="4">
        <v>2</v>
      </c>
      <c r="L1625" s="5">
        <v>41.52</v>
      </c>
      <c r="M1625" s="5">
        <v>83.04</v>
      </c>
      <c r="N1625" s="5">
        <v>42.66</v>
      </c>
      <c r="O1625" s="5">
        <v>40.380000000000003</v>
      </c>
      <c r="P1625" s="4">
        <f>--AND(OR(Dashboard!$A$10="All",C1625=Dashboard!$A$10),OR(Dashboard!$A$14="All",F1625=Dashboard!$A$14),OR(Dashboard!$A$18="All",G1625=Dashboard!$A$18),OR(Dashboard!$A$22="All",I1625=Dashboard!$A$22))</f>
        <v>1</v>
      </c>
    </row>
    <row r="1626" spans="1:16" ht="15.75" customHeight="1">
      <c r="A1626" s="4" t="s">
        <v>1832</v>
      </c>
      <c r="B1626" s="6">
        <v>45526</v>
      </c>
      <c r="C1626" s="4">
        <v>2024</v>
      </c>
      <c r="D1626" s="4">
        <v>8</v>
      </c>
      <c r="E1626" s="4" t="s">
        <v>67</v>
      </c>
      <c r="F1626" s="4" t="s">
        <v>8</v>
      </c>
      <c r="G1626" s="4" t="s">
        <v>6</v>
      </c>
      <c r="H1626" s="4" t="s">
        <v>54</v>
      </c>
      <c r="I1626" s="4" t="s">
        <v>10</v>
      </c>
      <c r="J1626" s="4" t="s">
        <v>268</v>
      </c>
      <c r="K1626" s="4">
        <v>3</v>
      </c>
      <c r="L1626" s="5">
        <v>87.7</v>
      </c>
      <c r="M1626" s="5">
        <v>263.10000000000002</v>
      </c>
      <c r="N1626" s="5">
        <v>168.29</v>
      </c>
      <c r="O1626" s="5">
        <v>94.81</v>
      </c>
      <c r="P1626" s="4">
        <f>--AND(OR(Dashboard!$A$10="All",C1626=Dashboard!$A$10),OR(Dashboard!$A$14="All",F1626=Dashboard!$A$14),OR(Dashboard!$A$18="All",G1626=Dashboard!$A$18),OR(Dashboard!$A$22="All",I1626=Dashboard!$A$22))</f>
        <v>1</v>
      </c>
    </row>
    <row r="1627" spans="1:16" ht="15.75" customHeight="1">
      <c r="A1627" s="4" t="s">
        <v>1833</v>
      </c>
      <c r="B1627" s="6">
        <v>45417</v>
      </c>
      <c r="C1627" s="4">
        <v>2024</v>
      </c>
      <c r="D1627" s="4">
        <v>5</v>
      </c>
      <c r="E1627" s="4" t="s">
        <v>108</v>
      </c>
      <c r="F1627" s="4" t="s">
        <v>8</v>
      </c>
      <c r="G1627" s="4" t="s">
        <v>12</v>
      </c>
      <c r="H1627" s="4" t="s">
        <v>92</v>
      </c>
      <c r="I1627" s="4" t="s">
        <v>10</v>
      </c>
      <c r="J1627" s="4" t="s">
        <v>134</v>
      </c>
      <c r="K1627" s="4">
        <v>2</v>
      </c>
      <c r="L1627" s="5">
        <v>272.52999999999997</v>
      </c>
      <c r="M1627" s="5">
        <v>545.05999999999995</v>
      </c>
      <c r="N1627" s="5">
        <v>339.17</v>
      </c>
      <c r="O1627" s="5">
        <v>205.89</v>
      </c>
      <c r="P1627" s="4">
        <f>--AND(OR(Dashboard!$A$10="All",C1627=Dashboard!$A$10),OR(Dashboard!$A$14="All",F1627=Dashboard!$A$14),OR(Dashboard!$A$18="All",G1627=Dashboard!$A$18),OR(Dashboard!$A$22="All",I1627=Dashboard!$A$22))</f>
        <v>1</v>
      </c>
    </row>
    <row r="1628" spans="1:16" ht="15.75" customHeight="1">
      <c r="A1628" s="4" t="s">
        <v>1834</v>
      </c>
      <c r="B1628" s="6">
        <v>45977</v>
      </c>
      <c r="C1628" s="4">
        <v>2025</v>
      </c>
      <c r="D1628" s="4">
        <v>11</v>
      </c>
      <c r="E1628" s="4" t="s">
        <v>89</v>
      </c>
      <c r="F1628" s="4" t="s">
        <v>5</v>
      </c>
      <c r="G1628" s="4" t="s">
        <v>12</v>
      </c>
      <c r="H1628" s="4" t="s">
        <v>86</v>
      </c>
      <c r="I1628" s="4" t="s">
        <v>10</v>
      </c>
      <c r="J1628" s="4" t="s">
        <v>232</v>
      </c>
      <c r="K1628" s="4">
        <v>1</v>
      </c>
      <c r="L1628" s="5">
        <v>310.13</v>
      </c>
      <c r="M1628" s="5">
        <v>310.13</v>
      </c>
      <c r="N1628" s="5">
        <v>190.46</v>
      </c>
      <c r="O1628" s="5">
        <v>119.67</v>
      </c>
      <c r="P1628" s="4">
        <f>--AND(OR(Dashboard!$A$10="All",C1628=Dashboard!$A$10),OR(Dashboard!$A$14="All",F1628=Dashboard!$A$14),OR(Dashboard!$A$18="All",G1628=Dashboard!$A$18),OR(Dashboard!$A$22="All",I1628=Dashboard!$A$22))</f>
        <v>1</v>
      </c>
    </row>
    <row r="1629" spans="1:16" ht="15.75" customHeight="1">
      <c r="A1629" s="4" t="s">
        <v>1835</v>
      </c>
      <c r="B1629" s="6">
        <v>45767</v>
      </c>
      <c r="C1629" s="4">
        <v>2025</v>
      </c>
      <c r="D1629" s="4">
        <v>4</v>
      </c>
      <c r="E1629" s="4" t="s">
        <v>106</v>
      </c>
      <c r="F1629" s="4" t="s">
        <v>8</v>
      </c>
      <c r="G1629" s="4" t="s">
        <v>12</v>
      </c>
      <c r="H1629" s="4" t="s">
        <v>86</v>
      </c>
      <c r="I1629" s="4" t="s">
        <v>13</v>
      </c>
      <c r="J1629" s="4" t="s">
        <v>191</v>
      </c>
      <c r="K1629" s="4">
        <v>1</v>
      </c>
      <c r="L1629" s="5">
        <v>270.66000000000003</v>
      </c>
      <c r="M1629" s="5">
        <v>270.66000000000003</v>
      </c>
      <c r="N1629" s="5">
        <v>161.02000000000001</v>
      </c>
      <c r="O1629" s="5">
        <v>109.64</v>
      </c>
      <c r="P1629" s="4">
        <f>--AND(OR(Dashboard!$A$10="All",C1629=Dashboard!$A$10),OR(Dashboard!$A$14="All",F1629=Dashboard!$A$14),OR(Dashboard!$A$18="All",G1629=Dashboard!$A$18),OR(Dashboard!$A$22="All",I1629=Dashboard!$A$22))</f>
        <v>1</v>
      </c>
    </row>
    <row r="1630" spans="1:16" ht="15.75" customHeight="1">
      <c r="A1630" s="4" t="s">
        <v>1836</v>
      </c>
      <c r="B1630" s="6">
        <v>45469</v>
      </c>
      <c r="C1630" s="4">
        <v>2024</v>
      </c>
      <c r="D1630" s="4">
        <v>6</v>
      </c>
      <c r="E1630" s="4" t="s">
        <v>34</v>
      </c>
      <c r="F1630" s="4" t="s">
        <v>8</v>
      </c>
      <c r="G1630" s="4" t="s">
        <v>12</v>
      </c>
      <c r="H1630" s="4" t="s">
        <v>124</v>
      </c>
      <c r="I1630" s="4" t="s">
        <v>10</v>
      </c>
      <c r="J1630" s="4" t="s">
        <v>336</v>
      </c>
      <c r="K1630" s="4">
        <v>4</v>
      </c>
      <c r="L1630" s="5">
        <v>323.24</v>
      </c>
      <c r="M1630" s="5">
        <v>1292.96</v>
      </c>
      <c r="N1630" s="5">
        <v>770.27</v>
      </c>
      <c r="O1630" s="5">
        <v>522.69000000000005</v>
      </c>
      <c r="P1630" s="4">
        <f>--AND(OR(Dashboard!$A$10="All",C1630=Dashboard!$A$10),OR(Dashboard!$A$14="All",F1630=Dashboard!$A$14),OR(Dashboard!$A$18="All",G1630=Dashboard!$A$18),OR(Dashboard!$A$22="All",I1630=Dashboard!$A$22))</f>
        <v>1</v>
      </c>
    </row>
    <row r="1631" spans="1:16" ht="15.75" customHeight="1">
      <c r="A1631" s="4" t="s">
        <v>1837</v>
      </c>
      <c r="B1631" s="6">
        <v>45403</v>
      </c>
      <c r="C1631" s="4">
        <v>2024</v>
      </c>
      <c r="D1631" s="4">
        <v>4</v>
      </c>
      <c r="E1631" s="4" t="s">
        <v>106</v>
      </c>
      <c r="F1631" s="4" t="s">
        <v>11</v>
      </c>
      <c r="G1631" s="4" t="s">
        <v>6</v>
      </c>
      <c r="H1631" s="4" t="s">
        <v>80</v>
      </c>
      <c r="I1631" s="4" t="s">
        <v>7</v>
      </c>
      <c r="J1631" s="4" t="s">
        <v>249</v>
      </c>
      <c r="K1631" s="4">
        <v>10</v>
      </c>
      <c r="L1631" s="5">
        <v>108.69</v>
      </c>
      <c r="M1631" s="5">
        <v>1086.9000000000001</v>
      </c>
      <c r="N1631" s="5">
        <v>685.96</v>
      </c>
      <c r="O1631" s="5">
        <v>400.94</v>
      </c>
      <c r="P1631" s="4">
        <f>--AND(OR(Dashboard!$A$10="All",C1631=Dashboard!$A$10),OR(Dashboard!$A$14="All",F1631=Dashboard!$A$14),OR(Dashboard!$A$18="All",G1631=Dashboard!$A$18),OR(Dashboard!$A$22="All",I1631=Dashboard!$A$22))</f>
        <v>1</v>
      </c>
    </row>
    <row r="1632" spans="1:16" ht="15.75" customHeight="1">
      <c r="A1632" s="4" t="s">
        <v>1838</v>
      </c>
      <c r="B1632" s="6">
        <v>45294</v>
      </c>
      <c r="C1632" s="4">
        <v>2024</v>
      </c>
      <c r="D1632" s="4">
        <v>1</v>
      </c>
      <c r="E1632" s="4" t="s">
        <v>30</v>
      </c>
      <c r="F1632" s="4" t="s">
        <v>8</v>
      </c>
      <c r="G1632" s="4" t="s">
        <v>9</v>
      </c>
      <c r="H1632" s="4" t="s">
        <v>64</v>
      </c>
      <c r="I1632" s="4" t="s">
        <v>7</v>
      </c>
      <c r="J1632" s="4" t="s">
        <v>299</v>
      </c>
      <c r="K1632" s="4">
        <v>1</v>
      </c>
      <c r="L1632" s="5">
        <v>39.01</v>
      </c>
      <c r="M1632" s="5">
        <v>39.01</v>
      </c>
      <c r="N1632" s="5">
        <v>18.8</v>
      </c>
      <c r="O1632" s="5">
        <v>20.21</v>
      </c>
      <c r="P1632" s="4">
        <f>--AND(OR(Dashboard!$A$10="All",C1632=Dashboard!$A$10),OR(Dashboard!$A$14="All",F1632=Dashboard!$A$14),OR(Dashboard!$A$18="All",G1632=Dashboard!$A$18),OR(Dashboard!$A$22="All",I1632=Dashboard!$A$22))</f>
        <v>1</v>
      </c>
    </row>
    <row r="1633" spans="1:16" ht="15.75" customHeight="1">
      <c r="A1633" s="4" t="s">
        <v>1839</v>
      </c>
      <c r="B1633" s="6">
        <v>45777</v>
      </c>
      <c r="C1633" s="4">
        <v>2025</v>
      </c>
      <c r="D1633" s="4">
        <v>4</v>
      </c>
      <c r="E1633" s="4" t="s">
        <v>106</v>
      </c>
      <c r="F1633" s="4" t="s">
        <v>8</v>
      </c>
      <c r="G1633" s="4" t="s">
        <v>9</v>
      </c>
      <c r="H1633" s="4" t="s">
        <v>64</v>
      </c>
      <c r="I1633" s="4" t="s">
        <v>7</v>
      </c>
      <c r="J1633" s="4" t="s">
        <v>191</v>
      </c>
      <c r="K1633" s="4">
        <v>2</v>
      </c>
      <c r="L1633" s="5">
        <v>56.03</v>
      </c>
      <c r="M1633" s="5">
        <v>112.06</v>
      </c>
      <c r="N1633" s="5">
        <v>54.94</v>
      </c>
      <c r="O1633" s="5">
        <v>57.12</v>
      </c>
      <c r="P1633" s="4">
        <f>--AND(OR(Dashboard!$A$10="All",C1633=Dashboard!$A$10),OR(Dashboard!$A$14="All",F1633=Dashboard!$A$14),OR(Dashboard!$A$18="All",G1633=Dashboard!$A$18),OR(Dashboard!$A$22="All",I1633=Dashboard!$A$22))</f>
        <v>1</v>
      </c>
    </row>
    <row r="1634" spans="1:16" ht="15.75" customHeight="1">
      <c r="A1634" s="4" t="s">
        <v>1840</v>
      </c>
      <c r="B1634" s="6">
        <v>45366</v>
      </c>
      <c r="C1634" s="4">
        <v>2024</v>
      </c>
      <c r="D1634" s="4">
        <v>3</v>
      </c>
      <c r="E1634" s="4" t="s">
        <v>100</v>
      </c>
      <c r="F1634" s="4" t="s">
        <v>5</v>
      </c>
      <c r="G1634" s="4" t="s">
        <v>12</v>
      </c>
      <c r="H1634" s="4" t="s">
        <v>127</v>
      </c>
      <c r="I1634" s="4" t="s">
        <v>13</v>
      </c>
      <c r="J1634" s="4" t="s">
        <v>211</v>
      </c>
      <c r="K1634" s="4">
        <v>2</v>
      </c>
      <c r="L1634" s="5">
        <v>252.92</v>
      </c>
      <c r="M1634" s="5">
        <v>505.84</v>
      </c>
      <c r="N1634" s="5">
        <v>314.22000000000003</v>
      </c>
      <c r="O1634" s="5">
        <v>191.62</v>
      </c>
      <c r="P1634" s="4">
        <f>--AND(OR(Dashboard!$A$10="All",C1634=Dashboard!$A$10),OR(Dashboard!$A$14="All",F1634=Dashboard!$A$14),OR(Dashboard!$A$18="All",G1634=Dashboard!$A$18),OR(Dashboard!$A$22="All",I1634=Dashboard!$A$22))</f>
        <v>1</v>
      </c>
    </row>
    <row r="1635" spans="1:16" ht="15.75" customHeight="1">
      <c r="A1635" s="4" t="s">
        <v>1841</v>
      </c>
      <c r="B1635" s="6">
        <v>45589</v>
      </c>
      <c r="C1635" s="4">
        <v>2024</v>
      </c>
      <c r="D1635" s="4">
        <v>10</v>
      </c>
      <c r="E1635" s="4" t="s">
        <v>120</v>
      </c>
      <c r="F1635" s="4" t="s">
        <v>8</v>
      </c>
      <c r="G1635" s="4" t="s">
        <v>12</v>
      </c>
      <c r="H1635" s="4" t="s">
        <v>86</v>
      </c>
      <c r="I1635" s="4" t="s">
        <v>7</v>
      </c>
      <c r="J1635" s="4" t="s">
        <v>216</v>
      </c>
      <c r="K1635" s="4">
        <v>2</v>
      </c>
      <c r="L1635" s="5">
        <v>313.75</v>
      </c>
      <c r="M1635" s="5">
        <v>627.5</v>
      </c>
      <c r="N1635" s="5">
        <v>391.83</v>
      </c>
      <c r="O1635" s="5">
        <v>235.67</v>
      </c>
      <c r="P1635" s="4">
        <f>--AND(OR(Dashboard!$A$10="All",C1635=Dashboard!$A$10),OR(Dashboard!$A$14="All",F1635=Dashboard!$A$14),OR(Dashboard!$A$18="All",G1635=Dashboard!$A$18),OR(Dashboard!$A$22="All",I1635=Dashboard!$A$22))</f>
        <v>1</v>
      </c>
    </row>
    <row r="1636" spans="1:16" ht="15.75" customHeight="1">
      <c r="A1636" s="4" t="s">
        <v>1842</v>
      </c>
      <c r="B1636" s="6">
        <v>45589</v>
      </c>
      <c r="C1636" s="4">
        <v>2024</v>
      </c>
      <c r="D1636" s="4">
        <v>10</v>
      </c>
      <c r="E1636" s="4" t="s">
        <v>120</v>
      </c>
      <c r="F1636" s="4" t="s">
        <v>11</v>
      </c>
      <c r="G1636" s="4" t="s">
        <v>12</v>
      </c>
      <c r="H1636" s="4" t="s">
        <v>124</v>
      </c>
      <c r="I1636" s="4" t="s">
        <v>13</v>
      </c>
      <c r="J1636" s="4" t="s">
        <v>381</v>
      </c>
      <c r="K1636" s="4">
        <v>12</v>
      </c>
      <c r="L1636" s="5">
        <v>293.89999999999998</v>
      </c>
      <c r="M1636" s="5">
        <v>3526.8</v>
      </c>
      <c r="N1636" s="5">
        <v>2143.16</v>
      </c>
      <c r="O1636" s="5">
        <v>1383.64</v>
      </c>
      <c r="P1636" s="4">
        <f>--AND(OR(Dashboard!$A$10="All",C1636=Dashboard!$A$10),OR(Dashboard!$A$14="All",F1636=Dashboard!$A$14),OR(Dashboard!$A$18="All",G1636=Dashboard!$A$18),OR(Dashboard!$A$22="All",I1636=Dashboard!$A$22))</f>
        <v>1</v>
      </c>
    </row>
    <row r="1637" spans="1:16" ht="15.75" customHeight="1">
      <c r="A1637" s="4" t="s">
        <v>1843</v>
      </c>
      <c r="B1637" s="6">
        <v>45459</v>
      </c>
      <c r="C1637" s="4">
        <v>2024</v>
      </c>
      <c r="D1637" s="4">
        <v>6</v>
      </c>
      <c r="E1637" s="4" t="s">
        <v>34</v>
      </c>
      <c r="F1637" s="4" t="s">
        <v>8</v>
      </c>
      <c r="G1637" s="4" t="s">
        <v>12</v>
      </c>
      <c r="H1637" s="4" t="s">
        <v>58</v>
      </c>
      <c r="I1637" s="4" t="s">
        <v>13</v>
      </c>
      <c r="J1637" s="4" t="s">
        <v>115</v>
      </c>
      <c r="K1637" s="4">
        <v>1</v>
      </c>
      <c r="L1637" s="5">
        <v>179.44</v>
      </c>
      <c r="M1637" s="5">
        <v>179.44</v>
      </c>
      <c r="N1637" s="5">
        <v>112.85</v>
      </c>
      <c r="O1637" s="5">
        <v>66.59</v>
      </c>
      <c r="P1637" s="4">
        <f>--AND(OR(Dashboard!$A$10="All",C1637=Dashboard!$A$10),OR(Dashboard!$A$14="All",F1637=Dashboard!$A$14),OR(Dashboard!$A$18="All",G1637=Dashboard!$A$18),OR(Dashboard!$A$22="All",I1637=Dashboard!$A$22))</f>
        <v>1</v>
      </c>
    </row>
    <row r="1638" spans="1:16" ht="15.75" customHeight="1">
      <c r="A1638" s="4" t="s">
        <v>1844</v>
      </c>
      <c r="B1638" s="6">
        <v>45677</v>
      </c>
      <c r="C1638" s="4">
        <v>2025</v>
      </c>
      <c r="D1638" s="4">
        <v>1</v>
      </c>
      <c r="E1638" s="4" t="s">
        <v>30</v>
      </c>
      <c r="F1638" s="4" t="s">
        <v>5</v>
      </c>
      <c r="G1638" s="4" t="s">
        <v>9</v>
      </c>
      <c r="H1638" s="4" t="s">
        <v>71</v>
      </c>
      <c r="I1638" s="4" t="s">
        <v>10</v>
      </c>
      <c r="J1638" s="4" t="s">
        <v>326</v>
      </c>
      <c r="K1638" s="4">
        <v>5</v>
      </c>
      <c r="L1638" s="5">
        <v>27.14</v>
      </c>
      <c r="M1638" s="5">
        <v>135.69999999999999</v>
      </c>
      <c r="N1638" s="5">
        <v>70.069999999999993</v>
      </c>
      <c r="O1638" s="5">
        <v>65.63</v>
      </c>
      <c r="P1638" s="4">
        <f>--AND(OR(Dashboard!$A$10="All",C1638=Dashboard!$A$10),OR(Dashboard!$A$14="All",F1638=Dashboard!$A$14),OR(Dashboard!$A$18="All",G1638=Dashboard!$A$18),OR(Dashboard!$A$22="All",I1638=Dashboard!$A$22))</f>
        <v>1</v>
      </c>
    </row>
    <row r="1639" spans="1:16" ht="15.75" customHeight="1">
      <c r="A1639" s="4" t="s">
        <v>1845</v>
      </c>
      <c r="B1639" s="6">
        <v>45331</v>
      </c>
      <c r="C1639" s="4">
        <v>2024</v>
      </c>
      <c r="D1639" s="4">
        <v>2</v>
      </c>
      <c r="E1639" s="4" t="s">
        <v>70</v>
      </c>
      <c r="F1639" s="4" t="s">
        <v>8</v>
      </c>
      <c r="G1639" s="4" t="s">
        <v>6</v>
      </c>
      <c r="H1639" s="4" t="s">
        <v>80</v>
      </c>
      <c r="I1639" s="4" t="s">
        <v>10</v>
      </c>
      <c r="J1639" s="4" t="s">
        <v>311</v>
      </c>
      <c r="K1639" s="4">
        <v>2</v>
      </c>
      <c r="L1639" s="5">
        <v>191.56</v>
      </c>
      <c r="M1639" s="5">
        <v>383.12</v>
      </c>
      <c r="N1639" s="5">
        <v>251.43</v>
      </c>
      <c r="O1639" s="5">
        <v>131.69</v>
      </c>
      <c r="P1639" s="4">
        <f>--AND(OR(Dashboard!$A$10="All",C1639=Dashboard!$A$10),OR(Dashboard!$A$14="All",F1639=Dashboard!$A$14),OR(Dashboard!$A$18="All",G1639=Dashboard!$A$18),OR(Dashboard!$A$22="All",I1639=Dashboard!$A$22))</f>
        <v>1</v>
      </c>
    </row>
    <row r="1640" spans="1:16" ht="15.75" customHeight="1">
      <c r="A1640" s="4" t="s">
        <v>1846</v>
      </c>
      <c r="B1640" s="6">
        <v>45499</v>
      </c>
      <c r="C1640" s="4">
        <v>2024</v>
      </c>
      <c r="D1640" s="4">
        <v>7</v>
      </c>
      <c r="E1640" s="4" t="s">
        <v>63</v>
      </c>
      <c r="F1640" s="4" t="s">
        <v>14</v>
      </c>
      <c r="G1640" s="4" t="s">
        <v>12</v>
      </c>
      <c r="H1640" s="4" t="s">
        <v>127</v>
      </c>
      <c r="I1640" s="4" t="s">
        <v>13</v>
      </c>
      <c r="J1640" s="4" t="s">
        <v>348</v>
      </c>
      <c r="K1640" s="4">
        <v>1</v>
      </c>
      <c r="L1640" s="5">
        <v>260.14999999999998</v>
      </c>
      <c r="M1640" s="5">
        <v>260.14999999999998</v>
      </c>
      <c r="N1640" s="5">
        <v>162.66999999999999</v>
      </c>
      <c r="O1640" s="5">
        <v>97.48</v>
      </c>
      <c r="P1640" s="4">
        <f>--AND(OR(Dashboard!$A$10="All",C1640=Dashboard!$A$10),OR(Dashboard!$A$14="All",F1640=Dashboard!$A$14),OR(Dashboard!$A$18="All",G1640=Dashboard!$A$18),OR(Dashboard!$A$22="All",I1640=Dashboard!$A$22))</f>
        <v>1</v>
      </c>
    </row>
    <row r="1641" spans="1:16" ht="15.75" customHeight="1">
      <c r="A1641" s="4" t="s">
        <v>1847</v>
      </c>
      <c r="B1641" s="6">
        <v>45598</v>
      </c>
      <c r="C1641" s="4">
        <v>2024</v>
      </c>
      <c r="D1641" s="4">
        <v>11</v>
      </c>
      <c r="E1641" s="4" t="s">
        <v>89</v>
      </c>
      <c r="F1641" s="4" t="s">
        <v>5</v>
      </c>
      <c r="G1641" s="4" t="s">
        <v>9</v>
      </c>
      <c r="H1641" s="4" t="s">
        <v>35</v>
      </c>
      <c r="I1641" s="4" t="s">
        <v>7</v>
      </c>
      <c r="J1641" s="4" t="s">
        <v>235</v>
      </c>
      <c r="K1641" s="4">
        <v>1</v>
      </c>
      <c r="L1641" s="5">
        <v>51.19</v>
      </c>
      <c r="M1641" s="5">
        <v>51.19</v>
      </c>
      <c r="N1641" s="5">
        <v>25.91</v>
      </c>
      <c r="O1641" s="5">
        <v>25.28</v>
      </c>
      <c r="P1641" s="4">
        <f>--AND(OR(Dashboard!$A$10="All",C1641=Dashboard!$A$10),OR(Dashboard!$A$14="All",F1641=Dashboard!$A$14),OR(Dashboard!$A$18="All",G1641=Dashboard!$A$18),OR(Dashboard!$A$22="All",I1641=Dashboard!$A$22))</f>
        <v>1</v>
      </c>
    </row>
    <row r="1642" spans="1:16" ht="15.75" customHeight="1">
      <c r="A1642" s="4" t="s">
        <v>1848</v>
      </c>
      <c r="B1642" s="6">
        <v>45939</v>
      </c>
      <c r="C1642" s="4">
        <v>2025</v>
      </c>
      <c r="D1642" s="4">
        <v>10</v>
      </c>
      <c r="E1642" s="4" t="s">
        <v>120</v>
      </c>
      <c r="F1642" s="4" t="s">
        <v>11</v>
      </c>
      <c r="G1642" s="4" t="s">
        <v>6</v>
      </c>
      <c r="H1642" s="4" t="s">
        <v>80</v>
      </c>
      <c r="I1642" s="4" t="s">
        <v>7</v>
      </c>
      <c r="J1642" s="4" t="s">
        <v>118</v>
      </c>
      <c r="K1642" s="4">
        <v>7</v>
      </c>
      <c r="L1642" s="5">
        <v>96.14</v>
      </c>
      <c r="M1642" s="5">
        <v>672.98</v>
      </c>
      <c r="N1642" s="5">
        <v>428.27</v>
      </c>
      <c r="O1642" s="5">
        <v>244.71</v>
      </c>
      <c r="P1642" s="4">
        <f>--AND(OR(Dashboard!$A$10="All",C1642=Dashboard!$A$10),OR(Dashboard!$A$14="All",F1642=Dashboard!$A$14),OR(Dashboard!$A$18="All",G1642=Dashboard!$A$18),OR(Dashboard!$A$22="All",I1642=Dashboard!$A$22))</f>
        <v>1</v>
      </c>
    </row>
    <row r="1643" spans="1:16" ht="15.75" customHeight="1">
      <c r="A1643" s="4" t="s">
        <v>1849</v>
      </c>
      <c r="B1643" s="6">
        <v>45825</v>
      </c>
      <c r="C1643" s="4">
        <v>2025</v>
      </c>
      <c r="D1643" s="4">
        <v>6</v>
      </c>
      <c r="E1643" s="4" t="s">
        <v>34</v>
      </c>
      <c r="F1643" s="4" t="s">
        <v>5</v>
      </c>
      <c r="G1643" s="4" t="s">
        <v>6</v>
      </c>
      <c r="H1643" s="4" t="s">
        <v>98</v>
      </c>
      <c r="I1643" s="4" t="s">
        <v>7</v>
      </c>
      <c r="J1643" s="4" t="s">
        <v>321</v>
      </c>
      <c r="K1643" s="4">
        <v>7</v>
      </c>
      <c r="L1643" s="5">
        <v>169.21</v>
      </c>
      <c r="M1643" s="5">
        <v>1184.47</v>
      </c>
      <c r="N1643" s="5">
        <v>819.52</v>
      </c>
      <c r="O1643" s="5">
        <v>364.95</v>
      </c>
      <c r="P1643" s="4">
        <f>--AND(OR(Dashboard!$A$10="All",C1643=Dashboard!$A$10),OR(Dashboard!$A$14="All",F1643=Dashboard!$A$14),OR(Dashboard!$A$18="All",G1643=Dashboard!$A$18),OR(Dashboard!$A$22="All",I1643=Dashboard!$A$22))</f>
        <v>1</v>
      </c>
    </row>
    <row r="1644" spans="1:16" ht="15.75" customHeight="1">
      <c r="A1644" s="4" t="s">
        <v>1850</v>
      </c>
      <c r="B1644" s="6">
        <v>45557</v>
      </c>
      <c r="C1644" s="4">
        <v>2024</v>
      </c>
      <c r="D1644" s="4">
        <v>9</v>
      </c>
      <c r="E1644" s="4" t="s">
        <v>79</v>
      </c>
      <c r="F1644" s="4" t="s">
        <v>5</v>
      </c>
      <c r="G1644" s="4" t="s">
        <v>6</v>
      </c>
      <c r="H1644" s="4" t="s">
        <v>136</v>
      </c>
      <c r="I1644" s="4" t="s">
        <v>7</v>
      </c>
      <c r="J1644" s="4" t="s">
        <v>72</v>
      </c>
      <c r="K1644" s="4">
        <v>3</v>
      </c>
      <c r="L1644" s="5">
        <v>207.88</v>
      </c>
      <c r="M1644" s="5">
        <v>623.64</v>
      </c>
      <c r="N1644" s="5">
        <v>391.89</v>
      </c>
      <c r="O1644" s="5">
        <v>231.75</v>
      </c>
      <c r="P1644" s="4">
        <f>--AND(OR(Dashboard!$A$10="All",C1644=Dashboard!$A$10),OR(Dashboard!$A$14="All",F1644=Dashboard!$A$14),OR(Dashboard!$A$18="All",G1644=Dashboard!$A$18),OR(Dashboard!$A$22="All",I1644=Dashboard!$A$22))</f>
        <v>1</v>
      </c>
    </row>
    <row r="1645" spans="1:16" ht="15.75" customHeight="1">
      <c r="A1645" s="4" t="s">
        <v>1851</v>
      </c>
      <c r="B1645" s="6">
        <v>45707</v>
      </c>
      <c r="C1645" s="4">
        <v>2025</v>
      </c>
      <c r="D1645" s="4">
        <v>2</v>
      </c>
      <c r="E1645" s="4" t="s">
        <v>70</v>
      </c>
      <c r="F1645" s="4" t="s">
        <v>8</v>
      </c>
      <c r="G1645" s="4" t="s">
        <v>9</v>
      </c>
      <c r="H1645" s="4" t="s">
        <v>71</v>
      </c>
      <c r="I1645" s="4" t="s">
        <v>7</v>
      </c>
      <c r="J1645" s="4" t="s">
        <v>420</v>
      </c>
      <c r="K1645" s="4">
        <v>7</v>
      </c>
      <c r="L1645" s="5">
        <v>33.47</v>
      </c>
      <c r="M1645" s="5">
        <v>234.29</v>
      </c>
      <c r="N1645" s="5">
        <v>120.53</v>
      </c>
      <c r="O1645" s="5">
        <v>113.76</v>
      </c>
      <c r="P1645" s="4">
        <f>--AND(OR(Dashboard!$A$10="All",C1645=Dashboard!$A$10),OR(Dashboard!$A$14="All",F1645=Dashboard!$A$14),OR(Dashboard!$A$18="All",G1645=Dashboard!$A$18),OR(Dashboard!$A$22="All",I1645=Dashboard!$A$22))</f>
        <v>1</v>
      </c>
    </row>
    <row r="1646" spans="1:16" ht="15.75" customHeight="1">
      <c r="A1646" s="4" t="s">
        <v>1852</v>
      </c>
      <c r="B1646" s="6">
        <v>45605</v>
      </c>
      <c r="C1646" s="4">
        <v>2024</v>
      </c>
      <c r="D1646" s="4">
        <v>11</v>
      </c>
      <c r="E1646" s="4" t="s">
        <v>89</v>
      </c>
      <c r="F1646" s="4" t="s">
        <v>5</v>
      </c>
      <c r="G1646" s="4" t="s">
        <v>9</v>
      </c>
      <c r="H1646" s="4" t="s">
        <v>110</v>
      </c>
      <c r="I1646" s="4" t="s">
        <v>7</v>
      </c>
      <c r="J1646" s="4" t="s">
        <v>455</v>
      </c>
      <c r="K1646" s="4">
        <v>4</v>
      </c>
      <c r="L1646" s="5">
        <v>29.89</v>
      </c>
      <c r="M1646" s="5">
        <v>119.56</v>
      </c>
      <c r="N1646" s="5">
        <v>58.1</v>
      </c>
      <c r="O1646" s="5">
        <v>61.46</v>
      </c>
      <c r="P1646" s="4">
        <f>--AND(OR(Dashboard!$A$10="All",C1646=Dashboard!$A$10),OR(Dashboard!$A$14="All",F1646=Dashboard!$A$14),OR(Dashboard!$A$18="All",G1646=Dashboard!$A$18),OR(Dashboard!$A$22="All",I1646=Dashboard!$A$22))</f>
        <v>1</v>
      </c>
    </row>
    <row r="1647" spans="1:16" ht="15.75" customHeight="1">
      <c r="A1647" s="4" t="s">
        <v>1853</v>
      </c>
      <c r="B1647" s="6">
        <v>45347</v>
      </c>
      <c r="C1647" s="4">
        <v>2024</v>
      </c>
      <c r="D1647" s="4">
        <v>2</v>
      </c>
      <c r="E1647" s="4" t="s">
        <v>70</v>
      </c>
      <c r="F1647" s="4" t="s">
        <v>11</v>
      </c>
      <c r="G1647" s="4" t="s">
        <v>9</v>
      </c>
      <c r="H1647" s="4" t="s">
        <v>110</v>
      </c>
      <c r="I1647" s="4" t="s">
        <v>13</v>
      </c>
      <c r="J1647" s="4" t="s">
        <v>164</v>
      </c>
      <c r="K1647" s="4">
        <v>2</v>
      </c>
      <c r="L1647" s="5">
        <v>39.97</v>
      </c>
      <c r="M1647" s="5">
        <v>79.94</v>
      </c>
      <c r="N1647" s="5">
        <v>39.65</v>
      </c>
      <c r="O1647" s="5">
        <v>40.29</v>
      </c>
      <c r="P1647" s="4">
        <f>--AND(OR(Dashboard!$A$10="All",C1647=Dashboard!$A$10),OR(Dashboard!$A$14="All",F1647=Dashboard!$A$14),OR(Dashboard!$A$18="All",G1647=Dashboard!$A$18),OR(Dashboard!$A$22="All",I1647=Dashboard!$A$22))</f>
        <v>1</v>
      </c>
    </row>
    <row r="1648" spans="1:16" ht="15.75" customHeight="1">
      <c r="A1648" s="4" t="s">
        <v>1854</v>
      </c>
      <c r="B1648" s="6">
        <v>45325</v>
      </c>
      <c r="C1648" s="4">
        <v>2024</v>
      </c>
      <c r="D1648" s="4">
        <v>2</v>
      </c>
      <c r="E1648" s="4" t="s">
        <v>70</v>
      </c>
      <c r="F1648" s="4" t="s">
        <v>14</v>
      </c>
      <c r="G1648" s="4" t="s">
        <v>9</v>
      </c>
      <c r="H1648" s="4" t="s">
        <v>64</v>
      </c>
      <c r="I1648" s="4" t="s">
        <v>7</v>
      </c>
      <c r="J1648" s="4" t="s">
        <v>485</v>
      </c>
      <c r="K1648" s="4">
        <v>2</v>
      </c>
      <c r="L1648" s="5">
        <v>33.549999999999997</v>
      </c>
      <c r="M1648" s="5">
        <v>67.099999999999994</v>
      </c>
      <c r="N1648" s="5">
        <v>33.340000000000003</v>
      </c>
      <c r="O1648" s="5">
        <v>33.76</v>
      </c>
      <c r="P1648" s="4">
        <f>--AND(OR(Dashboard!$A$10="All",C1648=Dashboard!$A$10),OR(Dashboard!$A$14="All",F1648=Dashboard!$A$14),OR(Dashboard!$A$18="All",G1648=Dashboard!$A$18),OR(Dashboard!$A$22="All",I1648=Dashboard!$A$22))</f>
        <v>1</v>
      </c>
    </row>
    <row r="1649" spans="1:16" ht="15.75" customHeight="1">
      <c r="A1649" s="4" t="s">
        <v>1855</v>
      </c>
      <c r="B1649" s="6">
        <v>45770</v>
      </c>
      <c r="C1649" s="4">
        <v>2025</v>
      </c>
      <c r="D1649" s="4">
        <v>4</v>
      </c>
      <c r="E1649" s="4" t="s">
        <v>106</v>
      </c>
      <c r="F1649" s="4" t="s">
        <v>14</v>
      </c>
      <c r="G1649" s="4" t="s">
        <v>9</v>
      </c>
      <c r="H1649" s="4" t="s">
        <v>35</v>
      </c>
      <c r="I1649" s="4" t="s">
        <v>7</v>
      </c>
      <c r="J1649" s="4" t="s">
        <v>393</v>
      </c>
      <c r="K1649" s="4">
        <v>1</v>
      </c>
      <c r="L1649" s="5">
        <v>38.72</v>
      </c>
      <c r="M1649" s="5">
        <v>38.72</v>
      </c>
      <c r="N1649" s="5">
        <v>18.48</v>
      </c>
      <c r="O1649" s="5">
        <v>20.239999999999998</v>
      </c>
      <c r="P1649" s="4">
        <f>--AND(OR(Dashboard!$A$10="All",C1649=Dashboard!$A$10),OR(Dashboard!$A$14="All",F1649=Dashboard!$A$14),OR(Dashboard!$A$18="All",G1649=Dashboard!$A$18),OR(Dashboard!$A$22="All",I1649=Dashboard!$A$22))</f>
        <v>1</v>
      </c>
    </row>
    <row r="1650" spans="1:16" ht="15.75" customHeight="1">
      <c r="A1650" s="4" t="s">
        <v>1856</v>
      </c>
      <c r="B1650" s="6">
        <v>45943</v>
      </c>
      <c r="C1650" s="4">
        <v>2025</v>
      </c>
      <c r="D1650" s="4">
        <v>10</v>
      </c>
      <c r="E1650" s="4" t="s">
        <v>120</v>
      </c>
      <c r="F1650" s="4" t="s">
        <v>5</v>
      </c>
      <c r="G1650" s="4" t="s">
        <v>12</v>
      </c>
      <c r="H1650" s="4" t="s">
        <v>92</v>
      </c>
      <c r="I1650" s="4" t="s">
        <v>10</v>
      </c>
      <c r="J1650" s="4" t="s">
        <v>186</v>
      </c>
      <c r="K1650" s="4">
        <v>8</v>
      </c>
      <c r="L1650" s="5">
        <v>131.44</v>
      </c>
      <c r="M1650" s="5">
        <v>1051.52</v>
      </c>
      <c r="N1650" s="5">
        <v>602.97</v>
      </c>
      <c r="O1650" s="5">
        <v>448.55</v>
      </c>
      <c r="P1650" s="4">
        <f>--AND(OR(Dashboard!$A$10="All",C1650=Dashboard!$A$10),OR(Dashboard!$A$14="All",F1650=Dashboard!$A$14),OR(Dashboard!$A$18="All",G1650=Dashboard!$A$18),OR(Dashboard!$A$22="All",I1650=Dashboard!$A$22))</f>
        <v>1</v>
      </c>
    </row>
    <row r="1651" spans="1:16" ht="15.75" customHeight="1">
      <c r="A1651" s="4" t="s">
        <v>1857</v>
      </c>
      <c r="B1651" s="6">
        <v>45513</v>
      </c>
      <c r="C1651" s="4">
        <v>2024</v>
      </c>
      <c r="D1651" s="4">
        <v>8</v>
      </c>
      <c r="E1651" s="4" t="s">
        <v>67</v>
      </c>
      <c r="F1651" s="4" t="s">
        <v>5</v>
      </c>
      <c r="G1651" s="4" t="s">
        <v>6</v>
      </c>
      <c r="H1651" s="4" t="s">
        <v>80</v>
      </c>
      <c r="I1651" s="4" t="s">
        <v>10</v>
      </c>
      <c r="J1651" s="4" t="s">
        <v>263</v>
      </c>
      <c r="K1651" s="4">
        <v>9</v>
      </c>
      <c r="L1651" s="5">
        <v>212.56</v>
      </c>
      <c r="M1651" s="5">
        <v>1913.04</v>
      </c>
      <c r="N1651" s="5">
        <v>1270.83</v>
      </c>
      <c r="O1651" s="5">
        <v>642.21</v>
      </c>
      <c r="P1651" s="4">
        <f>--AND(OR(Dashboard!$A$10="All",C1651=Dashboard!$A$10),OR(Dashboard!$A$14="All",F1651=Dashboard!$A$14),OR(Dashboard!$A$18="All",G1651=Dashboard!$A$18),OR(Dashboard!$A$22="All",I1651=Dashboard!$A$22))</f>
        <v>1</v>
      </c>
    </row>
    <row r="1652" spans="1:16" ht="15.75" customHeight="1">
      <c r="A1652" s="4" t="s">
        <v>1858</v>
      </c>
      <c r="B1652" s="6">
        <v>45649</v>
      </c>
      <c r="C1652" s="4">
        <v>2024</v>
      </c>
      <c r="D1652" s="4">
        <v>12</v>
      </c>
      <c r="E1652" s="4" t="s">
        <v>57</v>
      </c>
      <c r="F1652" s="4" t="s">
        <v>5</v>
      </c>
      <c r="G1652" s="4" t="s">
        <v>9</v>
      </c>
      <c r="H1652" s="4" t="s">
        <v>142</v>
      </c>
      <c r="I1652" s="4" t="s">
        <v>7</v>
      </c>
      <c r="J1652" s="4" t="s">
        <v>292</v>
      </c>
      <c r="K1652" s="4">
        <v>2</v>
      </c>
      <c r="L1652" s="5">
        <v>65.540000000000006</v>
      </c>
      <c r="M1652" s="5">
        <v>131.08000000000001</v>
      </c>
      <c r="N1652" s="5">
        <v>65.819999999999993</v>
      </c>
      <c r="O1652" s="5">
        <v>65.260000000000005</v>
      </c>
      <c r="P1652" s="4">
        <f>--AND(OR(Dashboard!$A$10="All",C1652=Dashboard!$A$10),OR(Dashboard!$A$14="All",F1652=Dashboard!$A$14),OR(Dashboard!$A$18="All",G1652=Dashboard!$A$18),OR(Dashboard!$A$22="All",I1652=Dashboard!$A$22))</f>
        <v>1</v>
      </c>
    </row>
    <row r="1653" spans="1:16" ht="15.75" customHeight="1">
      <c r="A1653" s="4" t="s">
        <v>1859</v>
      </c>
      <c r="B1653" s="6">
        <v>45691</v>
      </c>
      <c r="C1653" s="4">
        <v>2025</v>
      </c>
      <c r="D1653" s="4">
        <v>2</v>
      </c>
      <c r="E1653" s="4" t="s">
        <v>70</v>
      </c>
      <c r="F1653" s="4" t="s">
        <v>8</v>
      </c>
      <c r="G1653" s="4" t="s">
        <v>6</v>
      </c>
      <c r="H1653" s="4" t="s">
        <v>98</v>
      </c>
      <c r="I1653" s="4" t="s">
        <v>7</v>
      </c>
      <c r="J1653" s="4" t="s">
        <v>128</v>
      </c>
      <c r="K1653" s="4">
        <v>7</v>
      </c>
      <c r="L1653" s="5">
        <v>149.25</v>
      </c>
      <c r="M1653" s="5">
        <v>1044.75</v>
      </c>
      <c r="N1653" s="5">
        <v>659.83</v>
      </c>
      <c r="O1653" s="5">
        <v>384.92</v>
      </c>
      <c r="P1653" s="4">
        <f>--AND(OR(Dashboard!$A$10="All",C1653=Dashboard!$A$10),OR(Dashboard!$A$14="All",F1653=Dashboard!$A$14),OR(Dashboard!$A$18="All",G1653=Dashboard!$A$18),OR(Dashboard!$A$22="All",I1653=Dashboard!$A$22))</f>
        <v>1</v>
      </c>
    </row>
    <row r="1654" spans="1:16" ht="15.75" customHeight="1">
      <c r="A1654" s="4" t="s">
        <v>1860</v>
      </c>
      <c r="B1654" s="6">
        <v>45908</v>
      </c>
      <c r="C1654" s="4">
        <v>2025</v>
      </c>
      <c r="D1654" s="4">
        <v>9</v>
      </c>
      <c r="E1654" s="4" t="s">
        <v>79</v>
      </c>
      <c r="F1654" s="4" t="s">
        <v>8</v>
      </c>
      <c r="G1654" s="4" t="s">
        <v>9</v>
      </c>
      <c r="H1654" s="4" t="s">
        <v>142</v>
      </c>
      <c r="I1654" s="4" t="s">
        <v>7</v>
      </c>
      <c r="J1654" s="4" t="s">
        <v>166</v>
      </c>
      <c r="K1654" s="4">
        <v>5</v>
      </c>
      <c r="L1654" s="5">
        <v>36.5</v>
      </c>
      <c r="M1654" s="5">
        <v>182.5</v>
      </c>
      <c r="N1654" s="5">
        <v>90.99</v>
      </c>
      <c r="O1654" s="5">
        <v>91.51</v>
      </c>
      <c r="P1654" s="4">
        <f>--AND(OR(Dashboard!$A$10="All",C1654=Dashboard!$A$10),OR(Dashboard!$A$14="All",F1654=Dashboard!$A$14),OR(Dashboard!$A$18="All",G1654=Dashboard!$A$18),OR(Dashboard!$A$22="All",I1654=Dashboard!$A$22))</f>
        <v>1</v>
      </c>
    </row>
    <row r="1655" spans="1:16" ht="15.75" customHeight="1">
      <c r="A1655" s="4" t="s">
        <v>1861</v>
      </c>
      <c r="B1655" s="6">
        <v>46018</v>
      </c>
      <c r="C1655" s="4">
        <v>2025</v>
      </c>
      <c r="D1655" s="4">
        <v>12</v>
      </c>
      <c r="E1655" s="4" t="s">
        <v>57</v>
      </c>
      <c r="F1655" s="4" t="s">
        <v>8</v>
      </c>
      <c r="G1655" s="4" t="s">
        <v>6</v>
      </c>
      <c r="H1655" s="4" t="s">
        <v>136</v>
      </c>
      <c r="I1655" s="4" t="s">
        <v>7</v>
      </c>
      <c r="J1655" s="4" t="s">
        <v>344</v>
      </c>
      <c r="K1655" s="4">
        <v>7</v>
      </c>
      <c r="L1655" s="5">
        <v>128.32</v>
      </c>
      <c r="M1655" s="5">
        <v>898.24</v>
      </c>
      <c r="N1655" s="5">
        <v>609.76</v>
      </c>
      <c r="O1655" s="5">
        <v>288.48</v>
      </c>
      <c r="P1655" s="4">
        <f>--AND(OR(Dashboard!$A$10="All",C1655=Dashboard!$A$10),OR(Dashboard!$A$14="All",F1655=Dashboard!$A$14),OR(Dashboard!$A$18="All",G1655=Dashboard!$A$18),OR(Dashboard!$A$22="All",I1655=Dashboard!$A$22))</f>
        <v>1</v>
      </c>
    </row>
    <row r="1656" spans="1:16" ht="15.75" customHeight="1">
      <c r="A1656" s="4" t="s">
        <v>1862</v>
      </c>
      <c r="B1656" s="6">
        <v>45807</v>
      </c>
      <c r="C1656" s="4">
        <v>2025</v>
      </c>
      <c r="D1656" s="4">
        <v>5</v>
      </c>
      <c r="E1656" s="4" t="s">
        <v>108</v>
      </c>
      <c r="F1656" s="4" t="s">
        <v>8</v>
      </c>
      <c r="G1656" s="4" t="s">
        <v>9</v>
      </c>
      <c r="H1656" s="4" t="s">
        <v>142</v>
      </c>
      <c r="I1656" s="4" t="s">
        <v>10</v>
      </c>
      <c r="J1656" s="4" t="s">
        <v>301</v>
      </c>
      <c r="K1656" s="4">
        <v>4</v>
      </c>
      <c r="L1656" s="5">
        <v>30.94</v>
      </c>
      <c r="M1656" s="5">
        <v>123.76</v>
      </c>
      <c r="N1656" s="5">
        <v>59.73</v>
      </c>
      <c r="O1656" s="5">
        <v>64.03</v>
      </c>
      <c r="P1656" s="4">
        <f>--AND(OR(Dashboard!$A$10="All",C1656=Dashboard!$A$10),OR(Dashboard!$A$14="All",F1656=Dashboard!$A$14),OR(Dashboard!$A$18="All",G1656=Dashboard!$A$18),OR(Dashboard!$A$22="All",I1656=Dashboard!$A$22))</f>
        <v>1</v>
      </c>
    </row>
    <row r="1657" spans="1:16" ht="15.75" customHeight="1">
      <c r="A1657" s="4" t="s">
        <v>1863</v>
      </c>
      <c r="B1657" s="6">
        <v>45506</v>
      </c>
      <c r="C1657" s="4">
        <v>2024</v>
      </c>
      <c r="D1657" s="4">
        <v>8</v>
      </c>
      <c r="E1657" s="4" t="s">
        <v>67</v>
      </c>
      <c r="F1657" s="4" t="s">
        <v>8</v>
      </c>
      <c r="G1657" s="4" t="s">
        <v>12</v>
      </c>
      <c r="H1657" s="4" t="s">
        <v>124</v>
      </c>
      <c r="I1657" s="4" t="s">
        <v>10</v>
      </c>
      <c r="J1657" s="4" t="s">
        <v>240</v>
      </c>
      <c r="K1657" s="4">
        <v>4</v>
      </c>
      <c r="L1657" s="5">
        <v>184.59</v>
      </c>
      <c r="M1657" s="5">
        <v>738.36</v>
      </c>
      <c r="N1657" s="5">
        <v>462.48</v>
      </c>
      <c r="O1657" s="5">
        <v>275.88</v>
      </c>
      <c r="P1657" s="4">
        <f>--AND(OR(Dashboard!$A$10="All",C1657=Dashboard!$A$10),OR(Dashboard!$A$14="All",F1657=Dashboard!$A$14),OR(Dashboard!$A$18="All",G1657=Dashboard!$A$18),OR(Dashboard!$A$22="All",I1657=Dashboard!$A$22))</f>
        <v>1</v>
      </c>
    </row>
    <row r="1658" spans="1:16" ht="15.75" customHeight="1">
      <c r="A1658" s="4" t="s">
        <v>1864</v>
      </c>
      <c r="B1658" s="6">
        <v>45620</v>
      </c>
      <c r="C1658" s="4">
        <v>2024</v>
      </c>
      <c r="D1658" s="4">
        <v>11</v>
      </c>
      <c r="E1658" s="4" t="s">
        <v>89</v>
      </c>
      <c r="F1658" s="4" t="s">
        <v>5</v>
      </c>
      <c r="G1658" s="4" t="s">
        <v>9</v>
      </c>
      <c r="H1658" s="4" t="s">
        <v>71</v>
      </c>
      <c r="I1658" s="4" t="s">
        <v>13</v>
      </c>
      <c r="J1658" s="4" t="s">
        <v>317</v>
      </c>
      <c r="K1658" s="4">
        <v>2</v>
      </c>
      <c r="L1658" s="5">
        <v>60.39</v>
      </c>
      <c r="M1658" s="5">
        <v>120.78</v>
      </c>
      <c r="N1658" s="5">
        <v>59.51</v>
      </c>
      <c r="O1658" s="5">
        <v>61.27</v>
      </c>
      <c r="P1658" s="4">
        <f>--AND(OR(Dashboard!$A$10="All",C1658=Dashboard!$A$10),OR(Dashboard!$A$14="All",F1658=Dashboard!$A$14),OR(Dashboard!$A$18="All",G1658=Dashboard!$A$18),OR(Dashboard!$A$22="All",I1658=Dashboard!$A$22))</f>
        <v>1</v>
      </c>
    </row>
    <row r="1659" spans="1:16" ht="15.75" customHeight="1">
      <c r="A1659" s="4" t="s">
        <v>1865</v>
      </c>
      <c r="B1659" s="6">
        <v>45513</v>
      </c>
      <c r="C1659" s="4">
        <v>2024</v>
      </c>
      <c r="D1659" s="4">
        <v>8</v>
      </c>
      <c r="E1659" s="4" t="s">
        <v>67</v>
      </c>
      <c r="F1659" s="4" t="s">
        <v>5</v>
      </c>
      <c r="G1659" s="4" t="s">
        <v>6</v>
      </c>
      <c r="H1659" s="4" t="s">
        <v>54</v>
      </c>
      <c r="I1659" s="4" t="s">
        <v>13</v>
      </c>
      <c r="J1659" s="4" t="s">
        <v>184</v>
      </c>
      <c r="K1659" s="4">
        <v>1</v>
      </c>
      <c r="L1659" s="5">
        <v>115.66</v>
      </c>
      <c r="M1659" s="5">
        <v>115.66</v>
      </c>
      <c r="N1659" s="5">
        <v>73.83</v>
      </c>
      <c r="O1659" s="5">
        <v>41.83</v>
      </c>
      <c r="P1659" s="4">
        <f>--AND(OR(Dashboard!$A$10="All",C1659=Dashboard!$A$10),OR(Dashboard!$A$14="All",F1659=Dashboard!$A$14),OR(Dashboard!$A$18="All",G1659=Dashboard!$A$18),OR(Dashboard!$A$22="All",I1659=Dashboard!$A$22))</f>
        <v>1</v>
      </c>
    </row>
    <row r="1660" spans="1:16" ht="15.75" customHeight="1">
      <c r="A1660" s="4" t="s">
        <v>1866</v>
      </c>
      <c r="B1660" s="6">
        <v>45565</v>
      </c>
      <c r="C1660" s="4">
        <v>2024</v>
      </c>
      <c r="D1660" s="4">
        <v>9</v>
      </c>
      <c r="E1660" s="4" t="s">
        <v>79</v>
      </c>
      <c r="F1660" s="4" t="s">
        <v>5</v>
      </c>
      <c r="G1660" s="4" t="s">
        <v>9</v>
      </c>
      <c r="H1660" s="4" t="s">
        <v>142</v>
      </c>
      <c r="I1660" s="4" t="s">
        <v>13</v>
      </c>
      <c r="J1660" s="4" t="s">
        <v>455</v>
      </c>
      <c r="K1660" s="4">
        <v>2</v>
      </c>
      <c r="L1660" s="5">
        <v>33.659999999999997</v>
      </c>
      <c r="M1660" s="5">
        <v>67.319999999999993</v>
      </c>
      <c r="N1660" s="5">
        <v>33.69</v>
      </c>
      <c r="O1660" s="5">
        <v>33.630000000000003</v>
      </c>
      <c r="P1660" s="4">
        <f>--AND(OR(Dashboard!$A$10="All",C1660=Dashboard!$A$10),OR(Dashboard!$A$14="All",F1660=Dashboard!$A$14),OR(Dashboard!$A$18="All",G1660=Dashboard!$A$18),OR(Dashboard!$A$22="All",I1660=Dashboard!$A$22))</f>
        <v>1</v>
      </c>
    </row>
    <row r="1661" spans="1:16" ht="15.75" customHeight="1">
      <c r="A1661" s="4" t="s">
        <v>1867</v>
      </c>
      <c r="B1661" s="6">
        <v>45570</v>
      </c>
      <c r="C1661" s="4">
        <v>2024</v>
      </c>
      <c r="D1661" s="4">
        <v>10</v>
      </c>
      <c r="E1661" s="4" t="s">
        <v>120</v>
      </c>
      <c r="F1661" s="4" t="s">
        <v>5</v>
      </c>
      <c r="G1661" s="4" t="s">
        <v>12</v>
      </c>
      <c r="H1661" s="4" t="s">
        <v>127</v>
      </c>
      <c r="I1661" s="4" t="s">
        <v>7</v>
      </c>
      <c r="J1661" s="4" t="s">
        <v>177</v>
      </c>
      <c r="K1661" s="4">
        <v>1</v>
      </c>
      <c r="L1661" s="5">
        <v>207.69</v>
      </c>
      <c r="M1661" s="5">
        <v>207.69</v>
      </c>
      <c r="N1661" s="5">
        <v>125.6</v>
      </c>
      <c r="O1661" s="5">
        <v>82.09</v>
      </c>
      <c r="P1661" s="4">
        <f>--AND(OR(Dashboard!$A$10="All",C1661=Dashboard!$A$10),OR(Dashboard!$A$14="All",F1661=Dashboard!$A$14),OR(Dashboard!$A$18="All",G1661=Dashboard!$A$18),OR(Dashboard!$A$22="All",I1661=Dashboard!$A$22))</f>
        <v>1</v>
      </c>
    </row>
    <row r="1662" spans="1:16" ht="15.75" customHeight="1">
      <c r="A1662" s="4" t="s">
        <v>1868</v>
      </c>
      <c r="B1662" s="6">
        <v>45947</v>
      </c>
      <c r="C1662" s="4">
        <v>2025</v>
      </c>
      <c r="D1662" s="4">
        <v>10</v>
      </c>
      <c r="E1662" s="4" t="s">
        <v>120</v>
      </c>
      <c r="F1662" s="4" t="s">
        <v>5</v>
      </c>
      <c r="G1662" s="4" t="s">
        <v>9</v>
      </c>
      <c r="H1662" s="4" t="s">
        <v>142</v>
      </c>
      <c r="I1662" s="4" t="s">
        <v>7</v>
      </c>
      <c r="J1662" s="4" t="s">
        <v>230</v>
      </c>
      <c r="K1662" s="4">
        <v>2</v>
      </c>
      <c r="L1662" s="5">
        <v>44.62</v>
      </c>
      <c r="M1662" s="5">
        <v>89.24</v>
      </c>
      <c r="N1662" s="5">
        <v>45.83</v>
      </c>
      <c r="O1662" s="5">
        <v>43.41</v>
      </c>
      <c r="P1662" s="4">
        <f>--AND(OR(Dashboard!$A$10="All",C1662=Dashboard!$A$10),OR(Dashboard!$A$14="All",F1662=Dashboard!$A$14),OR(Dashboard!$A$18="All",G1662=Dashboard!$A$18),OR(Dashboard!$A$22="All",I1662=Dashboard!$A$22))</f>
        <v>1</v>
      </c>
    </row>
    <row r="1663" spans="1:16" ht="15.75" customHeight="1">
      <c r="A1663" s="4" t="s">
        <v>1869</v>
      </c>
      <c r="B1663" s="6">
        <v>45779</v>
      </c>
      <c r="C1663" s="4">
        <v>2025</v>
      </c>
      <c r="D1663" s="4">
        <v>5</v>
      </c>
      <c r="E1663" s="4" t="s">
        <v>108</v>
      </c>
      <c r="F1663" s="4" t="s">
        <v>11</v>
      </c>
      <c r="G1663" s="4" t="s">
        <v>12</v>
      </c>
      <c r="H1663" s="4" t="s">
        <v>86</v>
      </c>
      <c r="I1663" s="4" t="s">
        <v>13</v>
      </c>
      <c r="J1663" s="4" t="s">
        <v>61</v>
      </c>
      <c r="K1663" s="4">
        <v>6</v>
      </c>
      <c r="L1663" s="5">
        <v>139.78</v>
      </c>
      <c r="M1663" s="5">
        <v>838.68</v>
      </c>
      <c r="N1663" s="5">
        <v>511.59</v>
      </c>
      <c r="O1663" s="5">
        <v>327.08999999999997</v>
      </c>
      <c r="P1663" s="4">
        <f>--AND(OR(Dashboard!$A$10="All",C1663=Dashboard!$A$10),OR(Dashboard!$A$14="All",F1663=Dashboard!$A$14),OR(Dashboard!$A$18="All",G1663=Dashboard!$A$18),OR(Dashboard!$A$22="All",I1663=Dashboard!$A$22))</f>
        <v>1</v>
      </c>
    </row>
    <row r="1664" spans="1:16" ht="15.75" customHeight="1">
      <c r="A1664" s="4" t="s">
        <v>1870</v>
      </c>
      <c r="B1664" s="6">
        <v>45784</v>
      </c>
      <c r="C1664" s="4">
        <v>2025</v>
      </c>
      <c r="D1664" s="4">
        <v>5</v>
      </c>
      <c r="E1664" s="4" t="s">
        <v>108</v>
      </c>
      <c r="F1664" s="4" t="s">
        <v>5</v>
      </c>
      <c r="G1664" s="4" t="s">
        <v>9</v>
      </c>
      <c r="H1664" s="4" t="s">
        <v>64</v>
      </c>
      <c r="I1664" s="4" t="s">
        <v>7</v>
      </c>
      <c r="J1664" s="4" t="s">
        <v>297</v>
      </c>
      <c r="K1664" s="4">
        <v>1</v>
      </c>
      <c r="L1664" s="5">
        <v>28.88</v>
      </c>
      <c r="M1664" s="5">
        <v>28.88</v>
      </c>
      <c r="N1664" s="5">
        <v>15.07</v>
      </c>
      <c r="O1664" s="5">
        <v>13.81</v>
      </c>
      <c r="P1664" s="4">
        <f>--AND(OR(Dashboard!$A$10="All",C1664=Dashboard!$A$10),OR(Dashboard!$A$14="All",F1664=Dashboard!$A$14),OR(Dashboard!$A$18="All",G1664=Dashboard!$A$18),OR(Dashboard!$A$22="All",I1664=Dashboard!$A$22))</f>
        <v>1</v>
      </c>
    </row>
    <row r="1665" spans="1:16" ht="15.75" customHeight="1">
      <c r="A1665" s="4" t="s">
        <v>1871</v>
      </c>
      <c r="B1665" s="6">
        <v>45670</v>
      </c>
      <c r="C1665" s="4">
        <v>2025</v>
      </c>
      <c r="D1665" s="4">
        <v>1</v>
      </c>
      <c r="E1665" s="4" t="s">
        <v>30</v>
      </c>
      <c r="F1665" s="4" t="s">
        <v>8</v>
      </c>
      <c r="G1665" s="4" t="s">
        <v>6</v>
      </c>
      <c r="H1665" s="4" t="s">
        <v>80</v>
      </c>
      <c r="I1665" s="4" t="s">
        <v>7</v>
      </c>
      <c r="J1665" s="4" t="s">
        <v>381</v>
      </c>
      <c r="K1665" s="4">
        <v>3</v>
      </c>
      <c r="L1665" s="5">
        <v>149</v>
      </c>
      <c r="M1665" s="5">
        <v>447</v>
      </c>
      <c r="N1665" s="5">
        <v>291.39999999999998</v>
      </c>
      <c r="O1665" s="5">
        <v>155.6</v>
      </c>
      <c r="P1665" s="4">
        <f>--AND(OR(Dashboard!$A$10="All",C1665=Dashboard!$A$10),OR(Dashboard!$A$14="All",F1665=Dashboard!$A$14),OR(Dashboard!$A$18="All",G1665=Dashboard!$A$18),OR(Dashboard!$A$22="All",I1665=Dashboard!$A$22))</f>
        <v>1</v>
      </c>
    </row>
    <row r="1666" spans="1:16" ht="15.75" customHeight="1">
      <c r="A1666" s="4" t="s">
        <v>1872</v>
      </c>
      <c r="B1666" s="6">
        <v>45508</v>
      </c>
      <c r="C1666" s="4">
        <v>2024</v>
      </c>
      <c r="D1666" s="4">
        <v>8</v>
      </c>
      <c r="E1666" s="4" t="s">
        <v>67</v>
      </c>
      <c r="F1666" s="4" t="s">
        <v>11</v>
      </c>
      <c r="G1666" s="4" t="s">
        <v>12</v>
      </c>
      <c r="H1666" s="4" t="s">
        <v>92</v>
      </c>
      <c r="I1666" s="4" t="s">
        <v>7</v>
      </c>
      <c r="J1666" s="4" t="s">
        <v>166</v>
      </c>
      <c r="K1666" s="4">
        <v>4</v>
      </c>
      <c r="L1666" s="5">
        <v>328.52</v>
      </c>
      <c r="M1666" s="5">
        <v>1314.08</v>
      </c>
      <c r="N1666" s="5">
        <v>757.39</v>
      </c>
      <c r="O1666" s="5">
        <v>556.69000000000005</v>
      </c>
      <c r="P1666" s="4">
        <f>--AND(OR(Dashboard!$A$10="All",C1666=Dashboard!$A$10),OR(Dashboard!$A$14="All",F1666=Dashboard!$A$14),OR(Dashboard!$A$18="All",G1666=Dashboard!$A$18),OR(Dashboard!$A$22="All",I1666=Dashboard!$A$22))</f>
        <v>1</v>
      </c>
    </row>
    <row r="1667" spans="1:16" ht="15.75" customHeight="1">
      <c r="A1667" s="4" t="s">
        <v>1873</v>
      </c>
      <c r="B1667" s="6">
        <v>45428</v>
      </c>
      <c r="C1667" s="4">
        <v>2024</v>
      </c>
      <c r="D1667" s="4">
        <v>5</v>
      </c>
      <c r="E1667" s="4" t="s">
        <v>108</v>
      </c>
      <c r="F1667" s="4" t="s">
        <v>14</v>
      </c>
      <c r="G1667" s="4" t="s">
        <v>6</v>
      </c>
      <c r="H1667" s="4" t="s">
        <v>136</v>
      </c>
      <c r="I1667" s="4" t="s">
        <v>10</v>
      </c>
      <c r="J1667" s="4" t="s">
        <v>280</v>
      </c>
      <c r="K1667" s="4">
        <v>1</v>
      </c>
      <c r="L1667" s="5">
        <v>125.28</v>
      </c>
      <c r="M1667" s="5">
        <v>125.28</v>
      </c>
      <c r="N1667" s="5">
        <v>79.66</v>
      </c>
      <c r="O1667" s="5">
        <v>45.62</v>
      </c>
      <c r="P1667" s="4">
        <f>--AND(OR(Dashboard!$A$10="All",C1667=Dashboard!$A$10),OR(Dashboard!$A$14="All",F1667=Dashboard!$A$14),OR(Dashboard!$A$18="All",G1667=Dashboard!$A$18),OR(Dashboard!$A$22="All",I1667=Dashboard!$A$22))</f>
        <v>1</v>
      </c>
    </row>
    <row r="1668" spans="1:16" ht="15.75" customHeight="1">
      <c r="A1668" s="4" t="s">
        <v>1874</v>
      </c>
      <c r="B1668" s="6">
        <v>45531</v>
      </c>
      <c r="C1668" s="4">
        <v>2024</v>
      </c>
      <c r="D1668" s="4">
        <v>8</v>
      </c>
      <c r="E1668" s="4" t="s">
        <v>67</v>
      </c>
      <c r="F1668" s="4" t="s">
        <v>5</v>
      </c>
      <c r="G1668" s="4" t="s">
        <v>6</v>
      </c>
      <c r="H1668" s="4" t="s">
        <v>80</v>
      </c>
      <c r="I1668" s="4" t="s">
        <v>7</v>
      </c>
      <c r="J1668" s="4" t="s">
        <v>128</v>
      </c>
      <c r="K1668" s="4">
        <v>4</v>
      </c>
      <c r="L1668" s="5">
        <v>103.6</v>
      </c>
      <c r="M1668" s="5">
        <v>414.4</v>
      </c>
      <c r="N1668" s="5">
        <v>274.94</v>
      </c>
      <c r="O1668" s="5">
        <v>139.46</v>
      </c>
      <c r="P1668" s="4">
        <f>--AND(OR(Dashboard!$A$10="All",C1668=Dashboard!$A$10),OR(Dashboard!$A$14="All",F1668=Dashboard!$A$14),OR(Dashboard!$A$18="All",G1668=Dashboard!$A$18),OR(Dashboard!$A$22="All",I1668=Dashboard!$A$22))</f>
        <v>1</v>
      </c>
    </row>
    <row r="1669" spans="1:16" ht="15.75" customHeight="1">
      <c r="A1669" s="4" t="s">
        <v>1875</v>
      </c>
      <c r="B1669" s="6">
        <v>45574</v>
      </c>
      <c r="C1669" s="4">
        <v>2024</v>
      </c>
      <c r="D1669" s="4">
        <v>10</v>
      </c>
      <c r="E1669" s="4" t="s">
        <v>120</v>
      </c>
      <c r="F1669" s="4" t="s">
        <v>14</v>
      </c>
      <c r="G1669" s="4" t="s">
        <v>12</v>
      </c>
      <c r="H1669" s="4" t="s">
        <v>58</v>
      </c>
      <c r="I1669" s="4" t="s">
        <v>10</v>
      </c>
      <c r="J1669" s="4" t="s">
        <v>371</v>
      </c>
      <c r="K1669" s="4">
        <v>5</v>
      </c>
      <c r="L1669" s="5">
        <v>231.02</v>
      </c>
      <c r="M1669" s="5">
        <v>1155.0999999999999</v>
      </c>
      <c r="N1669" s="5">
        <v>690.15</v>
      </c>
      <c r="O1669" s="5">
        <v>464.95</v>
      </c>
      <c r="P1669" s="4">
        <f>--AND(OR(Dashboard!$A$10="All",C1669=Dashboard!$A$10),OR(Dashboard!$A$14="All",F1669=Dashboard!$A$14),OR(Dashboard!$A$18="All",G1669=Dashboard!$A$18),OR(Dashboard!$A$22="All",I1669=Dashboard!$A$22))</f>
        <v>1</v>
      </c>
    </row>
    <row r="1670" spans="1:16" ht="15.75" customHeight="1">
      <c r="A1670" s="4" t="s">
        <v>1876</v>
      </c>
      <c r="B1670" s="6">
        <v>45800</v>
      </c>
      <c r="C1670" s="4">
        <v>2025</v>
      </c>
      <c r="D1670" s="4">
        <v>5</v>
      </c>
      <c r="E1670" s="4" t="s">
        <v>108</v>
      </c>
      <c r="F1670" s="4" t="s">
        <v>5</v>
      </c>
      <c r="G1670" s="4" t="s">
        <v>12</v>
      </c>
      <c r="H1670" s="4" t="s">
        <v>124</v>
      </c>
      <c r="I1670" s="4" t="s">
        <v>7</v>
      </c>
      <c r="J1670" s="4" t="s">
        <v>131</v>
      </c>
      <c r="K1670" s="4">
        <v>1</v>
      </c>
      <c r="L1670" s="5">
        <v>316.39</v>
      </c>
      <c r="M1670" s="5">
        <v>316.39</v>
      </c>
      <c r="N1670" s="5">
        <v>182.17</v>
      </c>
      <c r="O1670" s="5">
        <v>134.22</v>
      </c>
      <c r="P1670" s="4">
        <f>--AND(OR(Dashboard!$A$10="All",C1670=Dashboard!$A$10),OR(Dashboard!$A$14="All",F1670=Dashboard!$A$14),OR(Dashboard!$A$18="All",G1670=Dashboard!$A$18),OR(Dashboard!$A$22="All",I1670=Dashboard!$A$22))</f>
        <v>1</v>
      </c>
    </row>
    <row r="1671" spans="1:16" ht="15.75" customHeight="1">
      <c r="A1671" s="4" t="s">
        <v>1877</v>
      </c>
      <c r="B1671" s="6">
        <v>45298</v>
      </c>
      <c r="C1671" s="4">
        <v>2024</v>
      </c>
      <c r="D1671" s="4">
        <v>1</v>
      </c>
      <c r="E1671" s="4" t="s">
        <v>30</v>
      </c>
      <c r="F1671" s="4" t="s">
        <v>5</v>
      </c>
      <c r="G1671" s="4" t="s">
        <v>6</v>
      </c>
      <c r="H1671" s="4" t="s">
        <v>54</v>
      </c>
      <c r="I1671" s="4" t="s">
        <v>7</v>
      </c>
      <c r="J1671" s="4" t="s">
        <v>360</v>
      </c>
      <c r="K1671" s="4">
        <v>4</v>
      </c>
      <c r="L1671" s="5">
        <v>116.67</v>
      </c>
      <c r="M1671" s="5">
        <v>466.68</v>
      </c>
      <c r="N1671" s="5">
        <v>320.54000000000002</v>
      </c>
      <c r="O1671" s="5">
        <v>146.13999999999999</v>
      </c>
      <c r="P1671" s="4">
        <f>--AND(OR(Dashboard!$A$10="All",C1671=Dashboard!$A$10),OR(Dashboard!$A$14="All",F1671=Dashboard!$A$14),OR(Dashboard!$A$18="All",G1671=Dashboard!$A$18),OR(Dashboard!$A$22="All",I1671=Dashboard!$A$22))</f>
        <v>1</v>
      </c>
    </row>
    <row r="1672" spans="1:16" ht="15.75" customHeight="1">
      <c r="A1672" s="4" t="s">
        <v>1878</v>
      </c>
      <c r="B1672" s="6">
        <v>45519</v>
      </c>
      <c r="C1672" s="4">
        <v>2024</v>
      </c>
      <c r="D1672" s="4">
        <v>8</v>
      </c>
      <c r="E1672" s="4" t="s">
        <v>67</v>
      </c>
      <c r="F1672" s="4" t="s">
        <v>5</v>
      </c>
      <c r="G1672" s="4" t="s">
        <v>9</v>
      </c>
      <c r="H1672" s="4" t="s">
        <v>64</v>
      </c>
      <c r="I1672" s="4" t="s">
        <v>7</v>
      </c>
      <c r="J1672" s="4" t="s">
        <v>255</v>
      </c>
      <c r="K1672" s="4">
        <v>13</v>
      </c>
      <c r="L1672" s="5">
        <v>33.11</v>
      </c>
      <c r="M1672" s="5">
        <v>430.43</v>
      </c>
      <c r="N1672" s="5">
        <v>225.8</v>
      </c>
      <c r="O1672" s="5">
        <v>204.63</v>
      </c>
      <c r="P1672" s="4">
        <f>--AND(OR(Dashboard!$A$10="All",C1672=Dashboard!$A$10),OR(Dashboard!$A$14="All",F1672=Dashboard!$A$14),OR(Dashboard!$A$18="All",G1672=Dashboard!$A$18),OR(Dashboard!$A$22="All",I1672=Dashboard!$A$22))</f>
        <v>1</v>
      </c>
    </row>
    <row r="1673" spans="1:16" ht="15.75" customHeight="1">
      <c r="A1673" s="4" t="s">
        <v>1879</v>
      </c>
      <c r="B1673" s="6">
        <v>45329</v>
      </c>
      <c r="C1673" s="4">
        <v>2024</v>
      </c>
      <c r="D1673" s="4">
        <v>2</v>
      </c>
      <c r="E1673" s="4" t="s">
        <v>70</v>
      </c>
      <c r="F1673" s="4" t="s">
        <v>5</v>
      </c>
      <c r="G1673" s="4" t="s">
        <v>12</v>
      </c>
      <c r="H1673" s="4" t="s">
        <v>86</v>
      </c>
      <c r="I1673" s="4" t="s">
        <v>10</v>
      </c>
      <c r="J1673" s="4" t="s">
        <v>37</v>
      </c>
      <c r="K1673" s="4">
        <v>2</v>
      </c>
      <c r="L1673" s="5">
        <v>238.43</v>
      </c>
      <c r="M1673" s="5">
        <v>476.86</v>
      </c>
      <c r="N1673" s="5">
        <v>280.08999999999997</v>
      </c>
      <c r="O1673" s="5">
        <v>196.77</v>
      </c>
      <c r="P1673" s="4">
        <f>--AND(OR(Dashboard!$A$10="All",C1673=Dashboard!$A$10),OR(Dashboard!$A$14="All",F1673=Dashboard!$A$14),OR(Dashboard!$A$18="All",G1673=Dashboard!$A$18),OR(Dashboard!$A$22="All",I1673=Dashboard!$A$22))</f>
        <v>1</v>
      </c>
    </row>
    <row r="1674" spans="1:16" ht="15.75" customHeight="1">
      <c r="A1674" s="4" t="s">
        <v>1880</v>
      </c>
      <c r="B1674" s="6">
        <v>45712</v>
      </c>
      <c r="C1674" s="4">
        <v>2025</v>
      </c>
      <c r="D1674" s="4">
        <v>2</v>
      </c>
      <c r="E1674" s="4" t="s">
        <v>70</v>
      </c>
      <c r="F1674" s="4" t="s">
        <v>8</v>
      </c>
      <c r="G1674" s="4" t="s">
        <v>6</v>
      </c>
      <c r="H1674" s="4" t="s">
        <v>136</v>
      </c>
      <c r="I1674" s="4" t="s">
        <v>7</v>
      </c>
      <c r="J1674" s="4" t="s">
        <v>485</v>
      </c>
      <c r="K1674" s="4">
        <v>2</v>
      </c>
      <c r="L1674" s="5">
        <v>217.56</v>
      </c>
      <c r="M1674" s="5">
        <v>435.12</v>
      </c>
      <c r="N1674" s="5">
        <v>295.97000000000003</v>
      </c>
      <c r="O1674" s="5">
        <v>139.15</v>
      </c>
      <c r="P1674" s="4">
        <f>--AND(OR(Dashboard!$A$10="All",C1674=Dashboard!$A$10),OR(Dashboard!$A$14="All",F1674=Dashboard!$A$14),OR(Dashboard!$A$18="All",G1674=Dashboard!$A$18),OR(Dashboard!$A$22="All",I1674=Dashboard!$A$22))</f>
        <v>1</v>
      </c>
    </row>
    <row r="1675" spans="1:16" ht="15.75" customHeight="1">
      <c r="A1675" s="4" t="s">
        <v>1881</v>
      </c>
      <c r="B1675" s="6">
        <v>45973</v>
      </c>
      <c r="C1675" s="4">
        <v>2025</v>
      </c>
      <c r="D1675" s="4">
        <v>11</v>
      </c>
      <c r="E1675" s="4" t="s">
        <v>89</v>
      </c>
      <c r="F1675" s="4" t="s">
        <v>8</v>
      </c>
      <c r="G1675" s="4" t="s">
        <v>6</v>
      </c>
      <c r="H1675" s="4" t="s">
        <v>98</v>
      </c>
      <c r="I1675" s="4" t="s">
        <v>10</v>
      </c>
      <c r="J1675" s="4" t="s">
        <v>195</v>
      </c>
      <c r="K1675" s="4">
        <v>1</v>
      </c>
      <c r="L1675" s="5">
        <v>149.33000000000001</v>
      </c>
      <c r="M1675" s="5">
        <v>149.33000000000001</v>
      </c>
      <c r="N1675" s="5">
        <v>98.74</v>
      </c>
      <c r="O1675" s="5">
        <v>50.59</v>
      </c>
      <c r="P1675" s="4">
        <f>--AND(OR(Dashboard!$A$10="All",C1675=Dashboard!$A$10),OR(Dashboard!$A$14="All",F1675=Dashboard!$A$14),OR(Dashboard!$A$18="All",G1675=Dashboard!$A$18),OR(Dashboard!$A$22="All",I1675=Dashboard!$A$22))</f>
        <v>1</v>
      </c>
    </row>
    <row r="1676" spans="1:16" ht="15.75" customHeight="1">
      <c r="A1676" s="4" t="s">
        <v>1882</v>
      </c>
      <c r="B1676" s="6">
        <v>45874</v>
      </c>
      <c r="C1676" s="4">
        <v>2025</v>
      </c>
      <c r="D1676" s="4">
        <v>8</v>
      </c>
      <c r="E1676" s="4" t="s">
        <v>67</v>
      </c>
      <c r="F1676" s="4" t="s">
        <v>5</v>
      </c>
      <c r="G1676" s="4" t="s">
        <v>6</v>
      </c>
      <c r="H1676" s="4" t="s">
        <v>54</v>
      </c>
      <c r="I1676" s="4" t="s">
        <v>10</v>
      </c>
      <c r="J1676" s="4" t="s">
        <v>455</v>
      </c>
      <c r="K1676" s="4">
        <v>1</v>
      </c>
      <c r="L1676" s="5">
        <v>167.35</v>
      </c>
      <c r="M1676" s="5">
        <v>167.35</v>
      </c>
      <c r="N1676" s="5">
        <v>107.36</v>
      </c>
      <c r="O1676" s="5">
        <v>59.99</v>
      </c>
      <c r="P1676" s="4">
        <f>--AND(OR(Dashboard!$A$10="All",C1676=Dashboard!$A$10),OR(Dashboard!$A$14="All",F1676=Dashboard!$A$14),OR(Dashboard!$A$18="All",G1676=Dashboard!$A$18),OR(Dashboard!$A$22="All",I1676=Dashboard!$A$22))</f>
        <v>1</v>
      </c>
    </row>
    <row r="1677" spans="1:16" ht="15.75" customHeight="1">
      <c r="A1677" s="4" t="s">
        <v>1883</v>
      </c>
      <c r="B1677" s="6">
        <v>45894</v>
      </c>
      <c r="C1677" s="4">
        <v>2025</v>
      </c>
      <c r="D1677" s="4">
        <v>8</v>
      </c>
      <c r="E1677" s="4" t="s">
        <v>67</v>
      </c>
      <c r="F1677" s="4" t="s">
        <v>5</v>
      </c>
      <c r="G1677" s="4" t="s">
        <v>6</v>
      </c>
      <c r="H1677" s="4" t="s">
        <v>54</v>
      </c>
      <c r="I1677" s="4" t="s">
        <v>7</v>
      </c>
      <c r="J1677" s="4" t="s">
        <v>99</v>
      </c>
      <c r="K1677" s="4">
        <v>2</v>
      </c>
      <c r="L1677" s="5">
        <v>77.03</v>
      </c>
      <c r="M1677" s="5">
        <v>154.06</v>
      </c>
      <c r="N1677" s="5">
        <v>98.62</v>
      </c>
      <c r="O1677" s="5">
        <v>55.44</v>
      </c>
      <c r="P1677" s="4">
        <f>--AND(OR(Dashboard!$A$10="All",C1677=Dashboard!$A$10),OR(Dashboard!$A$14="All",F1677=Dashboard!$A$14),OR(Dashboard!$A$18="All",G1677=Dashboard!$A$18),OR(Dashboard!$A$22="All",I1677=Dashboard!$A$22))</f>
        <v>1</v>
      </c>
    </row>
    <row r="1678" spans="1:16" ht="15.75" customHeight="1">
      <c r="A1678" s="4" t="s">
        <v>1884</v>
      </c>
      <c r="B1678" s="6">
        <v>45798</v>
      </c>
      <c r="C1678" s="4">
        <v>2025</v>
      </c>
      <c r="D1678" s="4">
        <v>5</v>
      </c>
      <c r="E1678" s="4" t="s">
        <v>108</v>
      </c>
      <c r="F1678" s="4" t="s">
        <v>14</v>
      </c>
      <c r="G1678" s="4" t="s">
        <v>9</v>
      </c>
      <c r="H1678" s="4" t="s">
        <v>142</v>
      </c>
      <c r="I1678" s="4" t="s">
        <v>10</v>
      </c>
      <c r="J1678" s="4" t="s">
        <v>61</v>
      </c>
      <c r="K1678" s="4">
        <v>4</v>
      </c>
      <c r="L1678" s="5">
        <v>27.17</v>
      </c>
      <c r="M1678" s="5">
        <v>108.68</v>
      </c>
      <c r="N1678" s="5">
        <v>52.1</v>
      </c>
      <c r="O1678" s="5">
        <v>56.58</v>
      </c>
      <c r="P1678" s="4">
        <f>--AND(OR(Dashboard!$A$10="All",C1678=Dashboard!$A$10),OR(Dashboard!$A$14="All",F1678=Dashboard!$A$14),OR(Dashboard!$A$18="All",G1678=Dashboard!$A$18),OR(Dashboard!$A$22="All",I1678=Dashboard!$A$22))</f>
        <v>1</v>
      </c>
    </row>
    <row r="1679" spans="1:16" ht="15.75" customHeight="1">
      <c r="A1679" s="4" t="s">
        <v>1885</v>
      </c>
      <c r="B1679" s="6">
        <v>45350</v>
      </c>
      <c r="C1679" s="4">
        <v>2024</v>
      </c>
      <c r="D1679" s="4">
        <v>2</v>
      </c>
      <c r="E1679" s="4" t="s">
        <v>70</v>
      </c>
      <c r="F1679" s="4" t="s">
        <v>14</v>
      </c>
      <c r="G1679" s="4" t="s">
        <v>9</v>
      </c>
      <c r="H1679" s="4" t="s">
        <v>71</v>
      </c>
      <c r="I1679" s="4" t="s">
        <v>13</v>
      </c>
      <c r="J1679" s="4" t="s">
        <v>65</v>
      </c>
      <c r="K1679" s="4">
        <v>5</v>
      </c>
      <c r="L1679" s="5">
        <v>66.03</v>
      </c>
      <c r="M1679" s="5">
        <v>330.15</v>
      </c>
      <c r="N1679" s="5">
        <v>172.63</v>
      </c>
      <c r="O1679" s="5">
        <v>157.52000000000001</v>
      </c>
      <c r="P1679" s="4">
        <f>--AND(OR(Dashboard!$A$10="All",C1679=Dashboard!$A$10),OR(Dashboard!$A$14="All",F1679=Dashboard!$A$14),OR(Dashboard!$A$18="All",G1679=Dashboard!$A$18),OR(Dashboard!$A$22="All",I1679=Dashboard!$A$22))</f>
        <v>1</v>
      </c>
    </row>
    <row r="1680" spans="1:16" ht="15.75" customHeight="1">
      <c r="A1680" s="4" t="s">
        <v>1886</v>
      </c>
      <c r="B1680" s="6">
        <v>45848</v>
      </c>
      <c r="C1680" s="4">
        <v>2025</v>
      </c>
      <c r="D1680" s="4">
        <v>7</v>
      </c>
      <c r="E1680" s="4" t="s">
        <v>63</v>
      </c>
      <c r="F1680" s="4" t="s">
        <v>5</v>
      </c>
      <c r="G1680" s="4" t="s">
        <v>6</v>
      </c>
      <c r="H1680" s="4" t="s">
        <v>114</v>
      </c>
      <c r="I1680" s="4" t="s">
        <v>7</v>
      </c>
      <c r="J1680" s="4" t="s">
        <v>326</v>
      </c>
      <c r="K1680" s="4">
        <v>4</v>
      </c>
      <c r="L1680" s="5">
        <v>163.69</v>
      </c>
      <c r="M1680" s="5">
        <v>654.76</v>
      </c>
      <c r="N1680" s="5">
        <v>453.72</v>
      </c>
      <c r="O1680" s="5">
        <v>201.04</v>
      </c>
      <c r="P1680" s="4">
        <f>--AND(OR(Dashboard!$A$10="All",C1680=Dashboard!$A$10),OR(Dashboard!$A$14="All",F1680=Dashboard!$A$14),OR(Dashboard!$A$18="All",G1680=Dashboard!$A$18),OR(Dashboard!$A$22="All",I1680=Dashboard!$A$22))</f>
        <v>1</v>
      </c>
    </row>
    <row r="1681" spans="1:16" ht="15.75" customHeight="1">
      <c r="A1681" s="4" t="s">
        <v>1887</v>
      </c>
      <c r="B1681" s="6">
        <v>45705</v>
      </c>
      <c r="C1681" s="4">
        <v>2025</v>
      </c>
      <c r="D1681" s="4">
        <v>2</v>
      </c>
      <c r="E1681" s="4" t="s">
        <v>70</v>
      </c>
      <c r="F1681" s="4" t="s">
        <v>8</v>
      </c>
      <c r="G1681" s="4" t="s">
        <v>12</v>
      </c>
      <c r="H1681" s="4" t="s">
        <v>58</v>
      </c>
      <c r="I1681" s="4" t="s">
        <v>7</v>
      </c>
      <c r="J1681" s="4" t="s">
        <v>485</v>
      </c>
      <c r="K1681" s="4">
        <v>1</v>
      </c>
      <c r="L1681" s="5">
        <v>232.79</v>
      </c>
      <c r="M1681" s="5">
        <v>232.79</v>
      </c>
      <c r="N1681" s="5">
        <v>139.69999999999999</v>
      </c>
      <c r="O1681" s="5">
        <v>93.09</v>
      </c>
      <c r="P1681" s="4">
        <f>--AND(OR(Dashboard!$A$10="All",C1681=Dashboard!$A$10),OR(Dashboard!$A$14="All",F1681=Dashboard!$A$14),OR(Dashboard!$A$18="All",G1681=Dashboard!$A$18),OR(Dashboard!$A$22="All",I1681=Dashboard!$A$22))</f>
        <v>1</v>
      </c>
    </row>
    <row r="1682" spans="1:16" ht="15.75" customHeight="1">
      <c r="A1682" s="4" t="s">
        <v>1888</v>
      </c>
      <c r="B1682" s="6">
        <v>45319</v>
      </c>
      <c r="C1682" s="4">
        <v>2024</v>
      </c>
      <c r="D1682" s="4">
        <v>1</v>
      </c>
      <c r="E1682" s="4" t="s">
        <v>30</v>
      </c>
      <c r="F1682" s="4" t="s">
        <v>5</v>
      </c>
      <c r="G1682" s="4" t="s">
        <v>9</v>
      </c>
      <c r="H1682" s="4" t="s">
        <v>35</v>
      </c>
      <c r="I1682" s="4" t="s">
        <v>7</v>
      </c>
      <c r="J1682" s="4" t="s">
        <v>61</v>
      </c>
      <c r="K1682" s="4">
        <v>7</v>
      </c>
      <c r="L1682" s="5">
        <v>26.14</v>
      </c>
      <c r="M1682" s="5">
        <v>182.98</v>
      </c>
      <c r="N1682" s="5">
        <v>91.23</v>
      </c>
      <c r="O1682" s="5">
        <v>91.75</v>
      </c>
      <c r="P1682" s="4">
        <f>--AND(OR(Dashboard!$A$10="All",C1682=Dashboard!$A$10),OR(Dashboard!$A$14="All",F1682=Dashboard!$A$14),OR(Dashboard!$A$18="All",G1682=Dashboard!$A$18),OR(Dashboard!$A$22="All",I1682=Dashboard!$A$22))</f>
        <v>1</v>
      </c>
    </row>
    <row r="1683" spans="1:16" ht="15.75" customHeight="1">
      <c r="A1683" s="4" t="s">
        <v>1889</v>
      </c>
      <c r="B1683" s="6">
        <v>45416</v>
      </c>
      <c r="C1683" s="4">
        <v>2024</v>
      </c>
      <c r="D1683" s="4">
        <v>5</v>
      </c>
      <c r="E1683" s="4" t="s">
        <v>108</v>
      </c>
      <c r="F1683" s="4" t="s">
        <v>5</v>
      </c>
      <c r="G1683" s="4" t="s">
        <v>12</v>
      </c>
      <c r="H1683" s="4" t="s">
        <v>58</v>
      </c>
      <c r="I1683" s="4" t="s">
        <v>10</v>
      </c>
      <c r="J1683" s="4" t="s">
        <v>193</v>
      </c>
      <c r="K1683" s="4">
        <v>2</v>
      </c>
      <c r="L1683" s="5">
        <v>264.49</v>
      </c>
      <c r="M1683" s="5">
        <v>528.98</v>
      </c>
      <c r="N1683" s="5">
        <v>321.77999999999997</v>
      </c>
      <c r="O1683" s="5">
        <v>207.2</v>
      </c>
      <c r="P1683" s="4">
        <f>--AND(OR(Dashboard!$A$10="All",C1683=Dashboard!$A$10),OR(Dashboard!$A$14="All",F1683=Dashboard!$A$14),OR(Dashboard!$A$18="All",G1683=Dashboard!$A$18),OR(Dashboard!$A$22="All",I1683=Dashboard!$A$22))</f>
        <v>1</v>
      </c>
    </row>
    <row r="1684" spans="1:16" ht="15.75" customHeight="1">
      <c r="A1684" s="4" t="s">
        <v>1890</v>
      </c>
      <c r="B1684" s="6">
        <v>45833</v>
      </c>
      <c r="C1684" s="4">
        <v>2025</v>
      </c>
      <c r="D1684" s="4">
        <v>6</v>
      </c>
      <c r="E1684" s="4" t="s">
        <v>34</v>
      </c>
      <c r="F1684" s="4" t="s">
        <v>5</v>
      </c>
      <c r="G1684" s="4" t="s">
        <v>9</v>
      </c>
      <c r="H1684" s="4" t="s">
        <v>142</v>
      </c>
      <c r="I1684" s="4" t="s">
        <v>7</v>
      </c>
      <c r="J1684" s="4" t="s">
        <v>134</v>
      </c>
      <c r="K1684" s="4">
        <v>2</v>
      </c>
      <c r="L1684" s="5">
        <v>34.869999999999997</v>
      </c>
      <c r="M1684" s="5">
        <v>69.739999999999995</v>
      </c>
      <c r="N1684" s="5">
        <v>36.46</v>
      </c>
      <c r="O1684" s="5">
        <v>33.28</v>
      </c>
      <c r="P1684" s="4">
        <f>--AND(OR(Dashboard!$A$10="All",C1684=Dashboard!$A$10),OR(Dashboard!$A$14="All",F1684=Dashboard!$A$14),OR(Dashboard!$A$18="All",G1684=Dashboard!$A$18),OR(Dashboard!$A$22="All",I1684=Dashboard!$A$22))</f>
        <v>1</v>
      </c>
    </row>
    <row r="1685" spans="1:16" ht="15.75" customHeight="1">
      <c r="A1685" s="4" t="s">
        <v>1891</v>
      </c>
      <c r="B1685" s="6">
        <v>45985</v>
      </c>
      <c r="C1685" s="4">
        <v>2025</v>
      </c>
      <c r="D1685" s="4">
        <v>11</v>
      </c>
      <c r="E1685" s="4" t="s">
        <v>89</v>
      </c>
      <c r="F1685" s="4" t="s">
        <v>11</v>
      </c>
      <c r="G1685" s="4" t="s">
        <v>9</v>
      </c>
      <c r="H1685" s="4" t="s">
        <v>71</v>
      </c>
      <c r="I1685" s="4" t="s">
        <v>10</v>
      </c>
      <c r="J1685" s="4" t="s">
        <v>371</v>
      </c>
      <c r="K1685" s="4">
        <v>2</v>
      </c>
      <c r="L1685" s="5">
        <v>24.84</v>
      </c>
      <c r="M1685" s="5">
        <v>49.68</v>
      </c>
      <c r="N1685" s="5">
        <v>24.89</v>
      </c>
      <c r="O1685" s="5">
        <v>24.79</v>
      </c>
      <c r="P1685" s="4">
        <f>--AND(OR(Dashboard!$A$10="All",C1685=Dashboard!$A$10),OR(Dashboard!$A$14="All",F1685=Dashboard!$A$14),OR(Dashboard!$A$18="All",G1685=Dashboard!$A$18),OR(Dashboard!$A$22="All",I1685=Dashboard!$A$22))</f>
        <v>1</v>
      </c>
    </row>
    <row r="1686" spans="1:16" ht="15.75" customHeight="1">
      <c r="A1686" s="4" t="s">
        <v>1892</v>
      </c>
      <c r="B1686" s="6">
        <v>45342</v>
      </c>
      <c r="C1686" s="4">
        <v>2024</v>
      </c>
      <c r="D1686" s="4">
        <v>2</v>
      </c>
      <c r="E1686" s="4" t="s">
        <v>70</v>
      </c>
      <c r="F1686" s="4" t="s">
        <v>5</v>
      </c>
      <c r="G1686" s="4" t="s">
        <v>9</v>
      </c>
      <c r="H1686" s="4" t="s">
        <v>64</v>
      </c>
      <c r="I1686" s="4" t="s">
        <v>7</v>
      </c>
      <c r="J1686" s="4" t="s">
        <v>68</v>
      </c>
      <c r="K1686" s="4">
        <v>1</v>
      </c>
      <c r="L1686" s="5">
        <v>48.68</v>
      </c>
      <c r="M1686" s="5">
        <v>48.68</v>
      </c>
      <c r="N1686" s="5">
        <v>23.39</v>
      </c>
      <c r="O1686" s="5">
        <v>25.29</v>
      </c>
      <c r="P1686" s="4">
        <f>--AND(OR(Dashboard!$A$10="All",C1686=Dashboard!$A$10),OR(Dashboard!$A$14="All",F1686=Dashboard!$A$14),OR(Dashboard!$A$18="All",G1686=Dashboard!$A$18),OR(Dashboard!$A$22="All",I1686=Dashboard!$A$22))</f>
        <v>1</v>
      </c>
    </row>
    <row r="1687" spans="1:16" ht="15.75" customHeight="1">
      <c r="A1687" s="4" t="s">
        <v>1893</v>
      </c>
      <c r="B1687" s="6">
        <v>45352</v>
      </c>
      <c r="C1687" s="4">
        <v>2024</v>
      </c>
      <c r="D1687" s="4">
        <v>3</v>
      </c>
      <c r="E1687" s="4" t="s">
        <v>100</v>
      </c>
      <c r="F1687" s="4" t="s">
        <v>5</v>
      </c>
      <c r="G1687" s="4" t="s">
        <v>12</v>
      </c>
      <c r="H1687" s="4" t="s">
        <v>124</v>
      </c>
      <c r="I1687" s="4" t="s">
        <v>7</v>
      </c>
      <c r="J1687" s="4" t="s">
        <v>205</v>
      </c>
      <c r="K1687" s="4">
        <v>3</v>
      </c>
      <c r="L1687" s="5">
        <v>314.56</v>
      </c>
      <c r="M1687" s="5">
        <v>943.68</v>
      </c>
      <c r="N1687" s="5">
        <v>590.85</v>
      </c>
      <c r="O1687" s="5">
        <v>352.83</v>
      </c>
      <c r="P1687" s="4">
        <f>--AND(OR(Dashboard!$A$10="All",C1687=Dashboard!$A$10),OR(Dashboard!$A$14="All",F1687=Dashboard!$A$14),OR(Dashboard!$A$18="All",G1687=Dashboard!$A$18),OR(Dashboard!$A$22="All",I1687=Dashboard!$A$22))</f>
        <v>1</v>
      </c>
    </row>
    <row r="1688" spans="1:16" ht="15.75" customHeight="1">
      <c r="A1688" s="4" t="s">
        <v>1894</v>
      </c>
      <c r="B1688" s="6">
        <v>45670</v>
      </c>
      <c r="C1688" s="4">
        <v>2025</v>
      </c>
      <c r="D1688" s="4">
        <v>1</v>
      </c>
      <c r="E1688" s="4" t="s">
        <v>30</v>
      </c>
      <c r="F1688" s="4" t="s">
        <v>5</v>
      </c>
      <c r="G1688" s="4" t="s">
        <v>12</v>
      </c>
      <c r="H1688" s="4" t="s">
        <v>124</v>
      </c>
      <c r="I1688" s="4" t="s">
        <v>7</v>
      </c>
      <c r="J1688" s="4" t="s">
        <v>381</v>
      </c>
      <c r="K1688" s="4">
        <v>5</v>
      </c>
      <c r="L1688" s="5">
        <v>197.72</v>
      </c>
      <c r="M1688" s="5">
        <v>988.6</v>
      </c>
      <c r="N1688" s="5">
        <v>617.86</v>
      </c>
      <c r="O1688" s="5">
        <v>370.74</v>
      </c>
      <c r="P1688" s="4">
        <f>--AND(OR(Dashboard!$A$10="All",C1688=Dashboard!$A$10),OR(Dashboard!$A$14="All",F1688=Dashboard!$A$14),OR(Dashboard!$A$18="All",G1688=Dashboard!$A$18),OR(Dashboard!$A$22="All",I1688=Dashboard!$A$22))</f>
        <v>1</v>
      </c>
    </row>
    <row r="1689" spans="1:16" ht="15.75" customHeight="1">
      <c r="A1689" s="4" t="s">
        <v>1895</v>
      </c>
      <c r="B1689" s="6">
        <v>45316</v>
      </c>
      <c r="C1689" s="4">
        <v>2024</v>
      </c>
      <c r="D1689" s="4">
        <v>1</v>
      </c>
      <c r="E1689" s="4" t="s">
        <v>30</v>
      </c>
      <c r="F1689" s="4" t="s">
        <v>11</v>
      </c>
      <c r="G1689" s="4" t="s">
        <v>9</v>
      </c>
      <c r="H1689" s="4" t="s">
        <v>35</v>
      </c>
      <c r="I1689" s="4" t="s">
        <v>7</v>
      </c>
      <c r="J1689" s="4" t="s">
        <v>184</v>
      </c>
      <c r="K1689" s="4">
        <v>14</v>
      </c>
      <c r="L1689" s="5">
        <v>31.3</v>
      </c>
      <c r="M1689" s="5">
        <v>438.2</v>
      </c>
      <c r="N1689" s="5">
        <v>227.43</v>
      </c>
      <c r="O1689" s="5">
        <v>210.77</v>
      </c>
      <c r="P1689" s="4">
        <f>--AND(OR(Dashboard!$A$10="All",C1689=Dashboard!$A$10),OR(Dashboard!$A$14="All",F1689=Dashboard!$A$14),OR(Dashboard!$A$18="All",G1689=Dashboard!$A$18),OR(Dashboard!$A$22="All",I1689=Dashboard!$A$22))</f>
        <v>1</v>
      </c>
    </row>
    <row r="1690" spans="1:16" ht="15.75" customHeight="1">
      <c r="A1690" s="4" t="s">
        <v>1896</v>
      </c>
      <c r="B1690" s="6">
        <v>45427</v>
      </c>
      <c r="C1690" s="4">
        <v>2024</v>
      </c>
      <c r="D1690" s="4">
        <v>5</v>
      </c>
      <c r="E1690" s="4" t="s">
        <v>108</v>
      </c>
      <c r="F1690" s="4" t="s">
        <v>5</v>
      </c>
      <c r="G1690" s="4" t="s">
        <v>12</v>
      </c>
      <c r="H1690" s="4" t="s">
        <v>58</v>
      </c>
      <c r="I1690" s="4" t="s">
        <v>7</v>
      </c>
      <c r="J1690" s="4" t="s">
        <v>179</v>
      </c>
      <c r="K1690" s="4">
        <v>1</v>
      </c>
      <c r="L1690" s="5">
        <v>181.21</v>
      </c>
      <c r="M1690" s="5">
        <v>181.21</v>
      </c>
      <c r="N1690" s="5">
        <v>113.44</v>
      </c>
      <c r="O1690" s="5">
        <v>67.77</v>
      </c>
      <c r="P1690" s="4">
        <f>--AND(OR(Dashboard!$A$10="All",C1690=Dashboard!$A$10),OR(Dashboard!$A$14="All",F1690=Dashboard!$A$14),OR(Dashboard!$A$18="All",G1690=Dashboard!$A$18),OR(Dashboard!$A$22="All",I1690=Dashboard!$A$22))</f>
        <v>1</v>
      </c>
    </row>
    <row r="1691" spans="1:16" ht="15.75" customHeight="1">
      <c r="A1691" s="4" t="s">
        <v>1897</v>
      </c>
      <c r="B1691" s="6">
        <v>45377</v>
      </c>
      <c r="C1691" s="4">
        <v>2024</v>
      </c>
      <c r="D1691" s="4">
        <v>3</v>
      </c>
      <c r="E1691" s="4" t="s">
        <v>100</v>
      </c>
      <c r="F1691" s="4" t="s">
        <v>5</v>
      </c>
      <c r="G1691" s="4" t="s">
        <v>12</v>
      </c>
      <c r="H1691" s="4" t="s">
        <v>92</v>
      </c>
      <c r="I1691" s="4" t="s">
        <v>7</v>
      </c>
      <c r="J1691" s="4" t="s">
        <v>209</v>
      </c>
      <c r="K1691" s="4">
        <v>1</v>
      </c>
      <c r="L1691" s="5">
        <v>292.69</v>
      </c>
      <c r="M1691" s="5">
        <v>292.69</v>
      </c>
      <c r="N1691" s="5">
        <v>181.97</v>
      </c>
      <c r="O1691" s="5">
        <v>110.72</v>
      </c>
      <c r="P1691" s="4">
        <f>--AND(OR(Dashboard!$A$10="All",C1691=Dashboard!$A$10),OR(Dashboard!$A$14="All",F1691=Dashboard!$A$14),OR(Dashboard!$A$18="All",G1691=Dashboard!$A$18),OR(Dashboard!$A$22="All",I1691=Dashboard!$A$22))</f>
        <v>1</v>
      </c>
    </row>
    <row r="1692" spans="1:16" ht="15.75" customHeight="1">
      <c r="A1692" s="4" t="s">
        <v>1898</v>
      </c>
      <c r="B1692" s="6">
        <v>45673</v>
      </c>
      <c r="C1692" s="4">
        <v>2025</v>
      </c>
      <c r="D1692" s="4">
        <v>1</v>
      </c>
      <c r="E1692" s="4" t="s">
        <v>30</v>
      </c>
      <c r="F1692" s="4" t="s">
        <v>5</v>
      </c>
      <c r="G1692" s="4" t="s">
        <v>9</v>
      </c>
      <c r="H1692" s="4" t="s">
        <v>35</v>
      </c>
      <c r="I1692" s="4" t="s">
        <v>13</v>
      </c>
      <c r="J1692" s="4" t="s">
        <v>311</v>
      </c>
      <c r="K1692" s="4">
        <v>3</v>
      </c>
      <c r="L1692" s="5">
        <v>62.89</v>
      </c>
      <c r="M1692" s="5">
        <v>188.67</v>
      </c>
      <c r="N1692" s="5">
        <v>90.09</v>
      </c>
      <c r="O1692" s="5">
        <v>98.58</v>
      </c>
      <c r="P1692" s="4">
        <f>--AND(OR(Dashboard!$A$10="All",C1692=Dashboard!$A$10),OR(Dashboard!$A$14="All",F1692=Dashboard!$A$14),OR(Dashboard!$A$18="All",G1692=Dashboard!$A$18),OR(Dashboard!$A$22="All",I1692=Dashboard!$A$22))</f>
        <v>1</v>
      </c>
    </row>
    <row r="1693" spans="1:16" ht="15.75" customHeight="1">
      <c r="A1693" s="4" t="s">
        <v>1899</v>
      </c>
      <c r="B1693" s="6">
        <v>45343</v>
      </c>
      <c r="C1693" s="4">
        <v>2024</v>
      </c>
      <c r="D1693" s="4">
        <v>2</v>
      </c>
      <c r="E1693" s="4" t="s">
        <v>70</v>
      </c>
      <c r="F1693" s="4" t="s">
        <v>5</v>
      </c>
      <c r="G1693" s="4" t="s">
        <v>9</v>
      </c>
      <c r="H1693" s="4" t="s">
        <v>71</v>
      </c>
      <c r="I1693" s="4" t="s">
        <v>7</v>
      </c>
      <c r="J1693" s="4" t="s">
        <v>121</v>
      </c>
      <c r="K1693" s="4">
        <v>2</v>
      </c>
      <c r="L1693" s="5">
        <v>51.23</v>
      </c>
      <c r="M1693" s="5">
        <v>102.46</v>
      </c>
      <c r="N1693" s="5">
        <v>53.02</v>
      </c>
      <c r="O1693" s="5">
        <v>49.44</v>
      </c>
      <c r="P1693" s="4">
        <f>--AND(OR(Dashboard!$A$10="All",C1693=Dashboard!$A$10),OR(Dashboard!$A$14="All",F1693=Dashboard!$A$14),OR(Dashboard!$A$18="All",G1693=Dashboard!$A$18),OR(Dashboard!$A$22="All",I1693=Dashboard!$A$22))</f>
        <v>1</v>
      </c>
    </row>
    <row r="1694" spans="1:16" ht="15.75" customHeight="1">
      <c r="A1694" s="4" t="s">
        <v>1900</v>
      </c>
      <c r="B1694" s="6">
        <v>45733</v>
      </c>
      <c r="C1694" s="4">
        <v>2025</v>
      </c>
      <c r="D1694" s="4">
        <v>3</v>
      </c>
      <c r="E1694" s="4" t="s">
        <v>100</v>
      </c>
      <c r="F1694" s="4" t="s">
        <v>5</v>
      </c>
      <c r="G1694" s="4" t="s">
        <v>6</v>
      </c>
      <c r="H1694" s="4" t="s">
        <v>80</v>
      </c>
      <c r="I1694" s="4" t="s">
        <v>10</v>
      </c>
      <c r="J1694" s="4" t="s">
        <v>59</v>
      </c>
      <c r="K1694" s="4">
        <v>2</v>
      </c>
      <c r="L1694" s="5">
        <v>201.4</v>
      </c>
      <c r="M1694" s="5">
        <v>402.8</v>
      </c>
      <c r="N1694" s="5">
        <v>253.42</v>
      </c>
      <c r="O1694" s="5">
        <v>149.38</v>
      </c>
      <c r="P1694" s="4">
        <f>--AND(OR(Dashboard!$A$10="All",C1694=Dashboard!$A$10),OR(Dashboard!$A$14="All",F1694=Dashboard!$A$14),OR(Dashboard!$A$18="All",G1694=Dashboard!$A$18),OR(Dashboard!$A$22="All",I1694=Dashboard!$A$22))</f>
        <v>1</v>
      </c>
    </row>
    <row r="1695" spans="1:16" ht="15.75" customHeight="1">
      <c r="A1695" s="4" t="s">
        <v>1901</v>
      </c>
      <c r="B1695" s="6">
        <v>45588</v>
      </c>
      <c r="C1695" s="4">
        <v>2024</v>
      </c>
      <c r="D1695" s="4">
        <v>10</v>
      </c>
      <c r="E1695" s="4" t="s">
        <v>120</v>
      </c>
      <c r="F1695" s="4" t="s">
        <v>5</v>
      </c>
      <c r="G1695" s="4" t="s">
        <v>6</v>
      </c>
      <c r="H1695" s="4" t="s">
        <v>54</v>
      </c>
      <c r="I1695" s="4" t="s">
        <v>7</v>
      </c>
      <c r="J1695" s="4" t="s">
        <v>381</v>
      </c>
      <c r="K1695" s="4">
        <v>3</v>
      </c>
      <c r="L1695" s="5">
        <v>130.13999999999999</v>
      </c>
      <c r="M1695" s="5">
        <v>390.42</v>
      </c>
      <c r="N1695" s="5">
        <v>253.65</v>
      </c>
      <c r="O1695" s="5">
        <v>136.77000000000001</v>
      </c>
      <c r="P1695" s="4">
        <f>--AND(OR(Dashboard!$A$10="All",C1695=Dashboard!$A$10),OR(Dashboard!$A$14="All",F1695=Dashboard!$A$14),OR(Dashboard!$A$18="All",G1695=Dashboard!$A$18),OR(Dashboard!$A$22="All",I1695=Dashboard!$A$22))</f>
        <v>1</v>
      </c>
    </row>
    <row r="1696" spans="1:16" ht="15.75" customHeight="1">
      <c r="A1696" s="4" t="s">
        <v>1902</v>
      </c>
      <c r="B1696" s="6">
        <v>45805</v>
      </c>
      <c r="C1696" s="4">
        <v>2025</v>
      </c>
      <c r="D1696" s="4">
        <v>5</v>
      </c>
      <c r="E1696" s="4" t="s">
        <v>108</v>
      </c>
      <c r="F1696" s="4" t="s">
        <v>5</v>
      </c>
      <c r="G1696" s="4" t="s">
        <v>12</v>
      </c>
      <c r="H1696" s="4" t="s">
        <v>86</v>
      </c>
      <c r="I1696" s="4" t="s">
        <v>7</v>
      </c>
      <c r="J1696" s="4" t="s">
        <v>202</v>
      </c>
      <c r="K1696" s="4">
        <v>1</v>
      </c>
      <c r="L1696" s="5">
        <v>111.96</v>
      </c>
      <c r="M1696" s="5">
        <v>111.96</v>
      </c>
      <c r="N1696" s="5">
        <v>65.14</v>
      </c>
      <c r="O1696" s="5">
        <v>46.82</v>
      </c>
      <c r="P1696" s="4">
        <f>--AND(OR(Dashboard!$A$10="All",C1696=Dashboard!$A$10),OR(Dashboard!$A$14="All",F1696=Dashboard!$A$14),OR(Dashboard!$A$18="All",G1696=Dashboard!$A$18),OR(Dashboard!$A$22="All",I1696=Dashboard!$A$22))</f>
        <v>1</v>
      </c>
    </row>
    <row r="1697" spans="1:16" ht="15.75" customHeight="1">
      <c r="A1697" s="4" t="s">
        <v>1903</v>
      </c>
      <c r="B1697" s="6">
        <v>45742</v>
      </c>
      <c r="C1697" s="4">
        <v>2025</v>
      </c>
      <c r="D1697" s="4">
        <v>3</v>
      </c>
      <c r="E1697" s="4" t="s">
        <v>100</v>
      </c>
      <c r="F1697" s="4" t="s">
        <v>8</v>
      </c>
      <c r="G1697" s="4" t="s">
        <v>12</v>
      </c>
      <c r="H1697" s="4" t="s">
        <v>86</v>
      </c>
      <c r="I1697" s="4" t="s">
        <v>7</v>
      </c>
      <c r="J1697" s="4" t="s">
        <v>301</v>
      </c>
      <c r="K1697" s="4">
        <v>3</v>
      </c>
      <c r="L1697" s="5">
        <v>122.06</v>
      </c>
      <c r="M1697" s="5">
        <v>366.18</v>
      </c>
      <c r="N1697" s="5">
        <v>228.49</v>
      </c>
      <c r="O1697" s="5">
        <v>137.69</v>
      </c>
      <c r="P1697" s="4">
        <f>--AND(OR(Dashboard!$A$10="All",C1697=Dashboard!$A$10),OR(Dashboard!$A$14="All",F1697=Dashboard!$A$14),OR(Dashboard!$A$18="All",G1697=Dashboard!$A$18),OR(Dashboard!$A$22="All",I1697=Dashboard!$A$22))</f>
        <v>1</v>
      </c>
    </row>
    <row r="1698" spans="1:16" ht="15.75" customHeight="1">
      <c r="A1698" s="4" t="s">
        <v>1904</v>
      </c>
      <c r="B1698" s="6">
        <v>45563</v>
      </c>
      <c r="C1698" s="4">
        <v>2024</v>
      </c>
      <c r="D1698" s="4">
        <v>9</v>
      </c>
      <c r="E1698" s="4" t="s">
        <v>79</v>
      </c>
      <c r="F1698" s="4" t="s">
        <v>8</v>
      </c>
      <c r="G1698" s="4" t="s">
        <v>12</v>
      </c>
      <c r="H1698" s="4" t="s">
        <v>127</v>
      </c>
      <c r="I1698" s="4" t="s">
        <v>13</v>
      </c>
      <c r="J1698" s="4" t="s">
        <v>373</v>
      </c>
      <c r="K1698" s="4">
        <v>6</v>
      </c>
      <c r="L1698" s="5">
        <v>162.1</v>
      </c>
      <c r="M1698" s="5">
        <v>972.6</v>
      </c>
      <c r="N1698" s="5">
        <v>561.21</v>
      </c>
      <c r="O1698" s="5">
        <v>411.39</v>
      </c>
      <c r="P1698" s="4">
        <f>--AND(OR(Dashboard!$A$10="All",C1698=Dashboard!$A$10),OR(Dashboard!$A$14="All",F1698=Dashboard!$A$14),OR(Dashboard!$A$18="All",G1698=Dashboard!$A$18),OR(Dashboard!$A$22="All",I1698=Dashboard!$A$22))</f>
        <v>1</v>
      </c>
    </row>
    <row r="1699" spans="1:16" ht="15.75" customHeight="1">
      <c r="A1699" s="4" t="s">
        <v>1905</v>
      </c>
      <c r="B1699" s="6">
        <v>45546</v>
      </c>
      <c r="C1699" s="4">
        <v>2024</v>
      </c>
      <c r="D1699" s="4">
        <v>9</v>
      </c>
      <c r="E1699" s="4" t="s">
        <v>79</v>
      </c>
      <c r="F1699" s="4" t="s">
        <v>5</v>
      </c>
      <c r="G1699" s="4" t="s">
        <v>12</v>
      </c>
      <c r="H1699" s="4" t="s">
        <v>127</v>
      </c>
      <c r="I1699" s="4" t="s">
        <v>10</v>
      </c>
      <c r="J1699" s="4" t="s">
        <v>491</v>
      </c>
      <c r="K1699" s="4">
        <v>4</v>
      </c>
      <c r="L1699" s="5">
        <v>169.73</v>
      </c>
      <c r="M1699" s="5">
        <v>678.92</v>
      </c>
      <c r="N1699" s="5">
        <v>423.42</v>
      </c>
      <c r="O1699" s="5">
        <v>255.5</v>
      </c>
      <c r="P1699" s="4">
        <f>--AND(OR(Dashboard!$A$10="All",C1699=Dashboard!$A$10),OR(Dashboard!$A$14="All",F1699=Dashboard!$A$14),OR(Dashboard!$A$18="All",G1699=Dashboard!$A$18),OR(Dashboard!$A$22="All",I1699=Dashboard!$A$22))</f>
        <v>1</v>
      </c>
    </row>
    <row r="1700" spans="1:16" ht="15.75" customHeight="1">
      <c r="A1700" s="4" t="s">
        <v>1906</v>
      </c>
      <c r="B1700" s="6">
        <v>45362</v>
      </c>
      <c r="C1700" s="4">
        <v>2024</v>
      </c>
      <c r="D1700" s="4">
        <v>3</v>
      </c>
      <c r="E1700" s="4" t="s">
        <v>100</v>
      </c>
      <c r="F1700" s="4" t="s">
        <v>5</v>
      </c>
      <c r="G1700" s="4" t="s">
        <v>12</v>
      </c>
      <c r="H1700" s="4" t="s">
        <v>124</v>
      </c>
      <c r="I1700" s="4" t="s">
        <v>7</v>
      </c>
      <c r="J1700" s="4" t="s">
        <v>131</v>
      </c>
      <c r="K1700" s="4">
        <v>6</v>
      </c>
      <c r="L1700" s="5">
        <v>135.52000000000001</v>
      </c>
      <c r="M1700" s="5">
        <v>813.12</v>
      </c>
      <c r="N1700" s="5">
        <v>501.13</v>
      </c>
      <c r="O1700" s="5">
        <v>311.99</v>
      </c>
      <c r="P1700" s="4">
        <f>--AND(OR(Dashboard!$A$10="All",C1700=Dashboard!$A$10),OR(Dashboard!$A$14="All",F1700=Dashboard!$A$14),OR(Dashboard!$A$18="All",G1700=Dashboard!$A$18),OR(Dashboard!$A$22="All",I1700=Dashboard!$A$22))</f>
        <v>1</v>
      </c>
    </row>
    <row r="1701" spans="1:16" ht="15.75" customHeight="1">
      <c r="A1701" s="4" t="s">
        <v>1907</v>
      </c>
      <c r="B1701" s="6">
        <v>45504</v>
      </c>
      <c r="C1701" s="4">
        <v>2024</v>
      </c>
      <c r="D1701" s="4">
        <v>7</v>
      </c>
      <c r="E1701" s="4" t="s">
        <v>63</v>
      </c>
      <c r="F1701" s="4" t="s">
        <v>5</v>
      </c>
      <c r="G1701" s="4" t="s">
        <v>12</v>
      </c>
      <c r="H1701" s="4" t="s">
        <v>92</v>
      </c>
      <c r="I1701" s="4" t="s">
        <v>13</v>
      </c>
      <c r="J1701" s="4" t="s">
        <v>61</v>
      </c>
      <c r="K1701" s="4">
        <v>4</v>
      </c>
      <c r="L1701" s="5">
        <v>175.81</v>
      </c>
      <c r="M1701" s="5">
        <v>703.24</v>
      </c>
      <c r="N1701" s="5">
        <v>436.29</v>
      </c>
      <c r="O1701" s="5">
        <v>266.95</v>
      </c>
      <c r="P1701" s="4">
        <f>--AND(OR(Dashboard!$A$10="All",C1701=Dashboard!$A$10),OR(Dashboard!$A$14="All",F1701=Dashboard!$A$14),OR(Dashboard!$A$18="All",G1701=Dashboard!$A$18),OR(Dashboard!$A$22="All",I1701=Dashboard!$A$22))</f>
        <v>1</v>
      </c>
    </row>
    <row r="1702" spans="1:16" ht="15.75" customHeight="1">
      <c r="A1702" s="4" t="s">
        <v>1908</v>
      </c>
      <c r="B1702" s="6">
        <v>45547</v>
      </c>
      <c r="C1702" s="4">
        <v>2024</v>
      </c>
      <c r="D1702" s="4">
        <v>9</v>
      </c>
      <c r="E1702" s="4" t="s">
        <v>79</v>
      </c>
      <c r="F1702" s="4" t="s">
        <v>5</v>
      </c>
      <c r="G1702" s="4" t="s">
        <v>9</v>
      </c>
      <c r="H1702" s="4" t="s">
        <v>64</v>
      </c>
      <c r="I1702" s="4" t="s">
        <v>7</v>
      </c>
      <c r="J1702" s="4" t="s">
        <v>292</v>
      </c>
      <c r="K1702" s="4">
        <v>1</v>
      </c>
      <c r="L1702" s="5">
        <v>31.83</v>
      </c>
      <c r="M1702" s="5">
        <v>31.83</v>
      </c>
      <c r="N1702" s="5">
        <v>15.71</v>
      </c>
      <c r="O1702" s="5">
        <v>16.12</v>
      </c>
      <c r="P1702" s="4">
        <f>--AND(OR(Dashboard!$A$10="All",C1702=Dashboard!$A$10),OR(Dashboard!$A$14="All",F1702=Dashboard!$A$14),OR(Dashboard!$A$18="All",G1702=Dashboard!$A$18),OR(Dashboard!$A$22="All",I1702=Dashboard!$A$22))</f>
        <v>1</v>
      </c>
    </row>
    <row r="1703" spans="1:16" ht="15.75" customHeight="1">
      <c r="A1703" s="4" t="s">
        <v>1909</v>
      </c>
      <c r="B1703" s="6">
        <v>45783</v>
      </c>
      <c r="C1703" s="4">
        <v>2025</v>
      </c>
      <c r="D1703" s="4">
        <v>5</v>
      </c>
      <c r="E1703" s="4" t="s">
        <v>108</v>
      </c>
      <c r="F1703" s="4" t="s">
        <v>8</v>
      </c>
      <c r="G1703" s="4" t="s">
        <v>12</v>
      </c>
      <c r="H1703" s="4" t="s">
        <v>124</v>
      </c>
      <c r="I1703" s="4" t="s">
        <v>7</v>
      </c>
      <c r="J1703" s="4" t="s">
        <v>301</v>
      </c>
      <c r="K1703" s="4">
        <v>5</v>
      </c>
      <c r="L1703" s="5">
        <v>177.11</v>
      </c>
      <c r="M1703" s="5">
        <v>885.55</v>
      </c>
      <c r="N1703" s="5">
        <v>534.97</v>
      </c>
      <c r="O1703" s="5">
        <v>350.58</v>
      </c>
      <c r="P1703" s="4">
        <f>--AND(OR(Dashboard!$A$10="All",C1703=Dashboard!$A$10),OR(Dashboard!$A$14="All",F1703=Dashboard!$A$14),OR(Dashboard!$A$18="All",G1703=Dashboard!$A$18),OR(Dashboard!$A$22="All",I1703=Dashboard!$A$22))</f>
        <v>1</v>
      </c>
    </row>
    <row r="1704" spans="1:16" ht="15.75" customHeight="1">
      <c r="A1704" s="4" t="s">
        <v>1910</v>
      </c>
      <c r="B1704" s="6">
        <v>45799</v>
      </c>
      <c r="C1704" s="4">
        <v>2025</v>
      </c>
      <c r="D1704" s="4">
        <v>5</v>
      </c>
      <c r="E1704" s="4" t="s">
        <v>108</v>
      </c>
      <c r="F1704" s="4" t="s">
        <v>11</v>
      </c>
      <c r="G1704" s="4" t="s">
        <v>12</v>
      </c>
      <c r="H1704" s="4" t="s">
        <v>124</v>
      </c>
      <c r="I1704" s="4" t="s">
        <v>10</v>
      </c>
      <c r="J1704" s="4" t="s">
        <v>321</v>
      </c>
      <c r="K1704" s="4">
        <v>7</v>
      </c>
      <c r="L1704" s="5">
        <v>308.70999999999998</v>
      </c>
      <c r="M1704" s="5">
        <v>2160.9699999999998</v>
      </c>
      <c r="N1704" s="5">
        <v>1272.31</v>
      </c>
      <c r="O1704" s="5">
        <v>888.66</v>
      </c>
      <c r="P1704" s="4">
        <f>--AND(OR(Dashboard!$A$10="All",C1704=Dashboard!$A$10),OR(Dashboard!$A$14="All",F1704=Dashboard!$A$14),OR(Dashboard!$A$18="All",G1704=Dashboard!$A$18),OR(Dashboard!$A$22="All",I1704=Dashboard!$A$22))</f>
        <v>1</v>
      </c>
    </row>
    <row r="1705" spans="1:16" ht="15.75" customHeight="1">
      <c r="A1705" s="4" t="s">
        <v>1911</v>
      </c>
      <c r="B1705" s="6">
        <v>45464</v>
      </c>
      <c r="C1705" s="4">
        <v>2024</v>
      </c>
      <c r="D1705" s="4">
        <v>6</v>
      </c>
      <c r="E1705" s="4" t="s">
        <v>34</v>
      </c>
      <c r="F1705" s="4" t="s">
        <v>11</v>
      </c>
      <c r="G1705" s="4" t="s">
        <v>9</v>
      </c>
      <c r="H1705" s="4" t="s">
        <v>35</v>
      </c>
      <c r="I1705" s="4" t="s">
        <v>7</v>
      </c>
      <c r="J1705" s="4" t="s">
        <v>297</v>
      </c>
      <c r="K1705" s="4">
        <v>7</v>
      </c>
      <c r="L1705" s="5">
        <v>33.94</v>
      </c>
      <c r="M1705" s="5">
        <v>237.58</v>
      </c>
      <c r="N1705" s="5">
        <v>121.45</v>
      </c>
      <c r="O1705" s="5">
        <v>116.13</v>
      </c>
      <c r="P1705" s="4">
        <f>--AND(OR(Dashboard!$A$10="All",C1705=Dashboard!$A$10),OR(Dashboard!$A$14="All",F1705=Dashboard!$A$14),OR(Dashboard!$A$18="All",G1705=Dashboard!$A$18),OR(Dashboard!$A$22="All",I1705=Dashboard!$A$22))</f>
        <v>1</v>
      </c>
    </row>
    <row r="1706" spans="1:16" ht="15.75" customHeight="1">
      <c r="A1706" s="4" t="s">
        <v>1912</v>
      </c>
      <c r="B1706" s="6">
        <v>46022</v>
      </c>
      <c r="C1706" s="4">
        <v>2025</v>
      </c>
      <c r="D1706" s="4">
        <v>12</v>
      </c>
      <c r="E1706" s="4" t="s">
        <v>57</v>
      </c>
      <c r="F1706" s="4" t="s">
        <v>5</v>
      </c>
      <c r="G1706" s="4" t="s">
        <v>9</v>
      </c>
      <c r="H1706" s="4" t="s">
        <v>110</v>
      </c>
      <c r="I1706" s="4" t="s">
        <v>10</v>
      </c>
      <c r="J1706" s="4" t="s">
        <v>72</v>
      </c>
      <c r="K1706" s="4">
        <v>1</v>
      </c>
      <c r="L1706" s="5">
        <v>40.770000000000003</v>
      </c>
      <c r="M1706" s="5">
        <v>40.770000000000003</v>
      </c>
      <c r="N1706" s="5">
        <v>20.09</v>
      </c>
      <c r="O1706" s="5">
        <v>20.68</v>
      </c>
      <c r="P1706" s="4">
        <f>--AND(OR(Dashboard!$A$10="All",C1706=Dashboard!$A$10),OR(Dashboard!$A$14="All",F1706=Dashboard!$A$14),OR(Dashboard!$A$18="All",G1706=Dashboard!$A$18),OR(Dashboard!$A$22="All",I1706=Dashboard!$A$22))</f>
        <v>1</v>
      </c>
    </row>
    <row r="1707" spans="1:16" ht="15.75" customHeight="1">
      <c r="A1707" s="4" t="s">
        <v>1913</v>
      </c>
      <c r="B1707" s="6">
        <v>45842</v>
      </c>
      <c r="C1707" s="4">
        <v>2025</v>
      </c>
      <c r="D1707" s="4">
        <v>7</v>
      </c>
      <c r="E1707" s="4" t="s">
        <v>63</v>
      </c>
      <c r="F1707" s="4" t="s">
        <v>14</v>
      </c>
      <c r="G1707" s="4" t="s">
        <v>9</v>
      </c>
      <c r="H1707" s="4" t="s">
        <v>64</v>
      </c>
      <c r="I1707" s="4" t="s">
        <v>7</v>
      </c>
      <c r="J1707" s="4" t="s">
        <v>455</v>
      </c>
      <c r="K1707" s="4">
        <v>4</v>
      </c>
      <c r="L1707" s="5">
        <v>23.96</v>
      </c>
      <c r="M1707" s="5">
        <v>95.84</v>
      </c>
      <c r="N1707" s="5">
        <v>47.98</v>
      </c>
      <c r="O1707" s="5">
        <v>47.86</v>
      </c>
      <c r="P1707" s="4">
        <f>--AND(OR(Dashboard!$A$10="All",C1707=Dashboard!$A$10),OR(Dashboard!$A$14="All",F1707=Dashboard!$A$14),OR(Dashboard!$A$18="All",G1707=Dashboard!$A$18),OR(Dashboard!$A$22="All",I1707=Dashboard!$A$22))</f>
        <v>1</v>
      </c>
    </row>
    <row r="1708" spans="1:16" ht="15.75" customHeight="1">
      <c r="A1708" s="4" t="s">
        <v>1914</v>
      </c>
      <c r="B1708" s="6">
        <v>45666</v>
      </c>
      <c r="C1708" s="4">
        <v>2025</v>
      </c>
      <c r="D1708" s="4">
        <v>1</v>
      </c>
      <c r="E1708" s="4" t="s">
        <v>30</v>
      </c>
      <c r="F1708" s="4" t="s">
        <v>11</v>
      </c>
      <c r="G1708" s="4" t="s">
        <v>9</v>
      </c>
      <c r="H1708" s="4" t="s">
        <v>110</v>
      </c>
      <c r="I1708" s="4" t="s">
        <v>10</v>
      </c>
      <c r="J1708" s="4" t="s">
        <v>153</v>
      </c>
      <c r="K1708" s="4">
        <v>4</v>
      </c>
      <c r="L1708" s="5">
        <v>26.57</v>
      </c>
      <c r="M1708" s="5">
        <v>106.28</v>
      </c>
      <c r="N1708" s="5">
        <v>51.52</v>
      </c>
      <c r="O1708" s="5">
        <v>54.76</v>
      </c>
      <c r="P1708" s="4">
        <f>--AND(OR(Dashboard!$A$10="All",C1708=Dashboard!$A$10),OR(Dashboard!$A$14="All",F1708=Dashboard!$A$14),OR(Dashboard!$A$18="All",G1708=Dashboard!$A$18),OR(Dashboard!$A$22="All",I1708=Dashboard!$A$22))</f>
        <v>1</v>
      </c>
    </row>
    <row r="1709" spans="1:16" ht="15.75" customHeight="1">
      <c r="A1709" s="4" t="s">
        <v>1915</v>
      </c>
      <c r="B1709" s="6">
        <v>45923</v>
      </c>
      <c r="C1709" s="4">
        <v>2025</v>
      </c>
      <c r="D1709" s="4">
        <v>9</v>
      </c>
      <c r="E1709" s="4" t="s">
        <v>79</v>
      </c>
      <c r="F1709" s="4" t="s">
        <v>8</v>
      </c>
      <c r="G1709" s="4" t="s">
        <v>12</v>
      </c>
      <c r="H1709" s="4" t="s">
        <v>92</v>
      </c>
      <c r="I1709" s="4" t="s">
        <v>7</v>
      </c>
      <c r="J1709" s="4" t="s">
        <v>65</v>
      </c>
      <c r="K1709" s="4">
        <v>2</v>
      </c>
      <c r="L1709" s="5">
        <v>165.99</v>
      </c>
      <c r="M1709" s="5">
        <v>331.98</v>
      </c>
      <c r="N1709" s="5">
        <v>193.27</v>
      </c>
      <c r="O1709" s="5">
        <v>138.71</v>
      </c>
      <c r="P1709" s="4">
        <f>--AND(OR(Dashboard!$A$10="All",C1709=Dashboard!$A$10),OR(Dashboard!$A$14="All",F1709=Dashboard!$A$14),OR(Dashboard!$A$18="All",G1709=Dashboard!$A$18),OR(Dashboard!$A$22="All",I1709=Dashboard!$A$22))</f>
        <v>1</v>
      </c>
    </row>
    <row r="1710" spans="1:16" ht="15.75" customHeight="1">
      <c r="A1710" s="4" t="s">
        <v>1916</v>
      </c>
      <c r="B1710" s="6">
        <v>45663</v>
      </c>
      <c r="C1710" s="4">
        <v>2025</v>
      </c>
      <c r="D1710" s="4">
        <v>1</v>
      </c>
      <c r="E1710" s="4" t="s">
        <v>30</v>
      </c>
      <c r="F1710" s="4" t="s">
        <v>5</v>
      </c>
      <c r="G1710" s="4" t="s">
        <v>6</v>
      </c>
      <c r="H1710" s="4" t="s">
        <v>98</v>
      </c>
      <c r="I1710" s="4" t="s">
        <v>7</v>
      </c>
      <c r="J1710" s="4" t="s">
        <v>72</v>
      </c>
      <c r="K1710" s="4">
        <v>1</v>
      </c>
      <c r="L1710" s="5">
        <v>219.36</v>
      </c>
      <c r="M1710" s="5">
        <v>219.36</v>
      </c>
      <c r="N1710" s="5">
        <v>150.74</v>
      </c>
      <c r="O1710" s="5">
        <v>68.62</v>
      </c>
      <c r="P1710" s="4">
        <f>--AND(OR(Dashboard!$A$10="All",C1710=Dashboard!$A$10),OR(Dashboard!$A$14="All",F1710=Dashboard!$A$14),OR(Dashboard!$A$18="All",G1710=Dashboard!$A$18),OR(Dashboard!$A$22="All",I1710=Dashboard!$A$22))</f>
        <v>1</v>
      </c>
    </row>
    <row r="1711" spans="1:16" ht="15.75" customHeight="1">
      <c r="A1711" s="4" t="s">
        <v>1917</v>
      </c>
      <c r="B1711" s="6">
        <v>45689</v>
      </c>
      <c r="C1711" s="4">
        <v>2025</v>
      </c>
      <c r="D1711" s="4">
        <v>2</v>
      </c>
      <c r="E1711" s="4" t="s">
        <v>70</v>
      </c>
      <c r="F1711" s="4" t="s">
        <v>11</v>
      </c>
      <c r="G1711" s="4" t="s">
        <v>12</v>
      </c>
      <c r="H1711" s="4" t="s">
        <v>58</v>
      </c>
      <c r="I1711" s="4" t="s">
        <v>7</v>
      </c>
      <c r="J1711" s="4" t="s">
        <v>373</v>
      </c>
      <c r="K1711" s="4">
        <v>1</v>
      </c>
      <c r="L1711" s="5">
        <v>112</v>
      </c>
      <c r="M1711" s="5">
        <v>112</v>
      </c>
      <c r="N1711" s="5">
        <v>69.81</v>
      </c>
      <c r="O1711" s="5">
        <v>42.19</v>
      </c>
      <c r="P1711" s="4">
        <f>--AND(OR(Dashboard!$A$10="All",C1711=Dashboard!$A$10),OR(Dashboard!$A$14="All",F1711=Dashboard!$A$14),OR(Dashboard!$A$18="All",G1711=Dashboard!$A$18),OR(Dashboard!$A$22="All",I1711=Dashboard!$A$22))</f>
        <v>1</v>
      </c>
    </row>
    <row r="1712" spans="1:16" ht="15.75" customHeight="1">
      <c r="A1712" s="4" t="s">
        <v>1918</v>
      </c>
      <c r="B1712" s="6">
        <v>45881</v>
      </c>
      <c r="C1712" s="4">
        <v>2025</v>
      </c>
      <c r="D1712" s="4">
        <v>8</v>
      </c>
      <c r="E1712" s="4" t="s">
        <v>67</v>
      </c>
      <c r="F1712" s="4" t="s">
        <v>11</v>
      </c>
      <c r="G1712" s="4" t="s">
        <v>9</v>
      </c>
      <c r="H1712" s="4" t="s">
        <v>35</v>
      </c>
      <c r="I1712" s="4" t="s">
        <v>7</v>
      </c>
      <c r="J1712" s="4" t="s">
        <v>168</v>
      </c>
      <c r="K1712" s="4">
        <v>1</v>
      </c>
      <c r="L1712" s="5">
        <v>44.01</v>
      </c>
      <c r="M1712" s="5">
        <v>44.01</v>
      </c>
      <c r="N1712" s="5">
        <v>21.08</v>
      </c>
      <c r="O1712" s="5">
        <v>22.93</v>
      </c>
      <c r="P1712" s="4">
        <f>--AND(OR(Dashboard!$A$10="All",C1712=Dashboard!$A$10),OR(Dashboard!$A$14="All",F1712=Dashboard!$A$14),OR(Dashboard!$A$18="All",G1712=Dashboard!$A$18),OR(Dashboard!$A$22="All",I1712=Dashboard!$A$22))</f>
        <v>1</v>
      </c>
    </row>
    <row r="1713" spans="1:16" ht="15.75" customHeight="1">
      <c r="A1713" s="4" t="s">
        <v>1919</v>
      </c>
      <c r="B1713" s="6">
        <v>45836</v>
      </c>
      <c r="C1713" s="4">
        <v>2025</v>
      </c>
      <c r="D1713" s="4">
        <v>6</v>
      </c>
      <c r="E1713" s="4" t="s">
        <v>34</v>
      </c>
      <c r="F1713" s="4" t="s">
        <v>11</v>
      </c>
      <c r="G1713" s="4" t="s">
        <v>9</v>
      </c>
      <c r="H1713" s="4" t="s">
        <v>64</v>
      </c>
      <c r="I1713" s="4" t="s">
        <v>7</v>
      </c>
      <c r="J1713" s="4" t="s">
        <v>115</v>
      </c>
      <c r="K1713" s="4">
        <v>2</v>
      </c>
      <c r="L1713" s="5">
        <v>40.14</v>
      </c>
      <c r="M1713" s="5">
        <v>80.28</v>
      </c>
      <c r="N1713" s="5">
        <v>38.72</v>
      </c>
      <c r="O1713" s="5">
        <v>41.56</v>
      </c>
      <c r="P1713" s="4">
        <f>--AND(OR(Dashboard!$A$10="All",C1713=Dashboard!$A$10),OR(Dashboard!$A$14="All",F1713=Dashboard!$A$14),OR(Dashboard!$A$18="All",G1713=Dashboard!$A$18),OR(Dashboard!$A$22="All",I1713=Dashboard!$A$22))</f>
        <v>1</v>
      </c>
    </row>
    <row r="1714" spans="1:16" ht="15.75" customHeight="1">
      <c r="A1714" s="4" t="s">
        <v>1920</v>
      </c>
      <c r="B1714" s="6">
        <v>45706</v>
      </c>
      <c r="C1714" s="4">
        <v>2025</v>
      </c>
      <c r="D1714" s="4">
        <v>2</v>
      </c>
      <c r="E1714" s="4" t="s">
        <v>70</v>
      </c>
      <c r="F1714" s="4" t="s">
        <v>5</v>
      </c>
      <c r="G1714" s="4" t="s">
        <v>12</v>
      </c>
      <c r="H1714" s="4" t="s">
        <v>124</v>
      </c>
      <c r="I1714" s="4" t="s">
        <v>7</v>
      </c>
      <c r="J1714" s="4" t="s">
        <v>186</v>
      </c>
      <c r="K1714" s="4">
        <v>1</v>
      </c>
      <c r="L1714" s="5">
        <v>199.93</v>
      </c>
      <c r="M1714" s="5">
        <v>199.93</v>
      </c>
      <c r="N1714" s="5">
        <v>116.46</v>
      </c>
      <c r="O1714" s="5">
        <v>83.47</v>
      </c>
      <c r="P1714" s="4">
        <f>--AND(OR(Dashboard!$A$10="All",C1714=Dashboard!$A$10),OR(Dashboard!$A$14="All",F1714=Dashboard!$A$14),OR(Dashboard!$A$18="All",G1714=Dashboard!$A$18),OR(Dashboard!$A$22="All",I1714=Dashboard!$A$22))</f>
        <v>1</v>
      </c>
    </row>
    <row r="1715" spans="1:16" ht="15.75" customHeight="1">
      <c r="A1715" s="4" t="s">
        <v>1921</v>
      </c>
      <c r="B1715" s="6">
        <v>45585</v>
      </c>
      <c r="C1715" s="4">
        <v>2024</v>
      </c>
      <c r="D1715" s="4">
        <v>10</v>
      </c>
      <c r="E1715" s="4" t="s">
        <v>120</v>
      </c>
      <c r="F1715" s="4" t="s">
        <v>8</v>
      </c>
      <c r="G1715" s="4" t="s">
        <v>12</v>
      </c>
      <c r="H1715" s="4" t="s">
        <v>86</v>
      </c>
      <c r="I1715" s="4" t="s">
        <v>10</v>
      </c>
      <c r="J1715" s="4" t="s">
        <v>195</v>
      </c>
      <c r="K1715" s="4">
        <v>2</v>
      </c>
      <c r="L1715" s="5">
        <v>277.83</v>
      </c>
      <c r="M1715" s="5">
        <v>555.66</v>
      </c>
      <c r="N1715" s="5">
        <v>326.66000000000003</v>
      </c>
      <c r="O1715" s="5">
        <v>229</v>
      </c>
      <c r="P1715" s="4">
        <f>--AND(OR(Dashboard!$A$10="All",C1715=Dashboard!$A$10),OR(Dashboard!$A$14="All",F1715=Dashboard!$A$14),OR(Dashboard!$A$18="All",G1715=Dashboard!$A$18),OR(Dashboard!$A$22="All",I1715=Dashboard!$A$22))</f>
        <v>1</v>
      </c>
    </row>
    <row r="1716" spans="1:16" ht="15.75" customHeight="1">
      <c r="A1716" s="4" t="s">
        <v>1922</v>
      </c>
      <c r="B1716" s="6">
        <v>45792</v>
      </c>
      <c r="C1716" s="4">
        <v>2025</v>
      </c>
      <c r="D1716" s="4">
        <v>5</v>
      </c>
      <c r="E1716" s="4" t="s">
        <v>108</v>
      </c>
      <c r="F1716" s="4" t="s">
        <v>5</v>
      </c>
      <c r="G1716" s="4" t="s">
        <v>9</v>
      </c>
      <c r="H1716" s="4" t="s">
        <v>35</v>
      </c>
      <c r="I1716" s="4" t="s">
        <v>10</v>
      </c>
      <c r="J1716" s="4" t="s">
        <v>170</v>
      </c>
      <c r="K1716" s="4">
        <v>2</v>
      </c>
      <c r="L1716" s="5">
        <v>48.16</v>
      </c>
      <c r="M1716" s="5">
        <v>96.32</v>
      </c>
      <c r="N1716" s="5">
        <v>49.73</v>
      </c>
      <c r="O1716" s="5">
        <v>46.59</v>
      </c>
      <c r="P1716" s="4">
        <f>--AND(OR(Dashboard!$A$10="All",C1716=Dashboard!$A$10),OR(Dashboard!$A$14="All",F1716=Dashboard!$A$14),OR(Dashboard!$A$18="All",G1716=Dashboard!$A$18),OR(Dashboard!$A$22="All",I1716=Dashboard!$A$22))</f>
        <v>1</v>
      </c>
    </row>
    <row r="1717" spans="1:16" ht="15.75" customHeight="1">
      <c r="A1717" s="4" t="s">
        <v>1923</v>
      </c>
      <c r="B1717" s="6">
        <v>45478</v>
      </c>
      <c r="C1717" s="4">
        <v>2024</v>
      </c>
      <c r="D1717" s="4">
        <v>7</v>
      </c>
      <c r="E1717" s="4" t="s">
        <v>63</v>
      </c>
      <c r="F1717" s="4" t="s">
        <v>5</v>
      </c>
      <c r="G1717" s="4" t="s">
        <v>9</v>
      </c>
      <c r="H1717" s="4" t="s">
        <v>142</v>
      </c>
      <c r="I1717" s="4" t="s">
        <v>10</v>
      </c>
      <c r="J1717" s="4" t="s">
        <v>37</v>
      </c>
      <c r="K1717" s="4">
        <v>2</v>
      </c>
      <c r="L1717" s="5">
        <v>44.77</v>
      </c>
      <c r="M1717" s="5">
        <v>89.54</v>
      </c>
      <c r="N1717" s="5">
        <v>45.52</v>
      </c>
      <c r="O1717" s="5">
        <v>44.02</v>
      </c>
      <c r="P1717" s="4">
        <f>--AND(OR(Dashboard!$A$10="All",C1717=Dashboard!$A$10),OR(Dashboard!$A$14="All",F1717=Dashboard!$A$14),OR(Dashboard!$A$18="All",G1717=Dashboard!$A$18),OR(Dashboard!$A$22="All",I1717=Dashboard!$A$22))</f>
        <v>1</v>
      </c>
    </row>
    <row r="1718" spans="1:16" ht="15.75" customHeight="1">
      <c r="A1718" s="4" t="s">
        <v>1924</v>
      </c>
      <c r="B1718" s="6">
        <v>45969</v>
      </c>
      <c r="C1718" s="4">
        <v>2025</v>
      </c>
      <c r="D1718" s="4">
        <v>11</v>
      </c>
      <c r="E1718" s="4" t="s">
        <v>89</v>
      </c>
      <c r="F1718" s="4" t="s">
        <v>5</v>
      </c>
      <c r="G1718" s="4" t="s">
        <v>12</v>
      </c>
      <c r="H1718" s="4" t="s">
        <v>58</v>
      </c>
      <c r="I1718" s="4" t="s">
        <v>7</v>
      </c>
      <c r="J1718" s="4" t="s">
        <v>37</v>
      </c>
      <c r="K1718" s="4">
        <v>1</v>
      </c>
      <c r="L1718" s="5">
        <v>264.98</v>
      </c>
      <c r="M1718" s="5">
        <v>264.98</v>
      </c>
      <c r="N1718" s="5">
        <v>156.35</v>
      </c>
      <c r="O1718" s="5">
        <v>108.63</v>
      </c>
      <c r="P1718" s="4">
        <f>--AND(OR(Dashboard!$A$10="All",C1718=Dashboard!$A$10),OR(Dashboard!$A$14="All",F1718=Dashboard!$A$14),OR(Dashboard!$A$18="All",G1718=Dashboard!$A$18),OR(Dashboard!$A$22="All",I1718=Dashboard!$A$22))</f>
        <v>1</v>
      </c>
    </row>
    <row r="1719" spans="1:16" ht="15.75" customHeight="1">
      <c r="A1719" s="4" t="s">
        <v>1925</v>
      </c>
      <c r="B1719" s="6">
        <v>45615</v>
      </c>
      <c r="C1719" s="4">
        <v>2024</v>
      </c>
      <c r="D1719" s="4">
        <v>11</v>
      </c>
      <c r="E1719" s="4" t="s">
        <v>89</v>
      </c>
      <c r="F1719" s="4" t="s">
        <v>5</v>
      </c>
      <c r="G1719" s="4" t="s">
        <v>12</v>
      </c>
      <c r="H1719" s="4" t="s">
        <v>127</v>
      </c>
      <c r="I1719" s="4" t="s">
        <v>10</v>
      </c>
      <c r="J1719" s="4" t="s">
        <v>460</v>
      </c>
      <c r="K1719" s="4">
        <v>3</v>
      </c>
      <c r="L1719" s="5">
        <v>278.02</v>
      </c>
      <c r="M1719" s="5">
        <v>834.06</v>
      </c>
      <c r="N1719" s="5">
        <v>476.15</v>
      </c>
      <c r="O1719" s="5">
        <v>357.91</v>
      </c>
      <c r="P1719" s="4">
        <f>--AND(OR(Dashboard!$A$10="All",C1719=Dashboard!$A$10),OR(Dashboard!$A$14="All",F1719=Dashboard!$A$14),OR(Dashboard!$A$18="All",G1719=Dashboard!$A$18),OR(Dashboard!$A$22="All",I1719=Dashboard!$A$22))</f>
        <v>1</v>
      </c>
    </row>
    <row r="1720" spans="1:16" ht="15.75" customHeight="1">
      <c r="A1720" s="4" t="s">
        <v>1926</v>
      </c>
      <c r="B1720" s="6">
        <v>45319</v>
      </c>
      <c r="C1720" s="4">
        <v>2024</v>
      </c>
      <c r="D1720" s="4">
        <v>1</v>
      </c>
      <c r="E1720" s="4" t="s">
        <v>30</v>
      </c>
      <c r="F1720" s="4" t="s">
        <v>8</v>
      </c>
      <c r="G1720" s="4" t="s">
        <v>9</v>
      </c>
      <c r="H1720" s="4" t="s">
        <v>71</v>
      </c>
      <c r="I1720" s="4" t="s">
        <v>10</v>
      </c>
      <c r="J1720" s="4" t="s">
        <v>235</v>
      </c>
      <c r="K1720" s="4">
        <v>4</v>
      </c>
      <c r="L1720" s="5">
        <v>31.55</v>
      </c>
      <c r="M1720" s="5">
        <v>126.2</v>
      </c>
      <c r="N1720" s="5">
        <v>64.67</v>
      </c>
      <c r="O1720" s="5">
        <v>61.53</v>
      </c>
      <c r="P1720" s="4">
        <f>--AND(OR(Dashboard!$A$10="All",C1720=Dashboard!$A$10),OR(Dashboard!$A$14="All",F1720=Dashboard!$A$14),OR(Dashboard!$A$18="All",G1720=Dashboard!$A$18),OR(Dashboard!$A$22="All",I1720=Dashboard!$A$22))</f>
        <v>1</v>
      </c>
    </row>
    <row r="1721" spans="1:16" ht="15.75" customHeight="1">
      <c r="A1721" s="4" t="s">
        <v>1927</v>
      </c>
      <c r="B1721" s="6">
        <v>45969</v>
      </c>
      <c r="C1721" s="4">
        <v>2025</v>
      </c>
      <c r="D1721" s="4">
        <v>11</v>
      </c>
      <c r="E1721" s="4" t="s">
        <v>89</v>
      </c>
      <c r="F1721" s="4" t="s">
        <v>11</v>
      </c>
      <c r="G1721" s="4" t="s">
        <v>9</v>
      </c>
      <c r="H1721" s="4" t="s">
        <v>35</v>
      </c>
      <c r="I1721" s="4" t="s">
        <v>7</v>
      </c>
      <c r="J1721" s="4" t="s">
        <v>528</v>
      </c>
      <c r="K1721" s="4">
        <v>2</v>
      </c>
      <c r="L1721" s="5">
        <v>47.71</v>
      </c>
      <c r="M1721" s="5">
        <v>95.42</v>
      </c>
      <c r="N1721" s="5">
        <v>49.02</v>
      </c>
      <c r="O1721" s="5">
        <v>46.4</v>
      </c>
      <c r="P1721" s="4">
        <f>--AND(OR(Dashboard!$A$10="All",C1721=Dashboard!$A$10),OR(Dashboard!$A$14="All",F1721=Dashboard!$A$14),OR(Dashboard!$A$18="All",G1721=Dashboard!$A$18),OR(Dashboard!$A$22="All",I1721=Dashboard!$A$22))</f>
        <v>1</v>
      </c>
    </row>
    <row r="1722" spans="1:16" ht="15.75" customHeight="1">
      <c r="A1722" s="4" t="s">
        <v>1928</v>
      </c>
      <c r="B1722" s="6">
        <v>46015</v>
      </c>
      <c r="C1722" s="4">
        <v>2025</v>
      </c>
      <c r="D1722" s="4">
        <v>12</v>
      </c>
      <c r="E1722" s="4" t="s">
        <v>57</v>
      </c>
      <c r="F1722" s="4" t="s">
        <v>5</v>
      </c>
      <c r="G1722" s="4" t="s">
        <v>6</v>
      </c>
      <c r="H1722" s="4" t="s">
        <v>136</v>
      </c>
      <c r="I1722" s="4" t="s">
        <v>10</v>
      </c>
      <c r="J1722" s="4" t="s">
        <v>270</v>
      </c>
      <c r="K1722" s="4">
        <v>5</v>
      </c>
      <c r="L1722" s="5">
        <v>118.58</v>
      </c>
      <c r="M1722" s="5">
        <v>592.9</v>
      </c>
      <c r="N1722" s="5">
        <v>386.01</v>
      </c>
      <c r="O1722" s="5">
        <v>206.89</v>
      </c>
      <c r="P1722" s="4">
        <f>--AND(OR(Dashboard!$A$10="All",C1722=Dashboard!$A$10),OR(Dashboard!$A$14="All",F1722=Dashboard!$A$14),OR(Dashboard!$A$18="All",G1722=Dashboard!$A$18),OR(Dashboard!$A$22="All",I1722=Dashboard!$A$22))</f>
        <v>1</v>
      </c>
    </row>
    <row r="1723" spans="1:16" ht="15.75" customHeight="1">
      <c r="A1723" s="4" t="s">
        <v>1929</v>
      </c>
      <c r="B1723" s="6">
        <v>45821</v>
      </c>
      <c r="C1723" s="4">
        <v>2025</v>
      </c>
      <c r="D1723" s="4">
        <v>6</v>
      </c>
      <c r="E1723" s="4" t="s">
        <v>34</v>
      </c>
      <c r="F1723" s="4" t="s">
        <v>5</v>
      </c>
      <c r="G1723" s="4" t="s">
        <v>6</v>
      </c>
      <c r="H1723" s="4" t="s">
        <v>98</v>
      </c>
      <c r="I1723" s="4" t="s">
        <v>7</v>
      </c>
      <c r="J1723" s="4" t="s">
        <v>177</v>
      </c>
      <c r="K1723" s="4">
        <v>10</v>
      </c>
      <c r="L1723" s="5">
        <v>193.47</v>
      </c>
      <c r="M1723" s="5">
        <v>1934.7</v>
      </c>
      <c r="N1723" s="5">
        <v>1238.43</v>
      </c>
      <c r="O1723" s="5">
        <v>696.27</v>
      </c>
      <c r="P1723" s="4">
        <f>--AND(OR(Dashboard!$A$10="All",C1723=Dashboard!$A$10),OR(Dashboard!$A$14="All",F1723=Dashboard!$A$14),OR(Dashboard!$A$18="All",G1723=Dashboard!$A$18),OR(Dashboard!$A$22="All",I1723=Dashboard!$A$22))</f>
        <v>1</v>
      </c>
    </row>
    <row r="1724" spans="1:16" ht="15.75" customHeight="1">
      <c r="A1724" s="4" t="s">
        <v>1930</v>
      </c>
      <c r="B1724" s="6">
        <v>45906</v>
      </c>
      <c r="C1724" s="4">
        <v>2025</v>
      </c>
      <c r="D1724" s="4">
        <v>9</v>
      </c>
      <c r="E1724" s="4" t="s">
        <v>79</v>
      </c>
      <c r="F1724" s="4" t="s">
        <v>5</v>
      </c>
      <c r="G1724" s="4" t="s">
        <v>12</v>
      </c>
      <c r="H1724" s="4" t="s">
        <v>86</v>
      </c>
      <c r="I1724" s="4" t="s">
        <v>7</v>
      </c>
      <c r="J1724" s="4" t="s">
        <v>131</v>
      </c>
      <c r="K1724" s="4">
        <v>2</v>
      </c>
      <c r="L1724" s="5">
        <v>320.20999999999998</v>
      </c>
      <c r="M1724" s="5">
        <v>640.41999999999996</v>
      </c>
      <c r="N1724" s="5">
        <v>377.34</v>
      </c>
      <c r="O1724" s="5">
        <v>263.08</v>
      </c>
      <c r="P1724" s="4">
        <f>--AND(OR(Dashboard!$A$10="All",C1724=Dashboard!$A$10),OR(Dashboard!$A$14="All",F1724=Dashboard!$A$14),OR(Dashboard!$A$18="All",G1724=Dashboard!$A$18),OR(Dashboard!$A$22="All",I1724=Dashboard!$A$22))</f>
        <v>1</v>
      </c>
    </row>
    <row r="1725" spans="1:16" ht="15.75" customHeight="1">
      <c r="A1725" s="4" t="s">
        <v>1931</v>
      </c>
      <c r="B1725" s="6">
        <v>45496</v>
      </c>
      <c r="C1725" s="4">
        <v>2024</v>
      </c>
      <c r="D1725" s="4">
        <v>7</v>
      </c>
      <c r="E1725" s="4" t="s">
        <v>63</v>
      </c>
      <c r="F1725" s="4" t="s">
        <v>5</v>
      </c>
      <c r="G1725" s="4" t="s">
        <v>6</v>
      </c>
      <c r="H1725" s="4" t="s">
        <v>98</v>
      </c>
      <c r="I1725" s="4" t="s">
        <v>7</v>
      </c>
      <c r="J1725" s="4" t="s">
        <v>81</v>
      </c>
      <c r="K1725" s="4">
        <v>3</v>
      </c>
      <c r="L1725" s="5">
        <v>97.48</v>
      </c>
      <c r="M1725" s="5">
        <v>292.44</v>
      </c>
      <c r="N1725" s="5">
        <v>185.26</v>
      </c>
      <c r="O1725" s="5">
        <v>107.18</v>
      </c>
      <c r="P1725" s="4">
        <f>--AND(OR(Dashboard!$A$10="All",C1725=Dashboard!$A$10),OR(Dashboard!$A$14="All",F1725=Dashboard!$A$14),OR(Dashboard!$A$18="All",G1725=Dashboard!$A$18),OR(Dashboard!$A$22="All",I1725=Dashboard!$A$22))</f>
        <v>1</v>
      </c>
    </row>
    <row r="1726" spans="1:16" ht="15.75" customHeight="1">
      <c r="A1726" s="4" t="s">
        <v>1932</v>
      </c>
      <c r="B1726" s="6">
        <v>45670</v>
      </c>
      <c r="C1726" s="4">
        <v>2025</v>
      </c>
      <c r="D1726" s="4">
        <v>1</v>
      </c>
      <c r="E1726" s="4" t="s">
        <v>30</v>
      </c>
      <c r="F1726" s="4" t="s">
        <v>8</v>
      </c>
      <c r="G1726" s="4" t="s">
        <v>6</v>
      </c>
      <c r="H1726" s="4" t="s">
        <v>114</v>
      </c>
      <c r="I1726" s="4" t="s">
        <v>10</v>
      </c>
      <c r="J1726" s="4" t="s">
        <v>111</v>
      </c>
      <c r="K1726" s="4">
        <v>2</v>
      </c>
      <c r="L1726" s="5">
        <v>166.75</v>
      </c>
      <c r="M1726" s="5">
        <v>333.5</v>
      </c>
      <c r="N1726" s="5">
        <v>223.69</v>
      </c>
      <c r="O1726" s="5">
        <v>109.81</v>
      </c>
      <c r="P1726" s="4">
        <f>--AND(OR(Dashboard!$A$10="All",C1726=Dashboard!$A$10),OR(Dashboard!$A$14="All",F1726=Dashboard!$A$14),OR(Dashboard!$A$18="All",G1726=Dashboard!$A$18),OR(Dashboard!$A$22="All",I1726=Dashboard!$A$22))</f>
        <v>1</v>
      </c>
    </row>
    <row r="1727" spans="1:16" ht="15.75" customHeight="1">
      <c r="A1727" s="4" t="s">
        <v>1933</v>
      </c>
      <c r="B1727" s="6">
        <v>45301</v>
      </c>
      <c r="C1727" s="4">
        <v>2024</v>
      </c>
      <c r="D1727" s="4">
        <v>1</v>
      </c>
      <c r="E1727" s="4" t="s">
        <v>30</v>
      </c>
      <c r="F1727" s="4" t="s">
        <v>8</v>
      </c>
      <c r="G1727" s="4" t="s">
        <v>6</v>
      </c>
      <c r="H1727" s="4" t="s">
        <v>98</v>
      </c>
      <c r="I1727" s="4" t="s">
        <v>7</v>
      </c>
      <c r="J1727" s="4" t="s">
        <v>59</v>
      </c>
      <c r="K1727" s="4">
        <v>5</v>
      </c>
      <c r="L1727" s="5">
        <v>213.7</v>
      </c>
      <c r="M1727" s="5">
        <v>1068.5</v>
      </c>
      <c r="N1727" s="5">
        <v>717</v>
      </c>
      <c r="O1727" s="5">
        <v>351.5</v>
      </c>
      <c r="P1727" s="4">
        <f>--AND(OR(Dashboard!$A$10="All",C1727=Dashboard!$A$10),OR(Dashboard!$A$14="All",F1727=Dashboard!$A$14),OR(Dashboard!$A$18="All",G1727=Dashboard!$A$18),OR(Dashboard!$A$22="All",I1727=Dashboard!$A$22))</f>
        <v>1</v>
      </c>
    </row>
    <row r="1728" spans="1:16" ht="15.75" customHeight="1">
      <c r="A1728" s="4" t="s">
        <v>1934</v>
      </c>
      <c r="B1728" s="6">
        <v>45364</v>
      </c>
      <c r="C1728" s="4">
        <v>2024</v>
      </c>
      <c r="D1728" s="4">
        <v>3</v>
      </c>
      <c r="E1728" s="4" t="s">
        <v>100</v>
      </c>
      <c r="F1728" s="4" t="s">
        <v>8</v>
      </c>
      <c r="G1728" s="4" t="s">
        <v>9</v>
      </c>
      <c r="H1728" s="4" t="s">
        <v>35</v>
      </c>
      <c r="I1728" s="4" t="s">
        <v>7</v>
      </c>
      <c r="J1728" s="4" t="s">
        <v>115</v>
      </c>
      <c r="K1728" s="4">
        <v>1</v>
      </c>
      <c r="L1728" s="5">
        <v>53.36</v>
      </c>
      <c r="M1728" s="5">
        <v>53.36</v>
      </c>
      <c r="N1728" s="5">
        <v>26.03</v>
      </c>
      <c r="O1728" s="5">
        <v>27.33</v>
      </c>
      <c r="P1728" s="4">
        <f>--AND(OR(Dashboard!$A$10="All",C1728=Dashboard!$A$10),OR(Dashboard!$A$14="All",F1728=Dashboard!$A$14),OR(Dashboard!$A$18="All",G1728=Dashboard!$A$18),OR(Dashboard!$A$22="All",I1728=Dashboard!$A$22))</f>
        <v>1</v>
      </c>
    </row>
    <row r="1729" spans="1:16" ht="15.75" customHeight="1">
      <c r="A1729" s="4" t="s">
        <v>1935</v>
      </c>
      <c r="B1729" s="6">
        <v>45808</v>
      </c>
      <c r="C1729" s="4">
        <v>2025</v>
      </c>
      <c r="D1729" s="4">
        <v>5</v>
      </c>
      <c r="E1729" s="4" t="s">
        <v>108</v>
      </c>
      <c r="F1729" s="4" t="s">
        <v>5</v>
      </c>
      <c r="G1729" s="4" t="s">
        <v>6</v>
      </c>
      <c r="H1729" s="4" t="s">
        <v>136</v>
      </c>
      <c r="I1729" s="4" t="s">
        <v>7</v>
      </c>
      <c r="J1729" s="4" t="s">
        <v>184</v>
      </c>
      <c r="K1729" s="4">
        <v>2</v>
      </c>
      <c r="L1729" s="5">
        <v>196.51</v>
      </c>
      <c r="M1729" s="5">
        <v>393.02</v>
      </c>
      <c r="N1729" s="5">
        <v>263.06</v>
      </c>
      <c r="O1729" s="5">
        <v>129.96</v>
      </c>
      <c r="P1729" s="4">
        <f>--AND(OR(Dashboard!$A$10="All",C1729=Dashboard!$A$10),OR(Dashboard!$A$14="All",F1729=Dashboard!$A$14),OR(Dashboard!$A$18="All",G1729=Dashboard!$A$18),OR(Dashboard!$A$22="All",I1729=Dashboard!$A$22))</f>
        <v>1</v>
      </c>
    </row>
    <row r="1730" spans="1:16" ht="15.75" customHeight="1">
      <c r="A1730" s="4" t="s">
        <v>1936</v>
      </c>
      <c r="B1730" s="6">
        <v>45410</v>
      </c>
      <c r="C1730" s="4">
        <v>2024</v>
      </c>
      <c r="D1730" s="4">
        <v>4</v>
      </c>
      <c r="E1730" s="4" t="s">
        <v>106</v>
      </c>
      <c r="F1730" s="4" t="s">
        <v>5</v>
      </c>
      <c r="G1730" s="4" t="s">
        <v>6</v>
      </c>
      <c r="H1730" s="4" t="s">
        <v>136</v>
      </c>
      <c r="I1730" s="4" t="s">
        <v>7</v>
      </c>
      <c r="J1730" s="4" t="s">
        <v>121</v>
      </c>
      <c r="K1730" s="4">
        <v>3</v>
      </c>
      <c r="L1730" s="5">
        <v>136.62</v>
      </c>
      <c r="M1730" s="5">
        <v>409.86</v>
      </c>
      <c r="N1730" s="5">
        <v>267.3</v>
      </c>
      <c r="O1730" s="5">
        <v>142.56</v>
      </c>
      <c r="P1730" s="4">
        <f>--AND(OR(Dashboard!$A$10="All",C1730=Dashboard!$A$10),OR(Dashboard!$A$14="All",F1730=Dashboard!$A$14),OR(Dashboard!$A$18="All",G1730=Dashboard!$A$18),OR(Dashboard!$A$22="All",I1730=Dashboard!$A$22))</f>
        <v>1</v>
      </c>
    </row>
    <row r="1731" spans="1:16" ht="15.75" customHeight="1">
      <c r="A1731" s="4" t="s">
        <v>1937</v>
      </c>
      <c r="B1731" s="6">
        <v>45911</v>
      </c>
      <c r="C1731" s="4">
        <v>2025</v>
      </c>
      <c r="D1731" s="4">
        <v>9</v>
      </c>
      <c r="E1731" s="4" t="s">
        <v>79</v>
      </c>
      <c r="F1731" s="4" t="s">
        <v>8</v>
      </c>
      <c r="G1731" s="4" t="s">
        <v>9</v>
      </c>
      <c r="H1731" s="4" t="s">
        <v>142</v>
      </c>
      <c r="I1731" s="4" t="s">
        <v>10</v>
      </c>
      <c r="J1731" s="4" t="s">
        <v>373</v>
      </c>
      <c r="K1731" s="4">
        <v>2</v>
      </c>
      <c r="L1731" s="5">
        <v>42.71</v>
      </c>
      <c r="M1731" s="5">
        <v>85.42</v>
      </c>
      <c r="N1731" s="5">
        <v>40.94</v>
      </c>
      <c r="O1731" s="5">
        <v>44.48</v>
      </c>
      <c r="P1731" s="4">
        <f>--AND(OR(Dashboard!$A$10="All",C1731=Dashboard!$A$10),OR(Dashboard!$A$14="All",F1731=Dashboard!$A$14),OR(Dashboard!$A$18="All",G1731=Dashboard!$A$18),OR(Dashboard!$A$22="All",I1731=Dashboard!$A$22))</f>
        <v>1</v>
      </c>
    </row>
    <row r="1732" spans="1:16" ht="15.75" customHeight="1">
      <c r="A1732" s="4" t="s">
        <v>1938</v>
      </c>
      <c r="B1732" s="6">
        <v>45744</v>
      </c>
      <c r="C1732" s="4">
        <v>2025</v>
      </c>
      <c r="D1732" s="4">
        <v>3</v>
      </c>
      <c r="E1732" s="4" t="s">
        <v>100</v>
      </c>
      <c r="F1732" s="4" t="s">
        <v>8</v>
      </c>
      <c r="G1732" s="4" t="s">
        <v>6</v>
      </c>
      <c r="H1732" s="4" t="s">
        <v>54</v>
      </c>
      <c r="I1732" s="4" t="s">
        <v>7</v>
      </c>
      <c r="J1732" s="4" t="s">
        <v>146</v>
      </c>
      <c r="K1732" s="4">
        <v>1</v>
      </c>
      <c r="L1732" s="5">
        <v>208.39</v>
      </c>
      <c r="M1732" s="5">
        <v>208.39</v>
      </c>
      <c r="N1732" s="5">
        <v>138.72999999999999</v>
      </c>
      <c r="O1732" s="5">
        <v>69.66</v>
      </c>
      <c r="P1732" s="4">
        <f>--AND(OR(Dashboard!$A$10="All",C1732=Dashboard!$A$10),OR(Dashboard!$A$14="All",F1732=Dashboard!$A$14),OR(Dashboard!$A$18="All",G1732=Dashboard!$A$18),OR(Dashboard!$A$22="All",I1732=Dashboard!$A$22))</f>
        <v>1</v>
      </c>
    </row>
    <row r="1733" spans="1:16" ht="15.75" customHeight="1">
      <c r="A1733" s="4" t="s">
        <v>1939</v>
      </c>
      <c r="B1733" s="6">
        <v>45348</v>
      </c>
      <c r="C1733" s="4">
        <v>2024</v>
      </c>
      <c r="D1733" s="4">
        <v>2</v>
      </c>
      <c r="E1733" s="4" t="s">
        <v>70</v>
      </c>
      <c r="F1733" s="4" t="s">
        <v>5</v>
      </c>
      <c r="G1733" s="4" t="s">
        <v>9</v>
      </c>
      <c r="H1733" s="4" t="s">
        <v>64</v>
      </c>
      <c r="I1733" s="4" t="s">
        <v>7</v>
      </c>
      <c r="J1733" s="4" t="s">
        <v>417</v>
      </c>
      <c r="K1733" s="4">
        <v>1</v>
      </c>
      <c r="L1733" s="5">
        <v>32.94</v>
      </c>
      <c r="M1733" s="5">
        <v>32.94</v>
      </c>
      <c r="N1733" s="5">
        <v>17.23</v>
      </c>
      <c r="O1733" s="5">
        <v>15.71</v>
      </c>
      <c r="P1733" s="4">
        <f>--AND(OR(Dashboard!$A$10="All",C1733=Dashboard!$A$10),OR(Dashboard!$A$14="All",F1733=Dashboard!$A$14),OR(Dashboard!$A$18="All",G1733=Dashboard!$A$18),OR(Dashboard!$A$22="All",I1733=Dashboard!$A$22))</f>
        <v>1</v>
      </c>
    </row>
    <row r="1734" spans="1:16" ht="15.75" customHeight="1">
      <c r="A1734" s="4" t="s">
        <v>1940</v>
      </c>
      <c r="B1734" s="6">
        <v>45506</v>
      </c>
      <c r="C1734" s="4">
        <v>2024</v>
      </c>
      <c r="D1734" s="4">
        <v>8</v>
      </c>
      <c r="E1734" s="4" t="s">
        <v>67</v>
      </c>
      <c r="F1734" s="4" t="s">
        <v>8</v>
      </c>
      <c r="G1734" s="4" t="s">
        <v>6</v>
      </c>
      <c r="H1734" s="4" t="s">
        <v>80</v>
      </c>
      <c r="I1734" s="4" t="s">
        <v>10</v>
      </c>
      <c r="J1734" s="4" t="s">
        <v>255</v>
      </c>
      <c r="K1734" s="4">
        <v>1</v>
      </c>
      <c r="L1734" s="5">
        <v>207.98</v>
      </c>
      <c r="M1734" s="5">
        <v>207.98</v>
      </c>
      <c r="N1734" s="5">
        <v>137.47</v>
      </c>
      <c r="O1734" s="5">
        <v>70.510000000000005</v>
      </c>
      <c r="P1734" s="4">
        <f>--AND(OR(Dashboard!$A$10="All",C1734=Dashboard!$A$10),OR(Dashboard!$A$14="All",F1734=Dashboard!$A$14),OR(Dashboard!$A$18="All",G1734=Dashboard!$A$18),OR(Dashboard!$A$22="All",I1734=Dashboard!$A$22))</f>
        <v>1</v>
      </c>
    </row>
    <row r="1735" spans="1:16" ht="15.75" customHeight="1">
      <c r="A1735" s="4" t="s">
        <v>1941</v>
      </c>
      <c r="B1735" s="6">
        <v>45770</v>
      </c>
      <c r="C1735" s="4">
        <v>2025</v>
      </c>
      <c r="D1735" s="4">
        <v>4</v>
      </c>
      <c r="E1735" s="4" t="s">
        <v>106</v>
      </c>
      <c r="F1735" s="4" t="s">
        <v>5</v>
      </c>
      <c r="G1735" s="4" t="s">
        <v>9</v>
      </c>
      <c r="H1735" s="4" t="s">
        <v>110</v>
      </c>
      <c r="I1735" s="4" t="s">
        <v>10</v>
      </c>
      <c r="J1735" s="4" t="s">
        <v>381</v>
      </c>
      <c r="K1735" s="4">
        <v>2</v>
      </c>
      <c r="L1735" s="5">
        <v>66.55</v>
      </c>
      <c r="M1735" s="5">
        <v>133.1</v>
      </c>
      <c r="N1735" s="5">
        <v>68.87</v>
      </c>
      <c r="O1735" s="5">
        <v>64.23</v>
      </c>
      <c r="P1735" s="4">
        <f>--AND(OR(Dashboard!$A$10="All",C1735=Dashboard!$A$10),OR(Dashboard!$A$14="All",F1735=Dashboard!$A$14),OR(Dashboard!$A$18="All",G1735=Dashboard!$A$18),OR(Dashboard!$A$22="All",I1735=Dashboard!$A$22))</f>
        <v>1</v>
      </c>
    </row>
    <row r="1736" spans="1:16" ht="15.75" customHeight="1">
      <c r="A1736" s="4" t="s">
        <v>1942</v>
      </c>
      <c r="B1736" s="6">
        <v>45781</v>
      </c>
      <c r="C1736" s="4">
        <v>2025</v>
      </c>
      <c r="D1736" s="4">
        <v>5</v>
      </c>
      <c r="E1736" s="4" t="s">
        <v>108</v>
      </c>
      <c r="F1736" s="4" t="s">
        <v>5</v>
      </c>
      <c r="G1736" s="4" t="s">
        <v>12</v>
      </c>
      <c r="H1736" s="4" t="s">
        <v>92</v>
      </c>
      <c r="I1736" s="4" t="s">
        <v>7</v>
      </c>
      <c r="J1736" s="4" t="s">
        <v>326</v>
      </c>
      <c r="K1736" s="4">
        <v>1</v>
      </c>
      <c r="L1736" s="5">
        <v>118.18</v>
      </c>
      <c r="M1736" s="5">
        <v>118.18</v>
      </c>
      <c r="N1736" s="5">
        <v>69.75</v>
      </c>
      <c r="O1736" s="5">
        <v>48.43</v>
      </c>
      <c r="P1736" s="4">
        <f>--AND(OR(Dashboard!$A$10="All",C1736=Dashboard!$A$10),OR(Dashboard!$A$14="All",F1736=Dashboard!$A$14),OR(Dashboard!$A$18="All",G1736=Dashboard!$A$18),OR(Dashboard!$A$22="All",I1736=Dashboard!$A$22))</f>
        <v>1</v>
      </c>
    </row>
    <row r="1737" spans="1:16" ht="15.75" customHeight="1">
      <c r="A1737" s="4" t="s">
        <v>1943</v>
      </c>
      <c r="B1737" s="6">
        <v>45356</v>
      </c>
      <c r="C1737" s="4">
        <v>2024</v>
      </c>
      <c r="D1737" s="4">
        <v>3</v>
      </c>
      <c r="E1737" s="4" t="s">
        <v>100</v>
      </c>
      <c r="F1737" s="4" t="s">
        <v>5</v>
      </c>
      <c r="G1737" s="4" t="s">
        <v>9</v>
      </c>
      <c r="H1737" s="4" t="s">
        <v>64</v>
      </c>
      <c r="I1737" s="4" t="s">
        <v>7</v>
      </c>
      <c r="J1737" s="4" t="s">
        <v>285</v>
      </c>
      <c r="K1737" s="4">
        <v>1</v>
      </c>
      <c r="L1737" s="5">
        <v>36.06</v>
      </c>
      <c r="M1737" s="5">
        <v>36.06</v>
      </c>
      <c r="N1737" s="5">
        <v>17.27</v>
      </c>
      <c r="O1737" s="5">
        <v>18.79</v>
      </c>
      <c r="P1737" s="4">
        <f>--AND(OR(Dashboard!$A$10="All",C1737=Dashboard!$A$10),OR(Dashboard!$A$14="All",F1737=Dashboard!$A$14),OR(Dashboard!$A$18="All",G1737=Dashboard!$A$18),OR(Dashboard!$A$22="All",I1737=Dashboard!$A$22))</f>
        <v>1</v>
      </c>
    </row>
    <row r="1738" spans="1:16" ht="15.75" customHeight="1">
      <c r="A1738" s="4" t="s">
        <v>1944</v>
      </c>
      <c r="B1738" s="6">
        <v>45952</v>
      </c>
      <c r="C1738" s="4">
        <v>2025</v>
      </c>
      <c r="D1738" s="4">
        <v>10</v>
      </c>
      <c r="E1738" s="4" t="s">
        <v>120</v>
      </c>
      <c r="F1738" s="4" t="s">
        <v>5</v>
      </c>
      <c r="G1738" s="4" t="s">
        <v>6</v>
      </c>
      <c r="H1738" s="4" t="s">
        <v>114</v>
      </c>
      <c r="I1738" s="4" t="s">
        <v>7</v>
      </c>
      <c r="J1738" s="4" t="s">
        <v>249</v>
      </c>
      <c r="K1738" s="4">
        <v>5</v>
      </c>
      <c r="L1738" s="5">
        <v>202.38</v>
      </c>
      <c r="M1738" s="5">
        <v>1011.9</v>
      </c>
      <c r="N1738" s="5">
        <v>683.59</v>
      </c>
      <c r="O1738" s="5">
        <v>328.31</v>
      </c>
      <c r="P1738" s="4">
        <f>--AND(OR(Dashboard!$A$10="All",C1738=Dashboard!$A$10),OR(Dashboard!$A$14="All",F1738=Dashboard!$A$14),OR(Dashboard!$A$18="All",G1738=Dashboard!$A$18),OR(Dashboard!$A$22="All",I1738=Dashboard!$A$22))</f>
        <v>1</v>
      </c>
    </row>
    <row r="1739" spans="1:16" ht="15.75" customHeight="1">
      <c r="A1739" s="4" t="s">
        <v>1945</v>
      </c>
      <c r="B1739" s="6">
        <v>45519</v>
      </c>
      <c r="C1739" s="4">
        <v>2024</v>
      </c>
      <c r="D1739" s="4">
        <v>8</v>
      </c>
      <c r="E1739" s="4" t="s">
        <v>67</v>
      </c>
      <c r="F1739" s="4" t="s">
        <v>8</v>
      </c>
      <c r="G1739" s="4" t="s">
        <v>6</v>
      </c>
      <c r="H1739" s="4" t="s">
        <v>98</v>
      </c>
      <c r="I1739" s="4" t="s">
        <v>7</v>
      </c>
      <c r="J1739" s="4" t="s">
        <v>68</v>
      </c>
      <c r="K1739" s="4">
        <v>1</v>
      </c>
      <c r="L1739" s="5">
        <v>126.43</v>
      </c>
      <c r="M1739" s="5">
        <v>126.43</v>
      </c>
      <c r="N1739" s="5">
        <v>80.12</v>
      </c>
      <c r="O1739" s="5">
        <v>46.31</v>
      </c>
      <c r="P1739" s="4">
        <f>--AND(OR(Dashboard!$A$10="All",C1739=Dashboard!$A$10),OR(Dashboard!$A$14="All",F1739=Dashboard!$A$14),OR(Dashboard!$A$18="All",G1739=Dashboard!$A$18),OR(Dashboard!$A$22="All",I1739=Dashboard!$A$22))</f>
        <v>1</v>
      </c>
    </row>
    <row r="1740" spans="1:16" ht="15.75" customHeight="1">
      <c r="A1740" s="4" t="s">
        <v>1946</v>
      </c>
      <c r="B1740" s="6">
        <v>45480</v>
      </c>
      <c r="C1740" s="4">
        <v>2024</v>
      </c>
      <c r="D1740" s="4">
        <v>7</v>
      </c>
      <c r="E1740" s="4" t="s">
        <v>63</v>
      </c>
      <c r="F1740" s="4" t="s">
        <v>5</v>
      </c>
      <c r="G1740" s="4" t="s">
        <v>6</v>
      </c>
      <c r="H1740" s="4" t="s">
        <v>114</v>
      </c>
      <c r="I1740" s="4" t="s">
        <v>7</v>
      </c>
      <c r="J1740" s="4" t="s">
        <v>68</v>
      </c>
      <c r="K1740" s="4">
        <v>2</v>
      </c>
      <c r="L1740" s="5">
        <v>146.38999999999999</v>
      </c>
      <c r="M1740" s="5">
        <v>292.77999999999997</v>
      </c>
      <c r="N1740" s="5">
        <v>189.19</v>
      </c>
      <c r="O1740" s="5">
        <v>103.59</v>
      </c>
      <c r="P1740" s="4">
        <f>--AND(OR(Dashboard!$A$10="All",C1740=Dashboard!$A$10),OR(Dashboard!$A$14="All",F1740=Dashboard!$A$14),OR(Dashboard!$A$18="All",G1740=Dashboard!$A$18),OR(Dashboard!$A$22="All",I1740=Dashboard!$A$22))</f>
        <v>1</v>
      </c>
    </row>
    <row r="1741" spans="1:16" ht="15.75" customHeight="1">
      <c r="A1741" s="4" t="s">
        <v>1947</v>
      </c>
      <c r="B1741" s="6">
        <v>45585</v>
      </c>
      <c r="C1741" s="4">
        <v>2024</v>
      </c>
      <c r="D1741" s="4">
        <v>10</v>
      </c>
      <c r="E1741" s="4" t="s">
        <v>120</v>
      </c>
      <c r="F1741" s="4" t="s">
        <v>5</v>
      </c>
      <c r="G1741" s="4" t="s">
        <v>6</v>
      </c>
      <c r="H1741" s="4" t="s">
        <v>80</v>
      </c>
      <c r="I1741" s="4" t="s">
        <v>13</v>
      </c>
      <c r="J1741" s="4" t="s">
        <v>393</v>
      </c>
      <c r="K1741" s="4">
        <v>3</v>
      </c>
      <c r="L1741" s="5">
        <v>92.6</v>
      </c>
      <c r="M1741" s="5">
        <v>277.8</v>
      </c>
      <c r="N1741" s="5">
        <v>184.97</v>
      </c>
      <c r="O1741" s="5">
        <v>92.83</v>
      </c>
      <c r="P1741" s="4">
        <f>--AND(OR(Dashboard!$A$10="All",C1741=Dashboard!$A$10),OR(Dashboard!$A$14="All",F1741=Dashboard!$A$14),OR(Dashboard!$A$18="All",G1741=Dashboard!$A$18),OR(Dashboard!$A$22="All",I1741=Dashboard!$A$22))</f>
        <v>1</v>
      </c>
    </row>
    <row r="1742" spans="1:16" ht="15.75" customHeight="1">
      <c r="A1742" s="4" t="s">
        <v>1948</v>
      </c>
      <c r="B1742" s="6">
        <v>45415</v>
      </c>
      <c r="C1742" s="4">
        <v>2024</v>
      </c>
      <c r="D1742" s="4">
        <v>5</v>
      </c>
      <c r="E1742" s="4" t="s">
        <v>108</v>
      </c>
      <c r="F1742" s="4" t="s">
        <v>5</v>
      </c>
      <c r="G1742" s="4" t="s">
        <v>6</v>
      </c>
      <c r="H1742" s="4" t="s">
        <v>80</v>
      </c>
      <c r="I1742" s="4" t="s">
        <v>10</v>
      </c>
      <c r="J1742" s="4" t="s">
        <v>270</v>
      </c>
      <c r="K1742" s="4">
        <v>4</v>
      </c>
      <c r="L1742" s="5">
        <v>132.59</v>
      </c>
      <c r="M1742" s="5">
        <v>530.36</v>
      </c>
      <c r="N1742" s="5">
        <v>340.58</v>
      </c>
      <c r="O1742" s="5">
        <v>189.78</v>
      </c>
      <c r="P1742" s="4">
        <f>--AND(OR(Dashboard!$A$10="All",C1742=Dashboard!$A$10),OR(Dashboard!$A$14="All",F1742=Dashboard!$A$14),OR(Dashboard!$A$18="All",G1742=Dashboard!$A$18),OR(Dashboard!$A$22="All",I1742=Dashboard!$A$22))</f>
        <v>1</v>
      </c>
    </row>
    <row r="1743" spans="1:16" ht="15.75" customHeight="1">
      <c r="A1743" s="4" t="s">
        <v>1949</v>
      </c>
      <c r="B1743" s="6">
        <v>45789</v>
      </c>
      <c r="C1743" s="4">
        <v>2025</v>
      </c>
      <c r="D1743" s="4">
        <v>5</v>
      </c>
      <c r="E1743" s="4" t="s">
        <v>108</v>
      </c>
      <c r="F1743" s="4" t="s">
        <v>8</v>
      </c>
      <c r="G1743" s="4" t="s">
        <v>6</v>
      </c>
      <c r="H1743" s="4" t="s">
        <v>114</v>
      </c>
      <c r="I1743" s="4" t="s">
        <v>10</v>
      </c>
      <c r="J1743" s="4" t="s">
        <v>240</v>
      </c>
      <c r="K1743" s="4">
        <v>4</v>
      </c>
      <c r="L1743" s="5">
        <v>166.06</v>
      </c>
      <c r="M1743" s="5">
        <v>664.24</v>
      </c>
      <c r="N1743" s="5">
        <v>427.71</v>
      </c>
      <c r="O1743" s="5">
        <v>236.53</v>
      </c>
      <c r="P1743" s="4">
        <f>--AND(OR(Dashboard!$A$10="All",C1743=Dashboard!$A$10),OR(Dashboard!$A$14="All",F1743=Dashboard!$A$14),OR(Dashboard!$A$18="All",G1743=Dashboard!$A$18),OR(Dashboard!$A$22="All",I1743=Dashboard!$A$22))</f>
        <v>1</v>
      </c>
    </row>
    <row r="1744" spans="1:16" ht="15.75" customHeight="1">
      <c r="A1744" s="4" t="s">
        <v>1950</v>
      </c>
      <c r="B1744" s="6">
        <v>45787</v>
      </c>
      <c r="C1744" s="4">
        <v>2025</v>
      </c>
      <c r="D1744" s="4">
        <v>5</v>
      </c>
      <c r="E1744" s="4" t="s">
        <v>108</v>
      </c>
      <c r="F1744" s="4" t="s">
        <v>5</v>
      </c>
      <c r="G1744" s="4" t="s">
        <v>9</v>
      </c>
      <c r="H1744" s="4" t="s">
        <v>110</v>
      </c>
      <c r="I1744" s="4" t="s">
        <v>13</v>
      </c>
      <c r="J1744" s="4" t="s">
        <v>280</v>
      </c>
      <c r="K1744" s="4">
        <v>8</v>
      </c>
      <c r="L1744" s="5">
        <v>46.18</v>
      </c>
      <c r="M1744" s="5">
        <v>369.44</v>
      </c>
      <c r="N1744" s="5">
        <v>182.91</v>
      </c>
      <c r="O1744" s="5">
        <v>186.53</v>
      </c>
      <c r="P1744" s="4">
        <f>--AND(OR(Dashboard!$A$10="All",C1744=Dashboard!$A$10),OR(Dashboard!$A$14="All",F1744=Dashboard!$A$14),OR(Dashboard!$A$18="All",G1744=Dashboard!$A$18),OR(Dashboard!$A$22="All",I1744=Dashboard!$A$22))</f>
        <v>1</v>
      </c>
    </row>
    <row r="1745" spans="1:16" ht="15.75" customHeight="1">
      <c r="A1745" s="4" t="s">
        <v>1951</v>
      </c>
      <c r="B1745" s="6">
        <v>45767</v>
      </c>
      <c r="C1745" s="4">
        <v>2025</v>
      </c>
      <c r="D1745" s="4">
        <v>4</v>
      </c>
      <c r="E1745" s="4" t="s">
        <v>106</v>
      </c>
      <c r="F1745" s="4" t="s">
        <v>5</v>
      </c>
      <c r="G1745" s="4" t="s">
        <v>12</v>
      </c>
      <c r="H1745" s="4" t="s">
        <v>92</v>
      </c>
      <c r="I1745" s="4" t="s">
        <v>10</v>
      </c>
      <c r="J1745" s="4" t="s">
        <v>247</v>
      </c>
      <c r="K1745" s="4">
        <v>4</v>
      </c>
      <c r="L1745" s="5">
        <v>153.6</v>
      </c>
      <c r="M1745" s="5">
        <v>614.4</v>
      </c>
      <c r="N1745" s="5">
        <v>358.65</v>
      </c>
      <c r="O1745" s="5">
        <v>255.75</v>
      </c>
      <c r="P1745" s="4">
        <f>--AND(OR(Dashboard!$A$10="All",C1745=Dashboard!$A$10),OR(Dashboard!$A$14="All",F1745=Dashboard!$A$14),OR(Dashboard!$A$18="All",G1745=Dashboard!$A$18),OR(Dashboard!$A$22="All",I1745=Dashboard!$A$22))</f>
        <v>1</v>
      </c>
    </row>
    <row r="1746" spans="1:16" ht="15.75" customHeight="1">
      <c r="A1746" s="4" t="s">
        <v>1952</v>
      </c>
      <c r="B1746" s="6">
        <v>45789</v>
      </c>
      <c r="C1746" s="4">
        <v>2025</v>
      </c>
      <c r="D1746" s="4">
        <v>5</v>
      </c>
      <c r="E1746" s="4" t="s">
        <v>108</v>
      </c>
      <c r="F1746" s="4" t="s">
        <v>5</v>
      </c>
      <c r="G1746" s="4" t="s">
        <v>9</v>
      </c>
      <c r="H1746" s="4" t="s">
        <v>142</v>
      </c>
      <c r="I1746" s="4" t="s">
        <v>7</v>
      </c>
      <c r="J1746" s="4" t="s">
        <v>191</v>
      </c>
      <c r="K1746" s="4">
        <v>4</v>
      </c>
      <c r="L1746" s="5">
        <v>49.92</v>
      </c>
      <c r="M1746" s="5">
        <v>199.68</v>
      </c>
      <c r="N1746" s="5">
        <v>95.5</v>
      </c>
      <c r="O1746" s="5">
        <v>104.18</v>
      </c>
      <c r="P1746" s="4">
        <f>--AND(OR(Dashboard!$A$10="All",C1746=Dashboard!$A$10),OR(Dashboard!$A$14="All",F1746=Dashboard!$A$14),OR(Dashboard!$A$18="All",G1746=Dashboard!$A$18),OR(Dashboard!$A$22="All",I1746=Dashboard!$A$22))</f>
        <v>1</v>
      </c>
    </row>
    <row r="1747" spans="1:16" ht="15.75" customHeight="1">
      <c r="A1747" s="4" t="s">
        <v>1953</v>
      </c>
      <c r="B1747" s="6">
        <v>45489</v>
      </c>
      <c r="C1747" s="4">
        <v>2024</v>
      </c>
      <c r="D1747" s="4">
        <v>7</v>
      </c>
      <c r="E1747" s="4" t="s">
        <v>63</v>
      </c>
      <c r="F1747" s="4" t="s">
        <v>8</v>
      </c>
      <c r="G1747" s="4" t="s">
        <v>9</v>
      </c>
      <c r="H1747" s="4" t="s">
        <v>110</v>
      </c>
      <c r="I1747" s="4" t="s">
        <v>7</v>
      </c>
      <c r="J1747" s="4" t="s">
        <v>218</v>
      </c>
      <c r="K1747" s="4">
        <v>2</v>
      </c>
      <c r="L1747" s="5">
        <v>61.86</v>
      </c>
      <c r="M1747" s="5">
        <v>123.72</v>
      </c>
      <c r="N1747" s="5">
        <v>60.28</v>
      </c>
      <c r="O1747" s="5">
        <v>63.44</v>
      </c>
      <c r="P1747" s="4">
        <f>--AND(OR(Dashboard!$A$10="All",C1747=Dashboard!$A$10),OR(Dashboard!$A$14="All",F1747=Dashboard!$A$14),OR(Dashboard!$A$18="All",G1747=Dashboard!$A$18),OR(Dashboard!$A$22="All",I1747=Dashboard!$A$22))</f>
        <v>1</v>
      </c>
    </row>
    <row r="1748" spans="1:16" ht="15.75" customHeight="1">
      <c r="A1748" s="4" t="s">
        <v>1954</v>
      </c>
      <c r="B1748" s="6">
        <v>45494</v>
      </c>
      <c r="C1748" s="4">
        <v>2024</v>
      </c>
      <c r="D1748" s="4">
        <v>7</v>
      </c>
      <c r="E1748" s="4" t="s">
        <v>63</v>
      </c>
      <c r="F1748" s="4" t="s">
        <v>5</v>
      </c>
      <c r="G1748" s="4" t="s">
        <v>6</v>
      </c>
      <c r="H1748" s="4" t="s">
        <v>136</v>
      </c>
      <c r="I1748" s="4" t="s">
        <v>7</v>
      </c>
      <c r="J1748" s="4" t="s">
        <v>381</v>
      </c>
      <c r="K1748" s="4">
        <v>4</v>
      </c>
      <c r="L1748" s="5">
        <v>211.46</v>
      </c>
      <c r="M1748" s="5">
        <v>845.84</v>
      </c>
      <c r="N1748" s="5">
        <v>583.16999999999996</v>
      </c>
      <c r="O1748" s="5">
        <v>262.67</v>
      </c>
      <c r="P1748" s="4">
        <f>--AND(OR(Dashboard!$A$10="All",C1748=Dashboard!$A$10),OR(Dashboard!$A$14="All",F1748=Dashboard!$A$14),OR(Dashboard!$A$18="All",G1748=Dashboard!$A$18),OR(Dashboard!$A$22="All",I1748=Dashboard!$A$22))</f>
        <v>1</v>
      </c>
    </row>
    <row r="1749" spans="1:16" ht="15.75" customHeight="1">
      <c r="A1749" s="4" t="s">
        <v>1955</v>
      </c>
      <c r="B1749" s="6">
        <v>45306</v>
      </c>
      <c r="C1749" s="4">
        <v>2024</v>
      </c>
      <c r="D1749" s="4">
        <v>1</v>
      </c>
      <c r="E1749" s="4" t="s">
        <v>30</v>
      </c>
      <c r="F1749" s="4" t="s">
        <v>8</v>
      </c>
      <c r="G1749" s="4" t="s">
        <v>12</v>
      </c>
      <c r="H1749" s="4" t="s">
        <v>92</v>
      </c>
      <c r="I1749" s="4" t="s">
        <v>10</v>
      </c>
      <c r="J1749" s="4" t="s">
        <v>59</v>
      </c>
      <c r="K1749" s="4">
        <v>4</v>
      </c>
      <c r="L1749" s="5">
        <v>197.02</v>
      </c>
      <c r="M1749" s="5">
        <v>788.08</v>
      </c>
      <c r="N1749" s="5">
        <v>464.45</v>
      </c>
      <c r="O1749" s="5">
        <v>323.63</v>
      </c>
      <c r="P1749" s="4">
        <f>--AND(OR(Dashboard!$A$10="All",C1749=Dashboard!$A$10),OR(Dashboard!$A$14="All",F1749=Dashboard!$A$14),OR(Dashboard!$A$18="All",G1749=Dashboard!$A$18),OR(Dashboard!$A$22="All",I1749=Dashboard!$A$22))</f>
        <v>1</v>
      </c>
    </row>
    <row r="1750" spans="1:16" ht="15.75" customHeight="1">
      <c r="A1750" s="4" t="s">
        <v>1956</v>
      </c>
      <c r="B1750" s="6">
        <v>45869</v>
      </c>
      <c r="C1750" s="4">
        <v>2025</v>
      </c>
      <c r="D1750" s="4">
        <v>7</v>
      </c>
      <c r="E1750" s="4" t="s">
        <v>63</v>
      </c>
      <c r="F1750" s="4" t="s">
        <v>8</v>
      </c>
      <c r="G1750" s="4" t="s">
        <v>6</v>
      </c>
      <c r="H1750" s="4" t="s">
        <v>114</v>
      </c>
      <c r="I1750" s="4" t="s">
        <v>13</v>
      </c>
      <c r="J1750" s="4" t="s">
        <v>360</v>
      </c>
      <c r="K1750" s="4">
        <v>8</v>
      </c>
      <c r="L1750" s="5">
        <v>195.4</v>
      </c>
      <c r="M1750" s="5">
        <v>1563.2</v>
      </c>
      <c r="N1750" s="5">
        <v>1025.04</v>
      </c>
      <c r="O1750" s="5">
        <v>538.16</v>
      </c>
      <c r="P1750" s="4">
        <f>--AND(OR(Dashboard!$A$10="All",C1750=Dashboard!$A$10),OR(Dashboard!$A$14="All",F1750=Dashboard!$A$14),OR(Dashboard!$A$18="All",G1750=Dashboard!$A$18),OR(Dashboard!$A$22="All",I1750=Dashboard!$A$22))</f>
        <v>1</v>
      </c>
    </row>
    <row r="1751" spans="1:16" ht="15.75" customHeight="1">
      <c r="A1751" s="4" t="s">
        <v>1957</v>
      </c>
      <c r="B1751" s="6">
        <v>45602</v>
      </c>
      <c r="C1751" s="4">
        <v>2024</v>
      </c>
      <c r="D1751" s="4">
        <v>11</v>
      </c>
      <c r="E1751" s="4" t="s">
        <v>89</v>
      </c>
      <c r="F1751" s="4" t="s">
        <v>8</v>
      </c>
      <c r="G1751" s="4" t="s">
        <v>12</v>
      </c>
      <c r="H1751" s="4" t="s">
        <v>58</v>
      </c>
      <c r="I1751" s="4" t="s">
        <v>13</v>
      </c>
      <c r="J1751" s="4" t="s">
        <v>455</v>
      </c>
      <c r="K1751" s="4">
        <v>1</v>
      </c>
      <c r="L1751" s="5">
        <v>167.7</v>
      </c>
      <c r="M1751" s="5">
        <v>167.7</v>
      </c>
      <c r="N1751" s="5">
        <v>100.38</v>
      </c>
      <c r="O1751" s="5">
        <v>67.319999999999993</v>
      </c>
      <c r="P1751" s="4">
        <f>--AND(OR(Dashboard!$A$10="All",C1751=Dashboard!$A$10),OR(Dashboard!$A$14="All",F1751=Dashboard!$A$14),OR(Dashboard!$A$18="All",G1751=Dashboard!$A$18),OR(Dashboard!$A$22="All",I1751=Dashboard!$A$22))</f>
        <v>1</v>
      </c>
    </row>
    <row r="1752" spans="1:16" ht="15.75" customHeight="1">
      <c r="A1752" s="4" t="s">
        <v>1958</v>
      </c>
      <c r="B1752" s="6">
        <v>45683</v>
      </c>
      <c r="C1752" s="4">
        <v>2025</v>
      </c>
      <c r="D1752" s="4">
        <v>1</v>
      </c>
      <c r="E1752" s="4" t="s">
        <v>30</v>
      </c>
      <c r="F1752" s="4" t="s">
        <v>14</v>
      </c>
      <c r="G1752" s="4" t="s">
        <v>9</v>
      </c>
      <c r="H1752" s="4" t="s">
        <v>35</v>
      </c>
      <c r="I1752" s="4" t="s">
        <v>7</v>
      </c>
      <c r="J1752" s="4" t="s">
        <v>346</v>
      </c>
      <c r="K1752" s="4">
        <v>6</v>
      </c>
      <c r="L1752" s="5">
        <v>59.27</v>
      </c>
      <c r="M1752" s="5">
        <v>355.62</v>
      </c>
      <c r="N1752" s="5">
        <v>174.02</v>
      </c>
      <c r="O1752" s="5">
        <v>181.6</v>
      </c>
      <c r="P1752" s="4">
        <f>--AND(OR(Dashboard!$A$10="All",C1752=Dashboard!$A$10),OR(Dashboard!$A$14="All",F1752=Dashboard!$A$14),OR(Dashboard!$A$18="All",G1752=Dashboard!$A$18),OR(Dashboard!$A$22="All",I1752=Dashboard!$A$22))</f>
        <v>1</v>
      </c>
    </row>
    <row r="1753" spans="1:16" ht="15.75" customHeight="1">
      <c r="A1753" s="4" t="s">
        <v>1959</v>
      </c>
      <c r="B1753" s="6">
        <v>45775</v>
      </c>
      <c r="C1753" s="4">
        <v>2025</v>
      </c>
      <c r="D1753" s="4">
        <v>4</v>
      </c>
      <c r="E1753" s="4" t="s">
        <v>106</v>
      </c>
      <c r="F1753" s="4" t="s">
        <v>8</v>
      </c>
      <c r="G1753" s="4" t="s">
        <v>9</v>
      </c>
      <c r="H1753" s="4" t="s">
        <v>110</v>
      </c>
      <c r="I1753" s="4" t="s">
        <v>7</v>
      </c>
      <c r="J1753" s="4" t="s">
        <v>159</v>
      </c>
      <c r="K1753" s="4">
        <v>2</v>
      </c>
      <c r="L1753" s="5">
        <v>63.2</v>
      </c>
      <c r="M1753" s="5">
        <v>126.4</v>
      </c>
      <c r="N1753" s="5">
        <v>61.31</v>
      </c>
      <c r="O1753" s="5">
        <v>65.09</v>
      </c>
      <c r="P1753" s="4">
        <f>--AND(OR(Dashboard!$A$10="All",C1753=Dashboard!$A$10),OR(Dashboard!$A$14="All",F1753=Dashboard!$A$14),OR(Dashboard!$A$18="All",G1753=Dashboard!$A$18),OR(Dashboard!$A$22="All",I1753=Dashboard!$A$22))</f>
        <v>1</v>
      </c>
    </row>
    <row r="1754" spans="1:16" ht="15.75" customHeight="1">
      <c r="A1754" s="4" t="s">
        <v>1960</v>
      </c>
      <c r="B1754" s="6">
        <v>45975</v>
      </c>
      <c r="C1754" s="4">
        <v>2025</v>
      </c>
      <c r="D1754" s="4">
        <v>11</v>
      </c>
      <c r="E1754" s="4" t="s">
        <v>89</v>
      </c>
      <c r="F1754" s="4" t="s">
        <v>5</v>
      </c>
      <c r="G1754" s="4" t="s">
        <v>12</v>
      </c>
      <c r="H1754" s="4" t="s">
        <v>92</v>
      </c>
      <c r="I1754" s="4" t="s">
        <v>13</v>
      </c>
      <c r="J1754" s="4" t="s">
        <v>259</v>
      </c>
      <c r="K1754" s="4">
        <v>2</v>
      </c>
      <c r="L1754" s="5">
        <v>296.93</v>
      </c>
      <c r="M1754" s="5">
        <v>593.86</v>
      </c>
      <c r="N1754" s="5">
        <v>372.83</v>
      </c>
      <c r="O1754" s="5">
        <v>221.03</v>
      </c>
      <c r="P1754" s="4">
        <f>--AND(OR(Dashboard!$A$10="All",C1754=Dashboard!$A$10),OR(Dashboard!$A$14="All",F1754=Dashboard!$A$14),OR(Dashboard!$A$18="All",G1754=Dashboard!$A$18),OR(Dashboard!$A$22="All",I1754=Dashboard!$A$22))</f>
        <v>1</v>
      </c>
    </row>
    <row r="1755" spans="1:16" ht="15.75" customHeight="1">
      <c r="A1755" s="4" t="s">
        <v>1961</v>
      </c>
      <c r="B1755" s="6">
        <v>45597</v>
      </c>
      <c r="C1755" s="4">
        <v>2024</v>
      </c>
      <c r="D1755" s="4">
        <v>11</v>
      </c>
      <c r="E1755" s="4" t="s">
        <v>89</v>
      </c>
      <c r="F1755" s="4" t="s">
        <v>5</v>
      </c>
      <c r="G1755" s="4" t="s">
        <v>9</v>
      </c>
      <c r="H1755" s="4" t="s">
        <v>142</v>
      </c>
      <c r="I1755" s="4" t="s">
        <v>7</v>
      </c>
      <c r="J1755" s="4" t="s">
        <v>301</v>
      </c>
      <c r="K1755" s="4">
        <v>5</v>
      </c>
      <c r="L1755" s="5">
        <v>41.23</v>
      </c>
      <c r="M1755" s="5">
        <v>206.15</v>
      </c>
      <c r="N1755" s="5">
        <v>101.71</v>
      </c>
      <c r="O1755" s="5">
        <v>104.44</v>
      </c>
      <c r="P1755" s="4">
        <f>--AND(OR(Dashboard!$A$10="All",C1755=Dashboard!$A$10),OR(Dashboard!$A$14="All",F1755=Dashboard!$A$14),OR(Dashboard!$A$18="All",G1755=Dashboard!$A$18),OR(Dashboard!$A$22="All",I1755=Dashboard!$A$22))</f>
        <v>1</v>
      </c>
    </row>
    <row r="1756" spans="1:16" ht="15.75" customHeight="1">
      <c r="A1756" s="4" t="s">
        <v>1962</v>
      </c>
      <c r="B1756" s="6">
        <v>45953</v>
      </c>
      <c r="C1756" s="4">
        <v>2025</v>
      </c>
      <c r="D1756" s="4">
        <v>10</v>
      </c>
      <c r="E1756" s="4" t="s">
        <v>120</v>
      </c>
      <c r="F1756" s="4" t="s">
        <v>5</v>
      </c>
      <c r="G1756" s="4" t="s">
        <v>12</v>
      </c>
      <c r="H1756" s="4" t="s">
        <v>92</v>
      </c>
      <c r="I1756" s="4" t="s">
        <v>7</v>
      </c>
      <c r="J1756" s="4" t="s">
        <v>211</v>
      </c>
      <c r="K1756" s="4">
        <v>1</v>
      </c>
      <c r="L1756" s="5">
        <v>154.53</v>
      </c>
      <c r="M1756" s="5">
        <v>154.53</v>
      </c>
      <c r="N1756" s="5">
        <v>90.94</v>
      </c>
      <c r="O1756" s="5">
        <v>63.59</v>
      </c>
      <c r="P1756" s="4">
        <f>--AND(OR(Dashboard!$A$10="All",C1756=Dashboard!$A$10),OR(Dashboard!$A$14="All",F1756=Dashboard!$A$14),OR(Dashboard!$A$18="All",G1756=Dashboard!$A$18),OR(Dashboard!$A$22="All",I1756=Dashboard!$A$22))</f>
        <v>1</v>
      </c>
    </row>
    <row r="1757" spans="1:16" ht="15.75" customHeight="1">
      <c r="A1757" s="4" t="s">
        <v>1963</v>
      </c>
      <c r="B1757" s="6">
        <v>45927</v>
      </c>
      <c r="C1757" s="4">
        <v>2025</v>
      </c>
      <c r="D1757" s="4">
        <v>9</v>
      </c>
      <c r="E1757" s="4" t="s">
        <v>79</v>
      </c>
      <c r="F1757" s="4" t="s">
        <v>5</v>
      </c>
      <c r="G1757" s="4" t="s">
        <v>12</v>
      </c>
      <c r="H1757" s="4" t="s">
        <v>92</v>
      </c>
      <c r="I1757" s="4" t="s">
        <v>7</v>
      </c>
      <c r="J1757" s="4" t="s">
        <v>99</v>
      </c>
      <c r="K1757" s="4">
        <v>3</v>
      </c>
      <c r="L1757" s="5">
        <v>158.22999999999999</v>
      </c>
      <c r="M1757" s="5">
        <v>474.69</v>
      </c>
      <c r="N1757" s="5">
        <v>294.81</v>
      </c>
      <c r="O1757" s="5">
        <v>179.88</v>
      </c>
      <c r="P1757" s="4">
        <f>--AND(OR(Dashboard!$A$10="All",C1757=Dashboard!$A$10),OR(Dashboard!$A$14="All",F1757=Dashboard!$A$14),OR(Dashboard!$A$18="All",G1757=Dashboard!$A$18),OR(Dashboard!$A$22="All",I1757=Dashboard!$A$22))</f>
        <v>1</v>
      </c>
    </row>
    <row r="1758" spans="1:16" ht="15.75" customHeight="1">
      <c r="A1758" s="4" t="s">
        <v>1964</v>
      </c>
      <c r="B1758" s="6">
        <v>45968</v>
      </c>
      <c r="C1758" s="4">
        <v>2025</v>
      </c>
      <c r="D1758" s="4">
        <v>11</v>
      </c>
      <c r="E1758" s="4" t="s">
        <v>89</v>
      </c>
      <c r="F1758" s="4" t="s">
        <v>8</v>
      </c>
      <c r="G1758" s="4" t="s">
        <v>6</v>
      </c>
      <c r="H1758" s="4" t="s">
        <v>54</v>
      </c>
      <c r="I1758" s="4" t="s">
        <v>7</v>
      </c>
      <c r="J1758" s="4" t="s">
        <v>87</v>
      </c>
      <c r="K1758" s="4">
        <v>1</v>
      </c>
      <c r="L1758" s="5">
        <v>195.81</v>
      </c>
      <c r="M1758" s="5">
        <v>195.81</v>
      </c>
      <c r="N1758" s="5">
        <v>135.4</v>
      </c>
      <c r="O1758" s="5">
        <v>60.41</v>
      </c>
      <c r="P1758" s="4">
        <f>--AND(OR(Dashboard!$A$10="All",C1758=Dashboard!$A$10),OR(Dashboard!$A$14="All",F1758=Dashboard!$A$14),OR(Dashboard!$A$18="All",G1758=Dashboard!$A$18),OR(Dashboard!$A$22="All",I1758=Dashboard!$A$22))</f>
        <v>1</v>
      </c>
    </row>
    <row r="1759" spans="1:16" ht="15.75" customHeight="1">
      <c r="A1759" s="4" t="s">
        <v>1965</v>
      </c>
      <c r="B1759" s="6">
        <v>45546</v>
      </c>
      <c r="C1759" s="4">
        <v>2024</v>
      </c>
      <c r="D1759" s="4">
        <v>9</v>
      </c>
      <c r="E1759" s="4" t="s">
        <v>79</v>
      </c>
      <c r="F1759" s="4" t="s">
        <v>5</v>
      </c>
      <c r="G1759" s="4" t="s">
        <v>9</v>
      </c>
      <c r="H1759" s="4" t="s">
        <v>64</v>
      </c>
      <c r="I1759" s="4" t="s">
        <v>13</v>
      </c>
      <c r="J1759" s="4" t="s">
        <v>202</v>
      </c>
      <c r="K1759" s="4">
        <v>1</v>
      </c>
      <c r="L1759" s="5">
        <v>40.950000000000003</v>
      </c>
      <c r="M1759" s="5">
        <v>40.950000000000003</v>
      </c>
      <c r="N1759" s="5">
        <v>20.64</v>
      </c>
      <c r="O1759" s="5">
        <v>20.309999999999999</v>
      </c>
      <c r="P1759" s="4">
        <f>--AND(OR(Dashboard!$A$10="All",C1759=Dashboard!$A$10),OR(Dashboard!$A$14="All",F1759=Dashboard!$A$14),OR(Dashboard!$A$18="All",G1759=Dashboard!$A$18),OR(Dashboard!$A$22="All",I1759=Dashboard!$A$22))</f>
        <v>1</v>
      </c>
    </row>
    <row r="1760" spans="1:16" ht="15.75" customHeight="1">
      <c r="A1760" s="4" t="s">
        <v>1966</v>
      </c>
      <c r="B1760" s="6">
        <v>45781</v>
      </c>
      <c r="C1760" s="4">
        <v>2025</v>
      </c>
      <c r="D1760" s="4">
        <v>5</v>
      </c>
      <c r="E1760" s="4" t="s">
        <v>108</v>
      </c>
      <c r="F1760" s="4" t="s">
        <v>11</v>
      </c>
      <c r="G1760" s="4" t="s">
        <v>6</v>
      </c>
      <c r="H1760" s="4" t="s">
        <v>98</v>
      </c>
      <c r="I1760" s="4" t="s">
        <v>7</v>
      </c>
      <c r="J1760" s="4" t="s">
        <v>249</v>
      </c>
      <c r="K1760" s="4">
        <v>4</v>
      </c>
      <c r="L1760" s="5">
        <v>156.91999999999999</v>
      </c>
      <c r="M1760" s="5">
        <v>627.67999999999995</v>
      </c>
      <c r="N1760" s="5">
        <v>393.92</v>
      </c>
      <c r="O1760" s="5">
        <v>233.76</v>
      </c>
      <c r="P1760" s="4">
        <f>--AND(OR(Dashboard!$A$10="All",C1760=Dashboard!$A$10),OR(Dashboard!$A$14="All",F1760=Dashboard!$A$14),OR(Dashboard!$A$18="All",G1760=Dashboard!$A$18),OR(Dashboard!$A$22="All",I1760=Dashboard!$A$22))</f>
        <v>1</v>
      </c>
    </row>
    <row r="1761" spans="1:16" ht="15.75" customHeight="1">
      <c r="A1761" s="4" t="s">
        <v>1967</v>
      </c>
      <c r="B1761" s="6">
        <v>45667</v>
      </c>
      <c r="C1761" s="4">
        <v>2025</v>
      </c>
      <c r="D1761" s="4">
        <v>1</v>
      </c>
      <c r="E1761" s="4" t="s">
        <v>30</v>
      </c>
      <c r="F1761" s="4" t="s">
        <v>5</v>
      </c>
      <c r="G1761" s="4" t="s">
        <v>9</v>
      </c>
      <c r="H1761" s="4" t="s">
        <v>142</v>
      </c>
      <c r="I1761" s="4" t="s">
        <v>7</v>
      </c>
      <c r="J1761" s="4" t="s">
        <v>420</v>
      </c>
      <c r="K1761" s="4">
        <v>1</v>
      </c>
      <c r="L1761" s="5">
        <v>33.21</v>
      </c>
      <c r="M1761" s="5">
        <v>33.21</v>
      </c>
      <c r="N1761" s="5">
        <v>16.010000000000002</v>
      </c>
      <c r="O1761" s="5">
        <v>17.2</v>
      </c>
      <c r="P1761" s="4">
        <f>--AND(OR(Dashboard!$A$10="All",C1761=Dashboard!$A$10),OR(Dashboard!$A$14="All",F1761=Dashboard!$A$14),OR(Dashboard!$A$18="All",G1761=Dashboard!$A$18),OR(Dashboard!$A$22="All",I1761=Dashboard!$A$22))</f>
        <v>1</v>
      </c>
    </row>
    <row r="1762" spans="1:16" ht="15.75" customHeight="1">
      <c r="A1762" s="4" t="s">
        <v>1968</v>
      </c>
      <c r="B1762" s="6">
        <v>45706</v>
      </c>
      <c r="C1762" s="4">
        <v>2025</v>
      </c>
      <c r="D1762" s="4">
        <v>2</v>
      </c>
      <c r="E1762" s="4" t="s">
        <v>70</v>
      </c>
      <c r="F1762" s="4" t="s">
        <v>11</v>
      </c>
      <c r="G1762" s="4" t="s">
        <v>6</v>
      </c>
      <c r="H1762" s="4" t="s">
        <v>54</v>
      </c>
      <c r="I1762" s="4" t="s">
        <v>7</v>
      </c>
      <c r="J1762" s="4" t="s">
        <v>311</v>
      </c>
      <c r="K1762" s="4">
        <v>1</v>
      </c>
      <c r="L1762" s="5">
        <v>222.31</v>
      </c>
      <c r="M1762" s="5">
        <v>222.31</v>
      </c>
      <c r="N1762" s="5">
        <v>147.13</v>
      </c>
      <c r="O1762" s="5">
        <v>75.180000000000007</v>
      </c>
      <c r="P1762" s="4">
        <f>--AND(OR(Dashboard!$A$10="All",C1762=Dashboard!$A$10),OR(Dashboard!$A$14="All",F1762=Dashboard!$A$14),OR(Dashboard!$A$18="All",G1762=Dashboard!$A$18),OR(Dashboard!$A$22="All",I1762=Dashboard!$A$22))</f>
        <v>1</v>
      </c>
    </row>
    <row r="1763" spans="1:16" ht="15.75" customHeight="1">
      <c r="A1763" s="4" t="s">
        <v>1969</v>
      </c>
      <c r="B1763" s="6">
        <v>45410</v>
      </c>
      <c r="C1763" s="4">
        <v>2024</v>
      </c>
      <c r="D1763" s="4">
        <v>4</v>
      </c>
      <c r="E1763" s="4" t="s">
        <v>106</v>
      </c>
      <c r="F1763" s="4" t="s">
        <v>5</v>
      </c>
      <c r="G1763" s="4" t="s">
        <v>12</v>
      </c>
      <c r="H1763" s="4" t="s">
        <v>86</v>
      </c>
      <c r="I1763" s="4" t="s">
        <v>10</v>
      </c>
      <c r="J1763" s="4" t="s">
        <v>276</v>
      </c>
      <c r="K1763" s="4">
        <v>2</v>
      </c>
      <c r="L1763" s="5">
        <v>172.77</v>
      </c>
      <c r="M1763" s="5">
        <v>345.54</v>
      </c>
      <c r="N1763" s="5">
        <v>201.81</v>
      </c>
      <c r="O1763" s="5">
        <v>143.72999999999999</v>
      </c>
      <c r="P1763" s="4">
        <f>--AND(OR(Dashboard!$A$10="All",C1763=Dashboard!$A$10),OR(Dashboard!$A$14="All",F1763=Dashboard!$A$14),OR(Dashboard!$A$18="All",G1763=Dashboard!$A$18),OR(Dashboard!$A$22="All",I1763=Dashboard!$A$22))</f>
        <v>1</v>
      </c>
    </row>
    <row r="1764" spans="1:16" ht="15.75" customHeight="1">
      <c r="A1764" s="4" t="s">
        <v>1970</v>
      </c>
      <c r="B1764" s="6">
        <v>45769</v>
      </c>
      <c r="C1764" s="4">
        <v>2025</v>
      </c>
      <c r="D1764" s="4">
        <v>4</v>
      </c>
      <c r="E1764" s="4" t="s">
        <v>106</v>
      </c>
      <c r="F1764" s="4" t="s">
        <v>11</v>
      </c>
      <c r="G1764" s="4" t="s">
        <v>12</v>
      </c>
      <c r="H1764" s="4" t="s">
        <v>124</v>
      </c>
      <c r="I1764" s="4" t="s">
        <v>7</v>
      </c>
      <c r="J1764" s="4" t="s">
        <v>144</v>
      </c>
      <c r="K1764" s="4">
        <v>1</v>
      </c>
      <c r="L1764" s="5">
        <v>173.59</v>
      </c>
      <c r="M1764" s="5">
        <v>173.59</v>
      </c>
      <c r="N1764" s="5">
        <v>104.59</v>
      </c>
      <c r="O1764" s="5">
        <v>69</v>
      </c>
      <c r="P1764" s="4">
        <f>--AND(OR(Dashboard!$A$10="All",C1764=Dashboard!$A$10),OR(Dashboard!$A$14="All",F1764=Dashboard!$A$14),OR(Dashboard!$A$18="All",G1764=Dashboard!$A$18),OR(Dashboard!$A$22="All",I1764=Dashboard!$A$22))</f>
        <v>1</v>
      </c>
    </row>
    <row r="1765" spans="1:16" ht="15.75" customHeight="1">
      <c r="A1765" s="4" t="s">
        <v>1971</v>
      </c>
      <c r="B1765" s="6">
        <v>45697</v>
      </c>
      <c r="C1765" s="4">
        <v>2025</v>
      </c>
      <c r="D1765" s="4">
        <v>2</v>
      </c>
      <c r="E1765" s="4" t="s">
        <v>70</v>
      </c>
      <c r="F1765" s="4" t="s">
        <v>8</v>
      </c>
      <c r="G1765" s="4" t="s">
        <v>9</v>
      </c>
      <c r="H1765" s="4" t="s">
        <v>35</v>
      </c>
      <c r="I1765" s="4" t="s">
        <v>7</v>
      </c>
      <c r="J1765" s="4" t="s">
        <v>259</v>
      </c>
      <c r="K1765" s="4">
        <v>1</v>
      </c>
      <c r="L1765" s="5">
        <v>25.45</v>
      </c>
      <c r="M1765" s="5">
        <v>25.45</v>
      </c>
      <c r="N1765" s="5">
        <v>12.88</v>
      </c>
      <c r="O1765" s="5">
        <v>12.57</v>
      </c>
      <c r="P1765" s="4">
        <f>--AND(OR(Dashboard!$A$10="All",C1765=Dashboard!$A$10),OR(Dashboard!$A$14="All",F1765=Dashboard!$A$14),OR(Dashboard!$A$18="All",G1765=Dashboard!$A$18),OR(Dashboard!$A$22="All",I1765=Dashboard!$A$22))</f>
        <v>1</v>
      </c>
    </row>
    <row r="1766" spans="1:16" ht="15.75" customHeight="1">
      <c r="A1766" s="4" t="s">
        <v>1972</v>
      </c>
      <c r="B1766" s="6">
        <v>45920</v>
      </c>
      <c r="C1766" s="4">
        <v>2025</v>
      </c>
      <c r="D1766" s="4">
        <v>9</v>
      </c>
      <c r="E1766" s="4" t="s">
        <v>79</v>
      </c>
      <c r="F1766" s="4" t="s">
        <v>11</v>
      </c>
      <c r="G1766" s="4" t="s">
        <v>6</v>
      </c>
      <c r="H1766" s="4" t="s">
        <v>136</v>
      </c>
      <c r="I1766" s="4" t="s">
        <v>7</v>
      </c>
      <c r="J1766" s="4" t="s">
        <v>276</v>
      </c>
      <c r="K1766" s="4">
        <v>4</v>
      </c>
      <c r="L1766" s="5">
        <v>115.1</v>
      </c>
      <c r="M1766" s="5">
        <v>460.4</v>
      </c>
      <c r="N1766" s="5">
        <v>307.64999999999998</v>
      </c>
      <c r="O1766" s="5">
        <v>152.75</v>
      </c>
      <c r="P1766" s="4">
        <f>--AND(OR(Dashboard!$A$10="All",C1766=Dashboard!$A$10),OR(Dashboard!$A$14="All",F1766=Dashboard!$A$14),OR(Dashboard!$A$18="All",G1766=Dashboard!$A$18),OR(Dashboard!$A$22="All",I1766=Dashboard!$A$22))</f>
        <v>1</v>
      </c>
    </row>
    <row r="1767" spans="1:16" ht="15.75" customHeight="1">
      <c r="A1767" s="4" t="s">
        <v>1973</v>
      </c>
      <c r="B1767" s="6">
        <v>45567</v>
      </c>
      <c r="C1767" s="4">
        <v>2024</v>
      </c>
      <c r="D1767" s="4">
        <v>10</v>
      </c>
      <c r="E1767" s="4" t="s">
        <v>120</v>
      </c>
      <c r="F1767" s="4" t="s">
        <v>5</v>
      </c>
      <c r="G1767" s="4" t="s">
        <v>9</v>
      </c>
      <c r="H1767" s="4" t="s">
        <v>71</v>
      </c>
      <c r="I1767" s="4" t="s">
        <v>7</v>
      </c>
      <c r="J1767" s="4" t="s">
        <v>532</v>
      </c>
      <c r="K1767" s="4">
        <v>3</v>
      </c>
      <c r="L1767" s="5">
        <v>43.96</v>
      </c>
      <c r="M1767" s="5">
        <v>131.88</v>
      </c>
      <c r="N1767" s="5">
        <v>63.63</v>
      </c>
      <c r="O1767" s="5">
        <v>68.25</v>
      </c>
      <c r="P1767" s="4">
        <f>--AND(OR(Dashboard!$A$10="All",C1767=Dashboard!$A$10),OR(Dashboard!$A$14="All",F1767=Dashboard!$A$14),OR(Dashboard!$A$18="All",G1767=Dashboard!$A$18),OR(Dashboard!$A$22="All",I1767=Dashboard!$A$22))</f>
        <v>1</v>
      </c>
    </row>
    <row r="1768" spans="1:16" ht="15.75" customHeight="1">
      <c r="A1768" s="4" t="s">
        <v>1974</v>
      </c>
      <c r="B1768" s="6">
        <v>45551</v>
      </c>
      <c r="C1768" s="4">
        <v>2024</v>
      </c>
      <c r="D1768" s="4">
        <v>9</v>
      </c>
      <c r="E1768" s="4" t="s">
        <v>79</v>
      </c>
      <c r="F1768" s="4" t="s">
        <v>14</v>
      </c>
      <c r="G1768" s="4" t="s">
        <v>9</v>
      </c>
      <c r="H1768" s="4" t="s">
        <v>64</v>
      </c>
      <c r="I1768" s="4" t="s">
        <v>10</v>
      </c>
      <c r="J1768" s="4" t="s">
        <v>72</v>
      </c>
      <c r="K1768" s="4">
        <v>1</v>
      </c>
      <c r="L1768" s="5">
        <v>32.43</v>
      </c>
      <c r="M1768" s="5">
        <v>32.43</v>
      </c>
      <c r="N1768" s="5">
        <v>15.85</v>
      </c>
      <c r="O1768" s="5">
        <v>16.579999999999998</v>
      </c>
      <c r="P1768" s="4">
        <f>--AND(OR(Dashboard!$A$10="All",C1768=Dashboard!$A$10),OR(Dashboard!$A$14="All",F1768=Dashboard!$A$14),OR(Dashboard!$A$18="All",G1768=Dashboard!$A$18),OR(Dashboard!$A$22="All",I1768=Dashboard!$A$22))</f>
        <v>1</v>
      </c>
    </row>
    <row r="1769" spans="1:16" ht="15.75" customHeight="1">
      <c r="A1769" s="4" t="s">
        <v>1975</v>
      </c>
      <c r="B1769" s="6">
        <v>45965</v>
      </c>
      <c r="C1769" s="4">
        <v>2025</v>
      </c>
      <c r="D1769" s="4">
        <v>11</v>
      </c>
      <c r="E1769" s="4" t="s">
        <v>89</v>
      </c>
      <c r="F1769" s="4" t="s">
        <v>5</v>
      </c>
      <c r="G1769" s="4" t="s">
        <v>12</v>
      </c>
      <c r="H1769" s="4" t="s">
        <v>124</v>
      </c>
      <c r="I1769" s="4" t="s">
        <v>7</v>
      </c>
      <c r="J1769" s="4" t="s">
        <v>193</v>
      </c>
      <c r="K1769" s="4">
        <v>1</v>
      </c>
      <c r="L1769" s="5">
        <v>189.51</v>
      </c>
      <c r="M1769" s="5">
        <v>189.51</v>
      </c>
      <c r="N1769" s="5">
        <v>109.69</v>
      </c>
      <c r="O1769" s="5">
        <v>79.819999999999993</v>
      </c>
      <c r="P1769" s="4">
        <f>--AND(OR(Dashboard!$A$10="All",C1769=Dashboard!$A$10),OR(Dashboard!$A$14="All",F1769=Dashboard!$A$14),OR(Dashboard!$A$18="All",G1769=Dashboard!$A$18),OR(Dashboard!$A$22="All",I1769=Dashboard!$A$22))</f>
        <v>1</v>
      </c>
    </row>
    <row r="1770" spans="1:16" ht="15.75" customHeight="1">
      <c r="A1770" s="4" t="s">
        <v>1976</v>
      </c>
      <c r="B1770" s="6">
        <v>45461</v>
      </c>
      <c r="C1770" s="4">
        <v>2024</v>
      </c>
      <c r="D1770" s="4">
        <v>6</v>
      </c>
      <c r="E1770" s="4" t="s">
        <v>34</v>
      </c>
      <c r="F1770" s="4" t="s">
        <v>8</v>
      </c>
      <c r="G1770" s="4" t="s">
        <v>6</v>
      </c>
      <c r="H1770" s="4" t="s">
        <v>80</v>
      </c>
      <c r="I1770" s="4" t="s">
        <v>7</v>
      </c>
      <c r="J1770" s="4" t="s">
        <v>240</v>
      </c>
      <c r="K1770" s="4">
        <v>1</v>
      </c>
      <c r="L1770" s="5">
        <v>127.07</v>
      </c>
      <c r="M1770" s="5">
        <v>127.07</v>
      </c>
      <c r="N1770" s="5">
        <v>85.49</v>
      </c>
      <c r="O1770" s="5">
        <v>41.58</v>
      </c>
      <c r="P1770" s="4">
        <f>--AND(OR(Dashboard!$A$10="All",C1770=Dashboard!$A$10),OR(Dashboard!$A$14="All",F1770=Dashboard!$A$14),OR(Dashboard!$A$18="All",G1770=Dashboard!$A$18),OR(Dashboard!$A$22="All",I1770=Dashboard!$A$22))</f>
        <v>1</v>
      </c>
    </row>
    <row r="1771" spans="1:16" ht="15.75" customHeight="1">
      <c r="A1771" s="4" t="s">
        <v>1977</v>
      </c>
      <c r="B1771" s="6">
        <v>45670</v>
      </c>
      <c r="C1771" s="4">
        <v>2025</v>
      </c>
      <c r="D1771" s="4">
        <v>1</v>
      </c>
      <c r="E1771" s="4" t="s">
        <v>30</v>
      </c>
      <c r="F1771" s="4" t="s">
        <v>14</v>
      </c>
      <c r="G1771" s="4" t="s">
        <v>6</v>
      </c>
      <c r="H1771" s="4" t="s">
        <v>80</v>
      </c>
      <c r="I1771" s="4" t="s">
        <v>7</v>
      </c>
      <c r="J1771" s="4" t="s">
        <v>292</v>
      </c>
      <c r="K1771" s="4">
        <v>3</v>
      </c>
      <c r="L1771" s="5">
        <v>105.44</v>
      </c>
      <c r="M1771" s="5">
        <v>316.32</v>
      </c>
      <c r="N1771" s="5">
        <v>211.06</v>
      </c>
      <c r="O1771" s="5">
        <v>105.26</v>
      </c>
      <c r="P1771" s="4">
        <f>--AND(OR(Dashboard!$A$10="All",C1771=Dashboard!$A$10),OR(Dashboard!$A$14="All",F1771=Dashboard!$A$14),OR(Dashboard!$A$18="All",G1771=Dashboard!$A$18),OR(Dashboard!$A$22="All",I1771=Dashboard!$A$22))</f>
        <v>1</v>
      </c>
    </row>
    <row r="1772" spans="1:16" ht="15.75" customHeight="1">
      <c r="A1772" s="4" t="s">
        <v>1978</v>
      </c>
      <c r="B1772" s="6">
        <v>45656</v>
      </c>
      <c r="C1772" s="4">
        <v>2024</v>
      </c>
      <c r="D1772" s="4">
        <v>12</v>
      </c>
      <c r="E1772" s="4" t="s">
        <v>57</v>
      </c>
      <c r="F1772" s="4" t="s">
        <v>11</v>
      </c>
      <c r="G1772" s="4" t="s">
        <v>9</v>
      </c>
      <c r="H1772" s="4" t="s">
        <v>71</v>
      </c>
      <c r="I1772" s="4" t="s">
        <v>10</v>
      </c>
      <c r="J1772" s="4" t="s">
        <v>131</v>
      </c>
      <c r="K1772" s="4">
        <v>2</v>
      </c>
      <c r="L1772" s="5">
        <v>41.91</v>
      </c>
      <c r="M1772" s="5">
        <v>83.82</v>
      </c>
      <c r="N1772" s="5">
        <v>43.61</v>
      </c>
      <c r="O1772" s="5">
        <v>40.21</v>
      </c>
      <c r="P1772" s="4">
        <f>--AND(OR(Dashboard!$A$10="All",C1772=Dashboard!$A$10),OR(Dashboard!$A$14="All",F1772=Dashboard!$A$14),OR(Dashboard!$A$18="All",G1772=Dashboard!$A$18),OR(Dashboard!$A$22="All",I1772=Dashboard!$A$22))</f>
        <v>1</v>
      </c>
    </row>
    <row r="1773" spans="1:16" ht="15.75" customHeight="1">
      <c r="A1773" s="4" t="s">
        <v>1979</v>
      </c>
      <c r="B1773" s="6">
        <v>45608</v>
      </c>
      <c r="C1773" s="4">
        <v>2024</v>
      </c>
      <c r="D1773" s="4">
        <v>11</v>
      </c>
      <c r="E1773" s="4" t="s">
        <v>89</v>
      </c>
      <c r="F1773" s="4" t="s">
        <v>5</v>
      </c>
      <c r="G1773" s="4" t="s">
        <v>9</v>
      </c>
      <c r="H1773" s="4" t="s">
        <v>64</v>
      </c>
      <c r="I1773" s="4" t="s">
        <v>10</v>
      </c>
      <c r="J1773" s="4" t="s">
        <v>128</v>
      </c>
      <c r="K1773" s="4">
        <v>4</v>
      </c>
      <c r="L1773" s="5">
        <v>38.200000000000003</v>
      </c>
      <c r="M1773" s="5">
        <v>152.80000000000001</v>
      </c>
      <c r="N1773" s="5">
        <v>79.099999999999994</v>
      </c>
      <c r="O1773" s="5">
        <v>73.7</v>
      </c>
      <c r="P1773" s="4">
        <f>--AND(OR(Dashboard!$A$10="All",C1773=Dashboard!$A$10),OR(Dashboard!$A$14="All",F1773=Dashboard!$A$14),OR(Dashboard!$A$18="All",G1773=Dashboard!$A$18),OR(Dashboard!$A$22="All",I1773=Dashboard!$A$22))</f>
        <v>1</v>
      </c>
    </row>
    <row r="1774" spans="1:16" ht="15.75" customHeight="1">
      <c r="A1774" s="4" t="s">
        <v>1980</v>
      </c>
      <c r="B1774" s="6">
        <v>45402</v>
      </c>
      <c r="C1774" s="4">
        <v>2024</v>
      </c>
      <c r="D1774" s="4">
        <v>4</v>
      </c>
      <c r="E1774" s="4" t="s">
        <v>106</v>
      </c>
      <c r="F1774" s="4" t="s">
        <v>5</v>
      </c>
      <c r="G1774" s="4" t="s">
        <v>12</v>
      </c>
      <c r="H1774" s="4" t="s">
        <v>92</v>
      </c>
      <c r="I1774" s="4" t="s">
        <v>7</v>
      </c>
      <c r="J1774" s="4" t="s">
        <v>402</v>
      </c>
      <c r="K1774" s="4">
        <v>3</v>
      </c>
      <c r="L1774" s="5">
        <v>316.38</v>
      </c>
      <c r="M1774" s="5">
        <v>949.14</v>
      </c>
      <c r="N1774" s="5">
        <v>563.97</v>
      </c>
      <c r="O1774" s="5">
        <v>385.17</v>
      </c>
      <c r="P1774" s="4">
        <f>--AND(OR(Dashboard!$A$10="All",C1774=Dashboard!$A$10),OR(Dashboard!$A$14="All",F1774=Dashboard!$A$14),OR(Dashboard!$A$18="All",G1774=Dashboard!$A$18),OR(Dashboard!$A$22="All",I1774=Dashboard!$A$22))</f>
        <v>1</v>
      </c>
    </row>
    <row r="1775" spans="1:16" ht="15.75" customHeight="1">
      <c r="A1775" s="4" t="s">
        <v>1981</v>
      </c>
      <c r="B1775" s="6">
        <v>45492</v>
      </c>
      <c r="C1775" s="4">
        <v>2024</v>
      </c>
      <c r="D1775" s="4">
        <v>7</v>
      </c>
      <c r="E1775" s="4" t="s">
        <v>63</v>
      </c>
      <c r="F1775" s="4" t="s">
        <v>8</v>
      </c>
      <c r="G1775" s="4" t="s">
        <v>6</v>
      </c>
      <c r="H1775" s="4" t="s">
        <v>98</v>
      </c>
      <c r="I1775" s="4" t="s">
        <v>10</v>
      </c>
      <c r="J1775" s="4" t="s">
        <v>336</v>
      </c>
      <c r="K1775" s="4">
        <v>3</v>
      </c>
      <c r="L1775" s="5">
        <v>85.55</v>
      </c>
      <c r="M1775" s="5">
        <v>256.64999999999998</v>
      </c>
      <c r="N1775" s="5">
        <v>164.71</v>
      </c>
      <c r="O1775" s="5">
        <v>91.94</v>
      </c>
      <c r="P1775" s="4">
        <f>--AND(OR(Dashboard!$A$10="All",C1775=Dashboard!$A$10),OR(Dashboard!$A$14="All",F1775=Dashboard!$A$14),OR(Dashboard!$A$18="All",G1775=Dashboard!$A$18),OR(Dashboard!$A$22="All",I1775=Dashboard!$A$22))</f>
        <v>1</v>
      </c>
    </row>
    <row r="1776" spans="1:16" ht="15.75" customHeight="1">
      <c r="A1776" s="4" t="s">
        <v>1982</v>
      </c>
      <c r="B1776" s="6">
        <v>45741</v>
      </c>
      <c r="C1776" s="4">
        <v>2025</v>
      </c>
      <c r="D1776" s="4">
        <v>3</v>
      </c>
      <c r="E1776" s="4" t="s">
        <v>100</v>
      </c>
      <c r="F1776" s="4" t="s">
        <v>8</v>
      </c>
      <c r="G1776" s="4" t="s">
        <v>9</v>
      </c>
      <c r="H1776" s="4" t="s">
        <v>64</v>
      </c>
      <c r="I1776" s="4" t="s">
        <v>7</v>
      </c>
      <c r="J1776" s="4" t="s">
        <v>348</v>
      </c>
      <c r="K1776" s="4">
        <v>1</v>
      </c>
      <c r="L1776" s="5">
        <v>33.68</v>
      </c>
      <c r="M1776" s="5">
        <v>33.68</v>
      </c>
      <c r="N1776" s="5">
        <v>17.28</v>
      </c>
      <c r="O1776" s="5">
        <v>16.399999999999999</v>
      </c>
      <c r="P1776" s="4">
        <f>--AND(OR(Dashboard!$A$10="All",C1776=Dashboard!$A$10),OR(Dashboard!$A$14="All",F1776=Dashboard!$A$14),OR(Dashboard!$A$18="All",G1776=Dashboard!$A$18),OR(Dashboard!$A$22="All",I1776=Dashboard!$A$22))</f>
        <v>1</v>
      </c>
    </row>
    <row r="1777" spans="1:16" ht="15.75" customHeight="1">
      <c r="A1777" s="4" t="s">
        <v>1983</v>
      </c>
      <c r="B1777" s="6">
        <v>45468</v>
      </c>
      <c r="C1777" s="4">
        <v>2024</v>
      </c>
      <c r="D1777" s="4">
        <v>6</v>
      </c>
      <c r="E1777" s="4" t="s">
        <v>34</v>
      </c>
      <c r="F1777" s="4" t="s">
        <v>8</v>
      </c>
      <c r="G1777" s="4" t="s">
        <v>9</v>
      </c>
      <c r="H1777" s="4" t="s">
        <v>110</v>
      </c>
      <c r="I1777" s="4" t="s">
        <v>7</v>
      </c>
      <c r="J1777" s="4" t="s">
        <v>81</v>
      </c>
      <c r="K1777" s="4">
        <v>5</v>
      </c>
      <c r="L1777" s="5">
        <v>44.86</v>
      </c>
      <c r="M1777" s="5">
        <v>224.3</v>
      </c>
      <c r="N1777" s="5">
        <v>117.18</v>
      </c>
      <c r="O1777" s="5">
        <v>107.12</v>
      </c>
      <c r="P1777" s="4">
        <f>--AND(OR(Dashboard!$A$10="All",C1777=Dashboard!$A$10),OR(Dashboard!$A$14="All",F1777=Dashboard!$A$14),OR(Dashboard!$A$18="All",G1777=Dashboard!$A$18),OR(Dashboard!$A$22="All",I1777=Dashboard!$A$22))</f>
        <v>1</v>
      </c>
    </row>
    <row r="1778" spans="1:16" ht="15.75" customHeight="1">
      <c r="A1778" s="4" t="s">
        <v>1984</v>
      </c>
      <c r="B1778" s="6">
        <v>45963</v>
      </c>
      <c r="C1778" s="4">
        <v>2025</v>
      </c>
      <c r="D1778" s="4">
        <v>11</v>
      </c>
      <c r="E1778" s="4" t="s">
        <v>89</v>
      </c>
      <c r="F1778" s="4" t="s">
        <v>5</v>
      </c>
      <c r="G1778" s="4" t="s">
        <v>12</v>
      </c>
      <c r="H1778" s="4" t="s">
        <v>86</v>
      </c>
      <c r="I1778" s="4" t="s">
        <v>7</v>
      </c>
      <c r="J1778" s="4" t="s">
        <v>528</v>
      </c>
      <c r="K1778" s="4">
        <v>6</v>
      </c>
      <c r="L1778" s="5">
        <v>327.97</v>
      </c>
      <c r="M1778" s="5">
        <v>1967.82</v>
      </c>
      <c r="N1778" s="5">
        <v>1187.69</v>
      </c>
      <c r="O1778" s="5">
        <v>780.13</v>
      </c>
      <c r="P1778" s="4">
        <f>--AND(OR(Dashboard!$A$10="All",C1778=Dashboard!$A$10),OR(Dashboard!$A$14="All",F1778=Dashboard!$A$14),OR(Dashboard!$A$18="All",G1778=Dashboard!$A$18),OR(Dashboard!$A$22="All",I1778=Dashboard!$A$22))</f>
        <v>1</v>
      </c>
    </row>
    <row r="1779" spans="1:16" ht="15.75" customHeight="1">
      <c r="A1779" s="4" t="s">
        <v>1985</v>
      </c>
      <c r="B1779" s="6">
        <v>45805</v>
      </c>
      <c r="C1779" s="4">
        <v>2025</v>
      </c>
      <c r="D1779" s="4">
        <v>5</v>
      </c>
      <c r="E1779" s="4" t="s">
        <v>108</v>
      </c>
      <c r="F1779" s="4" t="s">
        <v>8</v>
      </c>
      <c r="G1779" s="4" t="s">
        <v>12</v>
      </c>
      <c r="H1779" s="4" t="s">
        <v>127</v>
      </c>
      <c r="I1779" s="4" t="s">
        <v>7</v>
      </c>
      <c r="J1779" s="4" t="s">
        <v>166</v>
      </c>
      <c r="K1779" s="4">
        <v>7</v>
      </c>
      <c r="L1779" s="5">
        <v>168.51</v>
      </c>
      <c r="M1779" s="5">
        <v>1179.57</v>
      </c>
      <c r="N1779" s="5">
        <v>735.55</v>
      </c>
      <c r="O1779" s="5">
        <v>444.02</v>
      </c>
      <c r="P1779" s="4">
        <f>--AND(OR(Dashboard!$A$10="All",C1779=Dashboard!$A$10),OR(Dashboard!$A$14="All",F1779=Dashboard!$A$14),OR(Dashboard!$A$18="All",G1779=Dashboard!$A$18),OR(Dashboard!$A$22="All",I1779=Dashboard!$A$22))</f>
        <v>1</v>
      </c>
    </row>
    <row r="1780" spans="1:16" ht="15.75" customHeight="1">
      <c r="A1780" s="4" t="s">
        <v>1986</v>
      </c>
      <c r="B1780" s="6">
        <v>45385</v>
      </c>
      <c r="C1780" s="4">
        <v>2024</v>
      </c>
      <c r="D1780" s="4">
        <v>4</v>
      </c>
      <c r="E1780" s="4" t="s">
        <v>106</v>
      </c>
      <c r="F1780" s="4" t="s">
        <v>8</v>
      </c>
      <c r="G1780" s="4" t="s">
        <v>9</v>
      </c>
      <c r="H1780" s="4" t="s">
        <v>71</v>
      </c>
      <c r="I1780" s="4" t="s">
        <v>13</v>
      </c>
      <c r="J1780" s="4" t="s">
        <v>494</v>
      </c>
      <c r="K1780" s="4">
        <v>2</v>
      </c>
      <c r="L1780" s="5">
        <v>60.54</v>
      </c>
      <c r="M1780" s="5">
        <v>121.08</v>
      </c>
      <c r="N1780" s="5">
        <v>61.8</v>
      </c>
      <c r="O1780" s="5">
        <v>59.28</v>
      </c>
      <c r="P1780" s="4">
        <f>--AND(OR(Dashboard!$A$10="All",C1780=Dashboard!$A$10),OR(Dashboard!$A$14="All",F1780=Dashboard!$A$14),OR(Dashboard!$A$18="All",G1780=Dashboard!$A$18),OR(Dashboard!$A$22="All",I1780=Dashboard!$A$22))</f>
        <v>1</v>
      </c>
    </row>
    <row r="1781" spans="1:16" ht="15.75" customHeight="1">
      <c r="A1781" s="4" t="s">
        <v>1987</v>
      </c>
      <c r="B1781" s="6">
        <v>45315</v>
      </c>
      <c r="C1781" s="4">
        <v>2024</v>
      </c>
      <c r="D1781" s="4">
        <v>1</v>
      </c>
      <c r="E1781" s="4" t="s">
        <v>30</v>
      </c>
      <c r="F1781" s="4" t="s">
        <v>5</v>
      </c>
      <c r="G1781" s="4" t="s">
        <v>9</v>
      </c>
      <c r="H1781" s="4" t="s">
        <v>142</v>
      </c>
      <c r="I1781" s="4" t="s">
        <v>7</v>
      </c>
      <c r="J1781" s="4" t="s">
        <v>195</v>
      </c>
      <c r="K1781" s="4">
        <v>2</v>
      </c>
      <c r="L1781" s="5">
        <v>50.41</v>
      </c>
      <c r="M1781" s="5">
        <v>100.82</v>
      </c>
      <c r="N1781" s="5">
        <v>49.61</v>
      </c>
      <c r="O1781" s="5">
        <v>51.21</v>
      </c>
      <c r="P1781" s="4">
        <f>--AND(OR(Dashboard!$A$10="All",C1781=Dashboard!$A$10),OR(Dashboard!$A$14="All",F1781=Dashboard!$A$14),OR(Dashboard!$A$18="All",G1781=Dashboard!$A$18),OR(Dashboard!$A$22="All",I1781=Dashboard!$A$22))</f>
        <v>1</v>
      </c>
    </row>
    <row r="1782" spans="1:16" ht="15.75" customHeight="1">
      <c r="A1782" s="4" t="s">
        <v>1988</v>
      </c>
      <c r="B1782" s="6">
        <v>45842</v>
      </c>
      <c r="C1782" s="4">
        <v>2025</v>
      </c>
      <c r="D1782" s="4">
        <v>7</v>
      </c>
      <c r="E1782" s="4" t="s">
        <v>63</v>
      </c>
      <c r="F1782" s="4" t="s">
        <v>5</v>
      </c>
      <c r="G1782" s="4" t="s">
        <v>9</v>
      </c>
      <c r="H1782" s="4" t="s">
        <v>35</v>
      </c>
      <c r="I1782" s="4" t="s">
        <v>7</v>
      </c>
      <c r="J1782" s="4" t="s">
        <v>146</v>
      </c>
      <c r="K1782" s="4">
        <v>4</v>
      </c>
      <c r="L1782" s="5">
        <v>52.06</v>
      </c>
      <c r="M1782" s="5">
        <v>208.24</v>
      </c>
      <c r="N1782" s="5">
        <v>104.33</v>
      </c>
      <c r="O1782" s="5">
        <v>103.91</v>
      </c>
      <c r="P1782" s="4">
        <f>--AND(OR(Dashboard!$A$10="All",C1782=Dashboard!$A$10),OR(Dashboard!$A$14="All",F1782=Dashboard!$A$14),OR(Dashboard!$A$18="All",G1782=Dashboard!$A$18),OR(Dashboard!$A$22="All",I1782=Dashboard!$A$22))</f>
        <v>1</v>
      </c>
    </row>
    <row r="1783" spans="1:16" ht="15.75" customHeight="1">
      <c r="A1783" s="4" t="s">
        <v>1989</v>
      </c>
      <c r="B1783" s="6">
        <v>46018</v>
      </c>
      <c r="C1783" s="4">
        <v>2025</v>
      </c>
      <c r="D1783" s="4">
        <v>12</v>
      </c>
      <c r="E1783" s="4" t="s">
        <v>57</v>
      </c>
      <c r="F1783" s="4" t="s">
        <v>5</v>
      </c>
      <c r="G1783" s="4" t="s">
        <v>12</v>
      </c>
      <c r="H1783" s="4" t="s">
        <v>127</v>
      </c>
      <c r="I1783" s="4" t="s">
        <v>7</v>
      </c>
      <c r="J1783" s="4" t="s">
        <v>381</v>
      </c>
      <c r="K1783" s="4">
        <v>5</v>
      </c>
      <c r="L1783" s="5">
        <v>185.63</v>
      </c>
      <c r="M1783" s="5">
        <v>928.15</v>
      </c>
      <c r="N1783" s="5">
        <v>580.65</v>
      </c>
      <c r="O1783" s="5">
        <v>347.5</v>
      </c>
      <c r="P1783" s="4">
        <f>--AND(OR(Dashboard!$A$10="All",C1783=Dashboard!$A$10),OR(Dashboard!$A$14="All",F1783=Dashboard!$A$14),OR(Dashboard!$A$18="All",G1783=Dashboard!$A$18),OR(Dashboard!$A$22="All",I1783=Dashboard!$A$22))</f>
        <v>1</v>
      </c>
    </row>
    <row r="1784" spans="1:16" ht="15.75" customHeight="1">
      <c r="A1784" s="4" t="s">
        <v>1990</v>
      </c>
      <c r="B1784" s="6">
        <v>45448</v>
      </c>
      <c r="C1784" s="4">
        <v>2024</v>
      </c>
      <c r="D1784" s="4">
        <v>6</v>
      </c>
      <c r="E1784" s="4" t="s">
        <v>34</v>
      </c>
      <c r="F1784" s="4" t="s">
        <v>5</v>
      </c>
      <c r="G1784" s="4" t="s">
        <v>9</v>
      </c>
      <c r="H1784" s="4" t="s">
        <v>35</v>
      </c>
      <c r="I1784" s="4" t="s">
        <v>7</v>
      </c>
      <c r="J1784" s="4" t="s">
        <v>280</v>
      </c>
      <c r="K1784" s="4">
        <v>3</v>
      </c>
      <c r="L1784" s="5">
        <v>29.06</v>
      </c>
      <c r="M1784" s="5">
        <v>87.18</v>
      </c>
      <c r="N1784" s="5">
        <v>41.42</v>
      </c>
      <c r="O1784" s="5">
        <v>45.76</v>
      </c>
      <c r="P1784" s="4">
        <f>--AND(OR(Dashboard!$A$10="All",C1784=Dashboard!$A$10),OR(Dashboard!$A$14="All",F1784=Dashboard!$A$14),OR(Dashboard!$A$18="All",G1784=Dashboard!$A$18),OR(Dashboard!$A$22="All",I1784=Dashboard!$A$22))</f>
        <v>1</v>
      </c>
    </row>
    <row r="1785" spans="1:16" ht="15.75" customHeight="1">
      <c r="A1785" s="4" t="s">
        <v>1991</v>
      </c>
      <c r="B1785" s="6">
        <v>45482</v>
      </c>
      <c r="C1785" s="4">
        <v>2024</v>
      </c>
      <c r="D1785" s="4">
        <v>7</v>
      </c>
      <c r="E1785" s="4" t="s">
        <v>63</v>
      </c>
      <c r="F1785" s="4" t="s">
        <v>5</v>
      </c>
      <c r="G1785" s="4" t="s">
        <v>12</v>
      </c>
      <c r="H1785" s="4" t="s">
        <v>58</v>
      </c>
      <c r="I1785" s="4" t="s">
        <v>10</v>
      </c>
      <c r="J1785" s="4" t="s">
        <v>149</v>
      </c>
      <c r="K1785" s="4">
        <v>2</v>
      </c>
      <c r="L1785" s="5">
        <v>306.88</v>
      </c>
      <c r="M1785" s="5">
        <v>613.76</v>
      </c>
      <c r="N1785" s="5">
        <v>382.94</v>
      </c>
      <c r="O1785" s="5">
        <v>230.82</v>
      </c>
      <c r="P1785" s="4">
        <f>--AND(OR(Dashboard!$A$10="All",C1785=Dashboard!$A$10),OR(Dashboard!$A$14="All",F1785=Dashboard!$A$14),OR(Dashboard!$A$18="All",G1785=Dashboard!$A$18),OR(Dashboard!$A$22="All",I1785=Dashboard!$A$22))</f>
        <v>1</v>
      </c>
    </row>
    <row r="1786" spans="1:16" ht="15.75" customHeight="1">
      <c r="A1786" s="4" t="s">
        <v>1992</v>
      </c>
      <c r="B1786" s="6">
        <v>45482</v>
      </c>
      <c r="C1786" s="4">
        <v>2024</v>
      </c>
      <c r="D1786" s="4">
        <v>7</v>
      </c>
      <c r="E1786" s="4" t="s">
        <v>63</v>
      </c>
      <c r="F1786" s="4" t="s">
        <v>5</v>
      </c>
      <c r="G1786" s="4" t="s">
        <v>6</v>
      </c>
      <c r="H1786" s="4" t="s">
        <v>98</v>
      </c>
      <c r="I1786" s="4" t="s">
        <v>10</v>
      </c>
      <c r="J1786" s="4" t="s">
        <v>149</v>
      </c>
      <c r="K1786" s="4">
        <v>2</v>
      </c>
      <c r="L1786" s="5">
        <v>200.98</v>
      </c>
      <c r="M1786" s="5">
        <v>401.96</v>
      </c>
      <c r="N1786" s="5">
        <v>277.05</v>
      </c>
      <c r="O1786" s="5">
        <v>124.91</v>
      </c>
      <c r="P1786" s="4">
        <f>--AND(OR(Dashboard!$A$10="All",C1786=Dashboard!$A$10),OR(Dashboard!$A$14="All",F1786=Dashboard!$A$14),OR(Dashboard!$A$18="All",G1786=Dashboard!$A$18),OR(Dashboard!$A$22="All",I1786=Dashboard!$A$22))</f>
        <v>1</v>
      </c>
    </row>
    <row r="1787" spans="1:16" ht="15.75" customHeight="1">
      <c r="A1787" s="4" t="s">
        <v>1993</v>
      </c>
      <c r="B1787" s="6">
        <v>45389</v>
      </c>
      <c r="C1787" s="4">
        <v>2024</v>
      </c>
      <c r="D1787" s="4">
        <v>4</v>
      </c>
      <c r="E1787" s="4" t="s">
        <v>106</v>
      </c>
      <c r="F1787" s="4" t="s">
        <v>5</v>
      </c>
      <c r="G1787" s="4" t="s">
        <v>6</v>
      </c>
      <c r="H1787" s="4" t="s">
        <v>80</v>
      </c>
      <c r="I1787" s="4" t="s">
        <v>10</v>
      </c>
      <c r="J1787" s="4" t="s">
        <v>268</v>
      </c>
      <c r="K1787" s="4">
        <v>3</v>
      </c>
      <c r="L1787" s="5">
        <v>144.41999999999999</v>
      </c>
      <c r="M1787" s="5">
        <v>433.26</v>
      </c>
      <c r="N1787" s="5">
        <v>276.58999999999997</v>
      </c>
      <c r="O1787" s="5">
        <v>156.66999999999999</v>
      </c>
      <c r="P1787" s="4">
        <f>--AND(OR(Dashboard!$A$10="All",C1787=Dashboard!$A$10),OR(Dashboard!$A$14="All",F1787=Dashboard!$A$14),OR(Dashboard!$A$18="All",G1787=Dashboard!$A$18),OR(Dashboard!$A$22="All",I1787=Dashboard!$A$22))</f>
        <v>1</v>
      </c>
    </row>
    <row r="1788" spans="1:16" ht="15.75" customHeight="1">
      <c r="A1788" s="4" t="s">
        <v>1994</v>
      </c>
      <c r="B1788" s="6">
        <v>45903</v>
      </c>
      <c r="C1788" s="4">
        <v>2025</v>
      </c>
      <c r="D1788" s="4">
        <v>9</v>
      </c>
      <c r="E1788" s="4" t="s">
        <v>79</v>
      </c>
      <c r="F1788" s="4" t="s">
        <v>11</v>
      </c>
      <c r="G1788" s="4" t="s">
        <v>9</v>
      </c>
      <c r="H1788" s="4" t="s">
        <v>71</v>
      </c>
      <c r="I1788" s="4" t="s">
        <v>7</v>
      </c>
      <c r="J1788" s="4" t="s">
        <v>144</v>
      </c>
      <c r="K1788" s="4">
        <v>12</v>
      </c>
      <c r="L1788" s="5">
        <v>56.26</v>
      </c>
      <c r="M1788" s="5">
        <v>675.12</v>
      </c>
      <c r="N1788" s="5">
        <v>329.78</v>
      </c>
      <c r="O1788" s="5">
        <v>345.34</v>
      </c>
      <c r="P1788" s="4">
        <f>--AND(OR(Dashboard!$A$10="All",C1788=Dashboard!$A$10),OR(Dashboard!$A$14="All",F1788=Dashboard!$A$14),OR(Dashboard!$A$18="All",G1788=Dashboard!$A$18),OR(Dashboard!$A$22="All",I1788=Dashboard!$A$22))</f>
        <v>1</v>
      </c>
    </row>
    <row r="1789" spans="1:16" ht="15.75" customHeight="1">
      <c r="A1789" s="4" t="s">
        <v>1995</v>
      </c>
      <c r="B1789" s="6">
        <v>45688</v>
      </c>
      <c r="C1789" s="4">
        <v>2025</v>
      </c>
      <c r="D1789" s="4">
        <v>1</v>
      </c>
      <c r="E1789" s="4" t="s">
        <v>30</v>
      </c>
      <c r="F1789" s="4" t="s">
        <v>5</v>
      </c>
      <c r="G1789" s="4" t="s">
        <v>12</v>
      </c>
      <c r="H1789" s="4" t="s">
        <v>124</v>
      </c>
      <c r="I1789" s="4" t="s">
        <v>10</v>
      </c>
      <c r="J1789" s="4" t="s">
        <v>179</v>
      </c>
      <c r="K1789" s="4">
        <v>1</v>
      </c>
      <c r="L1789" s="5">
        <v>284.48</v>
      </c>
      <c r="M1789" s="5">
        <v>284.48</v>
      </c>
      <c r="N1789" s="5">
        <v>167.16</v>
      </c>
      <c r="O1789" s="5">
        <v>117.32</v>
      </c>
      <c r="P1789" s="4">
        <f>--AND(OR(Dashboard!$A$10="All",C1789=Dashboard!$A$10),OR(Dashboard!$A$14="All",F1789=Dashboard!$A$14),OR(Dashboard!$A$18="All",G1789=Dashboard!$A$18),OR(Dashboard!$A$22="All",I1789=Dashboard!$A$22))</f>
        <v>1</v>
      </c>
    </row>
    <row r="1790" spans="1:16" ht="15.75" customHeight="1">
      <c r="A1790" s="4" t="s">
        <v>1996</v>
      </c>
      <c r="B1790" s="6">
        <v>46022</v>
      </c>
      <c r="C1790" s="4">
        <v>2025</v>
      </c>
      <c r="D1790" s="4">
        <v>12</v>
      </c>
      <c r="E1790" s="4" t="s">
        <v>57</v>
      </c>
      <c r="F1790" s="4" t="s">
        <v>14</v>
      </c>
      <c r="G1790" s="4" t="s">
        <v>12</v>
      </c>
      <c r="H1790" s="4" t="s">
        <v>86</v>
      </c>
      <c r="I1790" s="4" t="s">
        <v>13</v>
      </c>
      <c r="J1790" s="4" t="s">
        <v>149</v>
      </c>
      <c r="K1790" s="4">
        <v>2</v>
      </c>
      <c r="L1790" s="5">
        <v>131.07</v>
      </c>
      <c r="M1790" s="5">
        <v>262.14</v>
      </c>
      <c r="N1790" s="5">
        <v>163.11000000000001</v>
      </c>
      <c r="O1790" s="5">
        <v>99.03</v>
      </c>
      <c r="P1790" s="4">
        <f>--AND(OR(Dashboard!$A$10="All",C1790=Dashboard!$A$10),OR(Dashboard!$A$14="All",F1790=Dashboard!$A$14),OR(Dashboard!$A$18="All",G1790=Dashboard!$A$18),OR(Dashboard!$A$22="All",I1790=Dashboard!$A$22))</f>
        <v>1</v>
      </c>
    </row>
    <row r="1791" spans="1:16" ht="15.75" customHeight="1">
      <c r="A1791" s="4" t="s">
        <v>1997</v>
      </c>
      <c r="B1791" s="6">
        <v>45768</v>
      </c>
      <c r="C1791" s="4">
        <v>2025</v>
      </c>
      <c r="D1791" s="4">
        <v>4</v>
      </c>
      <c r="E1791" s="4" t="s">
        <v>106</v>
      </c>
      <c r="F1791" s="4" t="s">
        <v>14</v>
      </c>
      <c r="G1791" s="4" t="s">
        <v>6</v>
      </c>
      <c r="H1791" s="4" t="s">
        <v>80</v>
      </c>
      <c r="I1791" s="4" t="s">
        <v>7</v>
      </c>
      <c r="J1791" s="4" t="s">
        <v>149</v>
      </c>
      <c r="K1791" s="4">
        <v>2</v>
      </c>
      <c r="L1791" s="5">
        <v>207.77</v>
      </c>
      <c r="M1791" s="5">
        <v>415.54</v>
      </c>
      <c r="N1791" s="5">
        <v>276.58999999999997</v>
      </c>
      <c r="O1791" s="5">
        <v>138.94999999999999</v>
      </c>
      <c r="P1791" s="4">
        <f>--AND(OR(Dashboard!$A$10="All",C1791=Dashboard!$A$10),OR(Dashboard!$A$14="All",F1791=Dashboard!$A$14),OR(Dashboard!$A$18="All",G1791=Dashboard!$A$18),OR(Dashboard!$A$22="All",I1791=Dashboard!$A$22))</f>
        <v>1</v>
      </c>
    </row>
    <row r="1792" spans="1:16" ht="15.75" customHeight="1">
      <c r="A1792" s="4" t="s">
        <v>1998</v>
      </c>
      <c r="B1792" s="6">
        <v>45566</v>
      </c>
      <c r="C1792" s="4">
        <v>2024</v>
      </c>
      <c r="D1792" s="4">
        <v>10</v>
      </c>
      <c r="E1792" s="4" t="s">
        <v>120</v>
      </c>
      <c r="F1792" s="4" t="s">
        <v>5</v>
      </c>
      <c r="G1792" s="4" t="s">
        <v>12</v>
      </c>
      <c r="H1792" s="4" t="s">
        <v>92</v>
      </c>
      <c r="I1792" s="4" t="s">
        <v>7</v>
      </c>
      <c r="J1792" s="4" t="s">
        <v>346</v>
      </c>
      <c r="K1792" s="4">
        <v>2</v>
      </c>
      <c r="L1792" s="5">
        <v>321.14999999999998</v>
      </c>
      <c r="M1792" s="5">
        <v>642.29999999999995</v>
      </c>
      <c r="N1792" s="5">
        <v>366.6</v>
      </c>
      <c r="O1792" s="5">
        <v>275.7</v>
      </c>
      <c r="P1792" s="4">
        <f>--AND(OR(Dashboard!$A$10="All",C1792=Dashboard!$A$10),OR(Dashboard!$A$14="All",F1792=Dashboard!$A$14),OR(Dashboard!$A$18="All",G1792=Dashboard!$A$18),OR(Dashboard!$A$22="All",I1792=Dashboard!$A$22))</f>
        <v>1</v>
      </c>
    </row>
    <row r="1793" spans="1:16" ht="15.75" customHeight="1">
      <c r="A1793" s="4" t="s">
        <v>1999</v>
      </c>
      <c r="B1793" s="6">
        <v>45548</v>
      </c>
      <c r="C1793" s="4">
        <v>2024</v>
      </c>
      <c r="D1793" s="4">
        <v>9</v>
      </c>
      <c r="E1793" s="4" t="s">
        <v>79</v>
      </c>
      <c r="F1793" s="4" t="s">
        <v>11</v>
      </c>
      <c r="G1793" s="4" t="s">
        <v>12</v>
      </c>
      <c r="H1793" s="4" t="s">
        <v>127</v>
      </c>
      <c r="I1793" s="4" t="s">
        <v>7</v>
      </c>
      <c r="J1793" s="4" t="s">
        <v>285</v>
      </c>
      <c r="K1793" s="4">
        <v>2</v>
      </c>
      <c r="L1793" s="5">
        <v>143.81</v>
      </c>
      <c r="M1793" s="5">
        <v>287.62</v>
      </c>
      <c r="N1793" s="5">
        <v>178.91</v>
      </c>
      <c r="O1793" s="5">
        <v>108.71</v>
      </c>
      <c r="P1793" s="4">
        <f>--AND(OR(Dashboard!$A$10="All",C1793=Dashboard!$A$10),OR(Dashboard!$A$14="All",F1793=Dashboard!$A$14),OR(Dashboard!$A$18="All",G1793=Dashboard!$A$18),OR(Dashboard!$A$22="All",I1793=Dashboard!$A$22))</f>
        <v>1</v>
      </c>
    </row>
    <row r="1794" spans="1:16" ht="15.75" customHeight="1">
      <c r="A1794" s="4" t="s">
        <v>2000</v>
      </c>
      <c r="B1794" s="6">
        <v>45999</v>
      </c>
      <c r="C1794" s="4">
        <v>2025</v>
      </c>
      <c r="D1794" s="4">
        <v>12</v>
      </c>
      <c r="E1794" s="4" t="s">
        <v>57</v>
      </c>
      <c r="F1794" s="4" t="s">
        <v>5</v>
      </c>
      <c r="G1794" s="4" t="s">
        <v>12</v>
      </c>
      <c r="H1794" s="4" t="s">
        <v>127</v>
      </c>
      <c r="I1794" s="4" t="s">
        <v>7</v>
      </c>
      <c r="J1794" s="4" t="s">
        <v>381</v>
      </c>
      <c r="K1794" s="4">
        <v>9</v>
      </c>
      <c r="L1794" s="5">
        <v>224.84</v>
      </c>
      <c r="M1794" s="5">
        <v>2023.56</v>
      </c>
      <c r="N1794" s="5">
        <v>1211.44</v>
      </c>
      <c r="O1794" s="5">
        <v>812.12</v>
      </c>
      <c r="P1794" s="4">
        <f>--AND(OR(Dashboard!$A$10="All",C1794=Dashboard!$A$10),OR(Dashboard!$A$14="All",F1794=Dashboard!$A$14),OR(Dashboard!$A$18="All",G1794=Dashboard!$A$18),OR(Dashboard!$A$22="All",I1794=Dashboard!$A$22))</f>
        <v>1</v>
      </c>
    </row>
    <row r="1795" spans="1:16" ht="15.75" customHeight="1">
      <c r="A1795" s="4" t="s">
        <v>2001</v>
      </c>
      <c r="B1795" s="6">
        <v>45468</v>
      </c>
      <c r="C1795" s="4">
        <v>2024</v>
      </c>
      <c r="D1795" s="4">
        <v>6</v>
      </c>
      <c r="E1795" s="4" t="s">
        <v>34</v>
      </c>
      <c r="F1795" s="4" t="s">
        <v>11</v>
      </c>
      <c r="G1795" s="4" t="s">
        <v>9</v>
      </c>
      <c r="H1795" s="4" t="s">
        <v>71</v>
      </c>
      <c r="I1795" s="4" t="s">
        <v>10</v>
      </c>
      <c r="J1795" s="4" t="s">
        <v>317</v>
      </c>
      <c r="K1795" s="4">
        <v>5</v>
      </c>
      <c r="L1795" s="5">
        <v>40.4</v>
      </c>
      <c r="M1795" s="5">
        <v>202</v>
      </c>
      <c r="N1795" s="5">
        <v>101.77</v>
      </c>
      <c r="O1795" s="5">
        <v>100.23</v>
      </c>
      <c r="P1795" s="4">
        <f>--AND(OR(Dashboard!$A$10="All",C1795=Dashboard!$A$10),OR(Dashboard!$A$14="All",F1795=Dashboard!$A$14),OR(Dashboard!$A$18="All",G1795=Dashboard!$A$18),OR(Dashboard!$A$22="All",I1795=Dashboard!$A$22))</f>
        <v>1</v>
      </c>
    </row>
    <row r="1796" spans="1:16" ht="15.75" customHeight="1">
      <c r="A1796" s="4" t="s">
        <v>2002</v>
      </c>
      <c r="B1796" s="6">
        <v>45420</v>
      </c>
      <c r="C1796" s="4">
        <v>2024</v>
      </c>
      <c r="D1796" s="4">
        <v>5</v>
      </c>
      <c r="E1796" s="4" t="s">
        <v>108</v>
      </c>
      <c r="F1796" s="4" t="s">
        <v>5</v>
      </c>
      <c r="G1796" s="4" t="s">
        <v>12</v>
      </c>
      <c r="H1796" s="4" t="s">
        <v>124</v>
      </c>
      <c r="I1796" s="4" t="s">
        <v>7</v>
      </c>
      <c r="J1796" s="4" t="s">
        <v>162</v>
      </c>
      <c r="K1796" s="4">
        <v>3</v>
      </c>
      <c r="L1796" s="5">
        <v>297.3</v>
      </c>
      <c r="M1796" s="5">
        <v>891.9</v>
      </c>
      <c r="N1796" s="5">
        <v>533.58000000000004</v>
      </c>
      <c r="O1796" s="5">
        <v>358.32</v>
      </c>
      <c r="P1796" s="4">
        <f>--AND(OR(Dashboard!$A$10="All",C1796=Dashboard!$A$10),OR(Dashboard!$A$14="All",F1796=Dashboard!$A$14),OR(Dashboard!$A$18="All",G1796=Dashboard!$A$18),OR(Dashboard!$A$22="All",I1796=Dashboard!$A$22))</f>
        <v>1</v>
      </c>
    </row>
    <row r="1797" spans="1:16" ht="15.75" customHeight="1">
      <c r="A1797" s="4" t="s">
        <v>2003</v>
      </c>
      <c r="B1797" s="6">
        <v>45464</v>
      </c>
      <c r="C1797" s="4">
        <v>2024</v>
      </c>
      <c r="D1797" s="4">
        <v>6</v>
      </c>
      <c r="E1797" s="4" t="s">
        <v>34</v>
      </c>
      <c r="F1797" s="4" t="s">
        <v>5</v>
      </c>
      <c r="G1797" s="4" t="s">
        <v>6</v>
      </c>
      <c r="H1797" s="4" t="s">
        <v>80</v>
      </c>
      <c r="I1797" s="4" t="s">
        <v>7</v>
      </c>
      <c r="J1797" s="4" t="s">
        <v>494</v>
      </c>
      <c r="K1797" s="4">
        <v>2</v>
      </c>
      <c r="L1797" s="5">
        <v>97.67</v>
      </c>
      <c r="M1797" s="5">
        <v>195.34</v>
      </c>
      <c r="N1797" s="5">
        <v>128.6</v>
      </c>
      <c r="O1797" s="5">
        <v>66.739999999999995</v>
      </c>
      <c r="P1797" s="4">
        <f>--AND(OR(Dashboard!$A$10="All",C1797=Dashboard!$A$10),OR(Dashboard!$A$14="All",F1797=Dashboard!$A$14),OR(Dashboard!$A$18="All",G1797=Dashboard!$A$18),OR(Dashboard!$A$22="All",I1797=Dashboard!$A$22))</f>
        <v>1</v>
      </c>
    </row>
    <row r="1798" spans="1:16" ht="15.75" customHeight="1">
      <c r="A1798" s="4" t="s">
        <v>2004</v>
      </c>
      <c r="B1798" s="6">
        <v>45642</v>
      </c>
      <c r="C1798" s="4">
        <v>2024</v>
      </c>
      <c r="D1798" s="4">
        <v>12</v>
      </c>
      <c r="E1798" s="4" t="s">
        <v>57</v>
      </c>
      <c r="F1798" s="4" t="s">
        <v>5</v>
      </c>
      <c r="G1798" s="4" t="s">
        <v>9</v>
      </c>
      <c r="H1798" s="4" t="s">
        <v>110</v>
      </c>
      <c r="I1798" s="4" t="s">
        <v>10</v>
      </c>
      <c r="J1798" s="4" t="s">
        <v>321</v>
      </c>
      <c r="K1798" s="4">
        <v>4</v>
      </c>
      <c r="L1798" s="5">
        <v>60.13</v>
      </c>
      <c r="M1798" s="5">
        <v>240.52</v>
      </c>
      <c r="N1798" s="5">
        <v>116.49</v>
      </c>
      <c r="O1798" s="5">
        <v>124.03</v>
      </c>
      <c r="P1798" s="4">
        <f>--AND(OR(Dashboard!$A$10="All",C1798=Dashboard!$A$10),OR(Dashboard!$A$14="All",F1798=Dashboard!$A$14),OR(Dashboard!$A$18="All",G1798=Dashboard!$A$18),OR(Dashboard!$A$22="All",I1798=Dashboard!$A$22))</f>
        <v>1</v>
      </c>
    </row>
    <row r="1799" spans="1:16" ht="15.75" customHeight="1">
      <c r="A1799" s="4" t="s">
        <v>2005</v>
      </c>
      <c r="B1799" s="6">
        <v>45308</v>
      </c>
      <c r="C1799" s="4">
        <v>2024</v>
      </c>
      <c r="D1799" s="4">
        <v>1</v>
      </c>
      <c r="E1799" s="4" t="s">
        <v>30</v>
      </c>
      <c r="F1799" s="4" t="s">
        <v>14</v>
      </c>
      <c r="G1799" s="4" t="s">
        <v>9</v>
      </c>
      <c r="H1799" s="4" t="s">
        <v>35</v>
      </c>
      <c r="I1799" s="4" t="s">
        <v>10</v>
      </c>
      <c r="J1799" s="4" t="s">
        <v>276</v>
      </c>
      <c r="K1799" s="4">
        <v>4</v>
      </c>
      <c r="L1799" s="5">
        <v>26.53</v>
      </c>
      <c r="M1799" s="5">
        <v>106.12</v>
      </c>
      <c r="N1799" s="5">
        <v>53.46</v>
      </c>
      <c r="O1799" s="5">
        <v>52.66</v>
      </c>
      <c r="P1799" s="4">
        <f>--AND(OR(Dashboard!$A$10="All",C1799=Dashboard!$A$10),OR(Dashboard!$A$14="All",F1799=Dashboard!$A$14),OR(Dashboard!$A$18="All",G1799=Dashboard!$A$18),OR(Dashboard!$A$22="All",I1799=Dashboard!$A$22))</f>
        <v>1</v>
      </c>
    </row>
    <row r="1800" spans="1:16" ht="15.75" customHeight="1">
      <c r="A1800" s="4" t="s">
        <v>2006</v>
      </c>
      <c r="B1800" s="6">
        <v>45651</v>
      </c>
      <c r="C1800" s="4">
        <v>2024</v>
      </c>
      <c r="D1800" s="4">
        <v>12</v>
      </c>
      <c r="E1800" s="4" t="s">
        <v>57</v>
      </c>
      <c r="F1800" s="4" t="s">
        <v>5</v>
      </c>
      <c r="G1800" s="4" t="s">
        <v>12</v>
      </c>
      <c r="H1800" s="4" t="s">
        <v>92</v>
      </c>
      <c r="I1800" s="4" t="s">
        <v>10</v>
      </c>
      <c r="J1800" s="4" t="s">
        <v>202</v>
      </c>
      <c r="K1800" s="4">
        <v>1</v>
      </c>
      <c r="L1800" s="5">
        <v>258.52999999999997</v>
      </c>
      <c r="M1800" s="5">
        <v>258.52999999999997</v>
      </c>
      <c r="N1800" s="5">
        <v>160.75</v>
      </c>
      <c r="O1800" s="5">
        <v>97.78</v>
      </c>
      <c r="P1800" s="4">
        <f>--AND(OR(Dashboard!$A$10="All",C1800=Dashboard!$A$10),OR(Dashboard!$A$14="All",F1800=Dashboard!$A$14),OR(Dashboard!$A$18="All",G1800=Dashboard!$A$18),OR(Dashboard!$A$22="All",I1800=Dashboard!$A$22))</f>
        <v>1</v>
      </c>
    </row>
    <row r="1801" spans="1:16" ht="15.75" customHeight="1">
      <c r="A1801" s="4" t="s">
        <v>2007</v>
      </c>
      <c r="B1801" s="6">
        <v>45736</v>
      </c>
      <c r="C1801" s="4">
        <v>2025</v>
      </c>
      <c r="D1801" s="4">
        <v>3</v>
      </c>
      <c r="E1801" s="4" t="s">
        <v>100</v>
      </c>
      <c r="F1801" s="4" t="s">
        <v>8</v>
      </c>
      <c r="G1801" s="4" t="s">
        <v>9</v>
      </c>
      <c r="H1801" s="4" t="s">
        <v>71</v>
      </c>
      <c r="I1801" s="4" t="s">
        <v>10</v>
      </c>
      <c r="J1801" s="4" t="s">
        <v>319</v>
      </c>
      <c r="K1801" s="4">
        <v>9</v>
      </c>
      <c r="L1801" s="5">
        <v>24.29</v>
      </c>
      <c r="M1801" s="5">
        <v>218.61</v>
      </c>
      <c r="N1801" s="5">
        <v>107.85</v>
      </c>
      <c r="O1801" s="5">
        <v>110.76</v>
      </c>
      <c r="P1801" s="4">
        <f>--AND(OR(Dashboard!$A$10="All",C1801=Dashboard!$A$10),OR(Dashboard!$A$14="All",F1801=Dashboard!$A$14),OR(Dashboard!$A$18="All",G1801=Dashboard!$A$18),OR(Dashboard!$A$22="All",I1801=Dashboard!$A$22))</f>
        <v>1</v>
      </c>
    </row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000"/>
  <sheetViews>
    <sheetView workbookViewId="0">
      <pane ySplit="1" topLeftCell="A2" activePane="bottomLeft" state="frozen"/>
      <selection pane="bottomLeft" activeCell="B3" sqref="B3"/>
    </sheetView>
  </sheetViews>
  <sheetFormatPr defaultColWidth="12.59765625" defaultRowHeight="15" customHeight="1"/>
  <cols>
    <col min="1" max="8" width="16" customWidth="1"/>
    <col min="9" max="26" width="8.59765625" customWidth="1"/>
  </cols>
  <sheetData>
    <row r="1" spans="1:8" ht="13.8">
      <c r="A1" s="3" t="s">
        <v>16</v>
      </c>
      <c r="B1" s="3" t="s">
        <v>18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 t="s">
        <v>25</v>
      </c>
    </row>
    <row r="2" spans="1:8" ht="13.8">
      <c r="A2" s="4">
        <v>2024</v>
      </c>
      <c r="B2" s="4">
        <v>1</v>
      </c>
      <c r="C2" s="4" t="s">
        <v>30</v>
      </c>
      <c r="D2" s="4" t="s">
        <v>5</v>
      </c>
      <c r="E2" s="4" t="s">
        <v>6</v>
      </c>
      <c r="F2" s="4" t="s">
        <v>7</v>
      </c>
      <c r="G2" s="5">
        <v>16250</v>
      </c>
      <c r="H2" s="4">
        <f>--AND(OR(Dashboard!$A$10="All",A2=Dashboard!$A$10),OR(Dashboard!$A$14="All",D2=Dashboard!$A$14),OR(Dashboard!$A$18="All",E2=Dashboard!$A$18),OR(Dashboard!$A$22="All",F2=Dashboard!$A$22))</f>
        <v>1</v>
      </c>
    </row>
    <row r="3" spans="1:8" ht="13.8">
      <c r="A3" s="4">
        <v>2024</v>
      </c>
      <c r="B3" s="4">
        <v>1</v>
      </c>
      <c r="C3" s="4" t="s">
        <v>30</v>
      </c>
      <c r="D3" s="4" t="s">
        <v>5</v>
      </c>
      <c r="E3" s="4" t="s">
        <v>6</v>
      </c>
      <c r="F3" s="4" t="s">
        <v>10</v>
      </c>
      <c r="G3" s="5">
        <v>10725</v>
      </c>
      <c r="H3" s="4">
        <f>--AND(OR(Dashboard!$A$10="All",A3=Dashboard!$A$10),OR(Dashboard!$A$14="All",D3=Dashboard!$A$14),OR(Dashboard!$A$18="All",E3=Dashboard!$A$18),OR(Dashboard!$A$22="All",F3=Dashboard!$A$22))</f>
        <v>1</v>
      </c>
    </row>
    <row r="4" spans="1:8" ht="13.8">
      <c r="A4" s="4">
        <v>2024</v>
      </c>
      <c r="B4" s="4">
        <v>1</v>
      </c>
      <c r="C4" s="4" t="s">
        <v>30</v>
      </c>
      <c r="D4" s="4" t="s">
        <v>5</v>
      </c>
      <c r="E4" s="4" t="s">
        <v>6</v>
      </c>
      <c r="F4" s="4" t="s">
        <v>13</v>
      </c>
      <c r="G4" s="5">
        <v>6500</v>
      </c>
      <c r="H4" s="4">
        <f>--AND(OR(Dashboard!$A$10="All",A4=Dashboard!$A$10),OR(Dashboard!$A$14="All",D4=Dashboard!$A$14),OR(Dashboard!$A$18="All",E4=Dashboard!$A$18),OR(Dashboard!$A$22="All",F4=Dashboard!$A$22))</f>
        <v>1</v>
      </c>
    </row>
    <row r="5" spans="1:8" ht="13.8">
      <c r="A5" s="4">
        <v>2024</v>
      </c>
      <c r="B5" s="4">
        <v>1</v>
      </c>
      <c r="C5" s="4" t="s">
        <v>30</v>
      </c>
      <c r="D5" s="4" t="s">
        <v>5</v>
      </c>
      <c r="E5" s="4" t="s">
        <v>9</v>
      </c>
      <c r="F5" s="4" t="s">
        <v>7</v>
      </c>
      <c r="G5" s="5">
        <v>10400</v>
      </c>
      <c r="H5" s="4">
        <f>--AND(OR(Dashboard!$A$10="All",A5=Dashboard!$A$10),OR(Dashboard!$A$14="All",D5=Dashboard!$A$14),OR(Dashboard!$A$18="All",E5=Dashboard!$A$18),OR(Dashboard!$A$22="All",F5=Dashboard!$A$22))</f>
        <v>1</v>
      </c>
    </row>
    <row r="6" spans="1:8" ht="13.8">
      <c r="A6" s="4">
        <v>2024</v>
      </c>
      <c r="B6" s="4">
        <v>1</v>
      </c>
      <c r="C6" s="4" t="s">
        <v>30</v>
      </c>
      <c r="D6" s="4" t="s">
        <v>5</v>
      </c>
      <c r="E6" s="4" t="s">
        <v>9</v>
      </c>
      <c r="F6" s="4" t="s">
        <v>10</v>
      </c>
      <c r="G6" s="5">
        <v>6864</v>
      </c>
      <c r="H6" s="4">
        <f>--AND(OR(Dashboard!$A$10="All",A6=Dashboard!$A$10),OR(Dashboard!$A$14="All",D6=Dashboard!$A$14),OR(Dashboard!$A$18="All",E6=Dashboard!$A$18),OR(Dashboard!$A$22="All",F6=Dashboard!$A$22))</f>
        <v>1</v>
      </c>
    </row>
    <row r="7" spans="1:8" ht="13.8">
      <c r="A7" s="4">
        <v>2024</v>
      </c>
      <c r="B7" s="4">
        <v>1</v>
      </c>
      <c r="C7" s="4" t="s">
        <v>30</v>
      </c>
      <c r="D7" s="4" t="s">
        <v>5</v>
      </c>
      <c r="E7" s="4" t="s">
        <v>9</v>
      </c>
      <c r="F7" s="4" t="s">
        <v>13</v>
      </c>
      <c r="G7" s="5">
        <v>4160</v>
      </c>
      <c r="H7" s="4">
        <f>--AND(OR(Dashboard!$A$10="All",A7=Dashboard!$A$10),OR(Dashboard!$A$14="All",D7=Dashboard!$A$14),OR(Dashboard!$A$18="All",E7=Dashboard!$A$18),OR(Dashboard!$A$22="All",F7=Dashboard!$A$22))</f>
        <v>1</v>
      </c>
    </row>
    <row r="8" spans="1:8" ht="13.8">
      <c r="A8" s="4">
        <v>2024</v>
      </c>
      <c r="B8" s="4">
        <v>1</v>
      </c>
      <c r="C8" s="4" t="s">
        <v>30</v>
      </c>
      <c r="D8" s="4" t="s">
        <v>5</v>
      </c>
      <c r="E8" s="4" t="s">
        <v>12</v>
      </c>
      <c r="F8" s="4" t="s">
        <v>7</v>
      </c>
      <c r="G8" s="5">
        <v>14300</v>
      </c>
      <c r="H8" s="4">
        <f>--AND(OR(Dashboard!$A$10="All",A8=Dashboard!$A$10),OR(Dashboard!$A$14="All",D8=Dashboard!$A$14),OR(Dashboard!$A$18="All",E8=Dashboard!$A$18),OR(Dashboard!$A$22="All",F8=Dashboard!$A$22))</f>
        <v>1</v>
      </c>
    </row>
    <row r="9" spans="1:8" ht="13.8">
      <c r="A9" s="4">
        <v>2024</v>
      </c>
      <c r="B9" s="4">
        <v>1</v>
      </c>
      <c r="C9" s="4" t="s">
        <v>30</v>
      </c>
      <c r="D9" s="4" t="s">
        <v>5</v>
      </c>
      <c r="E9" s="4" t="s">
        <v>12</v>
      </c>
      <c r="F9" s="4" t="s">
        <v>10</v>
      </c>
      <c r="G9" s="5">
        <v>9438</v>
      </c>
      <c r="H9" s="4">
        <f>--AND(OR(Dashboard!$A$10="All",A9=Dashboard!$A$10),OR(Dashboard!$A$14="All",D9=Dashboard!$A$14),OR(Dashboard!$A$18="All",E9=Dashboard!$A$18),OR(Dashboard!$A$22="All",F9=Dashboard!$A$22))</f>
        <v>1</v>
      </c>
    </row>
    <row r="10" spans="1:8" ht="13.8">
      <c r="A10" s="4">
        <v>2024</v>
      </c>
      <c r="B10" s="4">
        <v>1</v>
      </c>
      <c r="C10" s="4" t="s">
        <v>30</v>
      </c>
      <c r="D10" s="4" t="s">
        <v>5</v>
      </c>
      <c r="E10" s="4" t="s">
        <v>12</v>
      </c>
      <c r="F10" s="4" t="s">
        <v>13</v>
      </c>
      <c r="G10" s="5">
        <v>5720</v>
      </c>
      <c r="H10" s="4">
        <f>--AND(OR(Dashboard!$A$10="All",A10=Dashboard!$A$10),OR(Dashboard!$A$14="All",D10=Dashboard!$A$14),OR(Dashboard!$A$18="All",E10=Dashboard!$A$18),OR(Dashboard!$A$22="All",F10=Dashboard!$A$22))</f>
        <v>1</v>
      </c>
    </row>
    <row r="11" spans="1:8" ht="13.8">
      <c r="A11" s="4">
        <v>2024</v>
      </c>
      <c r="B11" s="4">
        <v>1</v>
      </c>
      <c r="C11" s="4" t="s">
        <v>30</v>
      </c>
      <c r="D11" s="4" t="s">
        <v>8</v>
      </c>
      <c r="E11" s="4" t="s">
        <v>6</v>
      </c>
      <c r="F11" s="4" t="s">
        <v>7</v>
      </c>
      <c r="G11" s="5">
        <v>10075</v>
      </c>
      <c r="H11" s="4">
        <f>--AND(OR(Dashboard!$A$10="All",A11=Dashboard!$A$10),OR(Dashboard!$A$14="All",D11=Dashboard!$A$14),OR(Dashboard!$A$18="All",E11=Dashboard!$A$18),OR(Dashboard!$A$22="All",F11=Dashboard!$A$22))</f>
        <v>1</v>
      </c>
    </row>
    <row r="12" spans="1:8" ht="13.8">
      <c r="A12" s="4">
        <v>2024</v>
      </c>
      <c r="B12" s="4">
        <v>1</v>
      </c>
      <c r="C12" s="4" t="s">
        <v>30</v>
      </c>
      <c r="D12" s="4" t="s">
        <v>8</v>
      </c>
      <c r="E12" s="4" t="s">
        <v>6</v>
      </c>
      <c r="F12" s="4" t="s">
        <v>10</v>
      </c>
      <c r="G12" s="5">
        <v>6649.5</v>
      </c>
      <c r="H12" s="4">
        <f>--AND(OR(Dashboard!$A$10="All",A12=Dashboard!$A$10),OR(Dashboard!$A$14="All",D12=Dashboard!$A$14),OR(Dashboard!$A$18="All",E12=Dashboard!$A$18),OR(Dashboard!$A$22="All",F12=Dashboard!$A$22))</f>
        <v>1</v>
      </c>
    </row>
    <row r="13" spans="1:8" ht="13.8">
      <c r="A13" s="4">
        <v>2024</v>
      </c>
      <c r="B13" s="4">
        <v>1</v>
      </c>
      <c r="C13" s="4" t="s">
        <v>30</v>
      </c>
      <c r="D13" s="4" t="s">
        <v>8</v>
      </c>
      <c r="E13" s="4" t="s">
        <v>6</v>
      </c>
      <c r="F13" s="4" t="s">
        <v>13</v>
      </c>
      <c r="G13" s="5">
        <v>4030</v>
      </c>
      <c r="H13" s="4">
        <f>--AND(OR(Dashboard!$A$10="All",A13=Dashboard!$A$10),OR(Dashboard!$A$14="All",D13=Dashboard!$A$14),OR(Dashboard!$A$18="All",E13=Dashboard!$A$18),OR(Dashboard!$A$22="All",F13=Dashboard!$A$22))</f>
        <v>1</v>
      </c>
    </row>
    <row r="14" spans="1:8" ht="13.8">
      <c r="A14" s="4">
        <v>2024</v>
      </c>
      <c r="B14" s="4">
        <v>1</v>
      </c>
      <c r="C14" s="4" t="s">
        <v>30</v>
      </c>
      <c r="D14" s="4" t="s">
        <v>8</v>
      </c>
      <c r="E14" s="4" t="s">
        <v>9</v>
      </c>
      <c r="F14" s="4" t="s">
        <v>7</v>
      </c>
      <c r="G14" s="5">
        <v>6448</v>
      </c>
      <c r="H14" s="4">
        <f>--AND(OR(Dashboard!$A$10="All",A14=Dashboard!$A$10),OR(Dashboard!$A$14="All",D14=Dashboard!$A$14),OR(Dashboard!$A$18="All",E14=Dashboard!$A$18),OR(Dashboard!$A$22="All",F14=Dashboard!$A$22))</f>
        <v>1</v>
      </c>
    </row>
    <row r="15" spans="1:8" ht="13.8">
      <c r="A15" s="4">
        <v>2024</v>
      </c>
      <c r="B15" s="4">
        <v>1</v>
      </c>
      <c r="C15" s="4" t="s">
        <v>30</v>
      </c>
      <c r="D15" s="4" t="s">
        <v>8</v>
      </c>
      <c r="E15" s="4" t="s">
        <v>9</v>
      </c>
      <c r="F15" s="4" t="s">
        <v>10</v>
      </c>
      <c r="G15" s="5">
        <v>4255.68</v>
      </c>
      <c r="H15" s="4">
        <f>--AND(OR(Dashboard!$A$10="All",A15=Dashboard!$A$10),OR(Dashboard!$A$14="All",D15=Dashboard!$A$14),OR(Dashboard!$A$18="All",E15=Dashboard!$A$18),OR(Dashboard!$A$22="All",F15=Dashboard!$A$22))</f>
        <v>1</v>
      </c>
    </row>
    <row r="16" spans="1:8" ht="13.8">
      <c r="A16" s="4">
        <v>2024</v>
      </c>
      <c r="B16" s="4">
        <v>1</v>
      </c>
      <c r="C16" s="4" t="s">
        <v>30</v>
      </c>
      <c r="D16" s="4" t="s">
        <v>8</v>
      </c>
      <c r="E16" s="4" t="s">
        <v>9</v>
      </c>
      <c r="F16" s="4" t="s">
        <v>13</v>
      </c>
      <c r="G16" s="5">
        <v>2579.1999999999998</v>
      </c>
      <c r="H16" s="4">
        <f>--AND(OR(Dashboard!$A$10="All",A16=Dashboard!$A$10),OR(Dashboard!$A$14="All",D16=Dashboard!$A$14),OR(Dashboard!$A$18="All",E16=Dashboard!$A$18),OR(Dashboard!$A$22="All",F16=Dashboard!$A$22))</f>
        <v>1</v>
      </c>
    </row>
    <row r="17" spans="1:8" ht="13.8">
      <c r="A17" s="4">
        <v>2024</v>
      </c>
      <c r="B17" s="4">
        <v>1</v>
      </c>
      <c r="C17" s="4" t="s">
        <v>30</v>
      </c>
      <c r="D17" s="4" t="s">
        <v>8</v>
      </c>
      <c r="E17" s="4" t="s">
        <v>12</v>
      </c>
      <c r="F17" s="4" t="s">
        <v>7</v>
      </c>
      <c r="G17" s="5">
        <v>8866</v>
      </c>
      <c r="H17" s="4">
        <f>--AND(OR(Dashboard!$A$10="All",A17=Dashboard!$A$10),OR(Dashboard!$A$14="All",D17=Dashboard!$A$14),OR(Dashboard!$A$18="All",E17=Dashboard!$A$18),OR(Dashboard!$A$22="All",F17=Dashboard!$A$22))</f>
        <v>1</v>
      </c>
    </row>
    <row r="18" spans="1:8" ht="13.8">
      <c r="A18" s="4">
        <v>2024</v>
      </c>
      <c r="B18" s="4">
        <v>1</v>
      </c>
      <c r="C18" s="4" t="s">
        <v>30</v>
      </c>
      <c r="D18" s="4" t="s">
        <v>8</v>
      </c>
      <c r="E18" s="4" t="s">
        <v>12</v>
      </c>
      <c r="F18" s="4" t="s">
        <v>10</v>
      </c>
      <c r="G18" s="5">
        <v>5851.56</v>
      </c>
      <c r="H18" s="4">
        <f>--AND(OR(Dashboard!$A$10="All",A18=Dashboard!$A$10),OR(Dashboard!$A$14="All",D18=Dashboard!$A$14),OR(Dashboard!$A$18="All",E18=Dashboard!$A$18),OR(Dashboard!$A$22="All",F18=Dashboard!$A$22))</f>
        <v>1</v>
      </c>
    </row>
    <row r="19" spans="1:8" ht="13.8">
      <c r="A19" s="4">
        <v>2024</v>
      </c>
      <c r="B19" s="4">
        <v>1</v>
      </c>
      <c r="C19" s="4" t="s">
        <v>30</v>
      </c>
      <c r="D19" s="4" t="s">
        <v>8</v>
      </c>
      <c r="E19" s="4" t="s">
        <v>12</v>
      </c>
      <c r="F19" s="4" t="s">
        <v>13</v>
      </c>
      <c r="G19" s="5">
        <v>3546.4</v>
      </c>
      <c r="H19" s="4">
        <f>--AND(OR(Dashboard!$A$10="All",A19=Dashboard!$A$10),OR(Dashboard!$A$14="All",D19=Dashboard!$A$14),OR(Dashboard!$A$18="All",E19=Dashboard!$A$18),OR(Dashboard!$A$22="All",F19=Dashboard!$A$22))</f>
        <v>1</v>
      </c>
    </row>
    <row r="20" spans="1:8" ht="13.8">
      <c r="A20" s="4">
        <v>2024</v>
      </c>
      <c r="B20" s="4">
        <v>1</v>
      </c>
      <c r="C20" s="4" t="s">
        <v>30</v>
      </c>
      <c r="D20" s="4" t="s">
        <v>11</v>
      </c>
      <c r="E20" s="4" t="s">
        <v>6</v>
      </c>
      <c r="F20" s="4" t="s">
        <v>7</v>
      </c>
      <c r="G20" s="5">
        <v>7150</v>
      </c>
      <c r="H20" s="4">
        <f>--AND(OR(Dashboard!$A$10="All",A20=Dashboard!$A$10),OR(Dashboard!$A$14="All",D20=Dashboard!$A$14),OR(Dashboard!$A$18="All",E20=Dashboard!$A$18),OR(Dashboard!$A$22="All",F20=Dashboard!$A$22))</f>
        <v>1</v>
      </c>
    </row>
    <row r="21" spans="1:8" ht="15.75" customHeight="1">
      <c r="A21" s="4">
        <v>2024</v>
      </c>
      <c r="B21" s="4">
        <v>1</v>
      </c>
      <c r="C21" s="4" t="s">
        <v>30</v>
      </c>
      <c r="D21" s="4" t="s">
        <v>11</v>
      </c>
      <c r="E21" s="4" t="s">
        <v>6</v>
      </c>
      <c r="F21" s="4" t="s">
        <v>10</v>
      </c>
      <c r="G21" s="5">
        <v>4719</v>
      </c>
      <c r="H21" s="4">
        <f>--AND(OR(Dashboard!$A$10="All",A21=Dashboard!$A$10),OR(Dashboard!$A$14="All",D21=Dashboard!$A$14),OR(Dashboard!$A$18="All",E21=Dashboard!$A$18),OR(Dashboard!$A$22="All",F21=Dashboard!$A$22))</f>
        <v>1</v>
      </c>
    </row>
    <row r="22" spans="1:8" ht="15.75" customHeight="1">
      <c r="A22" s="4">
        <v>2024</v>
      </c>
      <c r="B22" s="4">
        <v>1</v>
      </c>
      <c r="C22" s="4" t="s">
        <v>30</v>
      </c>
      <c r="D22" s="4" t="s">
        <v>11</v>
      </c>
      <c r="E22" s="4" t="s">
        <v>6</v>
      </c>
      <c r="F22" s="4" t="s">
        <v>13</v>
      </c>
      <c r="G22" s="5">
        <v>2860</v>
      </c>
      <c r="H22" s="4">
        <f>--AND(OR(Dashboard!$A$10="All",A22=Dashboard!$A$10),OR(Dashboard!$A$14="All",D22=Dashboard!$A$14),OR(Dashboard!$A$18="All",E22=Dashboard!$A$18),OR(Dashboard!$A$22="All",F22=Dashboard!$A$22))</f>
        <v>1</v>
      </c>
    </row>
    <row r="23" spans="1:8" ht="15.75" customHeight="1">
      <c r="A23" s="4">
        <v>2024</v>
      </c>
      <c r="B23" s="4">
        <v>1</v>
      </c>
      <c r="C23" s="4" t="s">
        <v>30</v>
      </c>
      <c r="D23" s="4" t="s">
        <v>11</v>
      </c>
      <c r="E23" s="4" t="s">
        <v>9</v>
      </c>
      <c r="F23" s="4" t="s">
        <v>7</v>
      </c>
      <c r="G23" s="5">
        <v>4576</v>
      </c>
      <c r="H23" s="4">
        <f>--AND(OR(Dashboard!$A$10="All",A23=Dashboard!$A$10),OR(Dashboard!$A$14="All",D23=Dashboard!$A$14),OR(Dashboard!$A$18="All",E23=Dashboard!$A$18),OR(Dashboard!$A$22="All",F23=Dashboard!$A$22))</f>
        <v>1</v>
      </c>
    </row>
    <row r="24" spans="1:8" ht="15.75" customHeight="1">
      <c r="A24" s="4">
        <v>2024</v>
      </c>
      <c r="B24" s="4">
        <v>1</v>
      </c>
      <c r="C24" s="4" t="s">
        <v>30</v>
      </c>
      <c r="D24" s="4" t="s">
        <v>11</v>
      </c>
      <c r="E24" s="4" t="s">
        <v>9</v>
      </c>
      <c r="F24" s="4" t="s">
        <v>10</v>
      </c>
      <c r="G24" s="5">
        <v>3020.16</v>
      </c>
      <c r="H24" s="4">
        <f>--AND(OR(Dashboard!$A$10="All",A24=Dashboard!$A$10),OR(Dashboard!$A$14="All",D24=Dashboard!$A$14),OR(Dashboard!$A$18="All",E24=Dashboard!$A$18),OR(Dashboard!$A$22="All",F24=Dashboard!$A$22))</f>
        <v>1</v>
      </c>
    </row>
    <row r="25" spans="1:8" ht="15.75" customHeight="1">
      <c r="A25" s="4">
        <v>2024</v>
      </c>
      <c r="B25" s="4">
        <v>1</v>
      </c>
      <c r="C25" s="4" t="s">
        <v>30</v>
      </c>
      <c r="D25" s="4" t="s">
        <v>11</v>
      </c>
      <c r="E25" s="4" t="s">
        <v>9</v>
      </c>
      <c r="F25" s="4" t="s">
        <v>13</v>
      </c>
      <c r="G25" s="5">
        <v>1830.4</v>
      </c>
      <c r="H25" s="4">
        <f>--AND(OR(Dashboard!$A$10="All",A25=Dashboard!$A$10),OR(Dashboard!$A$14="All",D25=Dashboard!$A$14),OR(Dashboard!$A$18="All",E25=Dashboard!$A$18),OR(Dashboard!$A$22="All",F25=Dashboard!$A$22))</f>
        <v>1</v>
      </c>
    </row>
    <row r="26" spans="1:8" ht="15.75" customHeight="1">
      <c r="A26" s="4">
        <v>2024</v>
      </c>
      <c r="B26" s="4">
        <v>1</v>
      </c>
      <c r="C26" s="4" t="s">
        <v>30</v>
      </c>
      <c r="D26" s="4" t="s">
        <v>11</v>
      </c>
      <c r="E26" s="4" t="s">
        <v>12</v>
      </c>
      <c r="F26" s="4" t="s">
        <v>7</v>
      </c>
      <c r="G26" s="5">
        <v>6292</v>
      </c>
      <c r="H26" s="4">
        <f>--AND(OR(Dashboard!$A$10="All",A26=Dashboard!$A$10),OR(Dashboard!$A$14="All",D26=Dashboard!$A$14),OR(Dashboard!$A$18="All",E26=Dashboard!$A$18),OR(Dashboard!$A$22="All",F26=Dashboard!$A$22))</f>
        <v>1</v>
      </c>
    </row>
    <row r="27" spans="1:8" ht="15.75" customHeight="1">
      <c r="A27" s="4">
        <v>2024</v>
      </c>
      <c r="B27" s="4">
        <v>1</v>
      </c>
      <c r="C27" s="4" t="s">
        <v>30</v>
      </c>
      <c r="D27" s="4" t="s">
        <v>11</v>
      </c>
      <c r="E27" s="4" t="s">
        <v>12</v>
      </c>
      <c r="F27" s="4" t="s">
        <v>10</v>
      </c>
      <c r="G27" s="5">
        <v>4152.72</v>
      </c>
      <c r="H27" s="4">
        <f>--AND(OR(Dashboard!$A$10="All",A27=Dashboard!$A$10),OR(Dashboard!$A$14="All",D27=Dashboard!$A$14),OR(Dashboard!$A$18="All",E27=Dashboard!$A$18),OR(Dashboard!$A$22="All",F27=Dashboard!$A$22))</f>
        <v>1</v>
      </c>
    </row>
    <row r="28" spans="1:8" ht="15.75" customHeight="1">
      <c r="A28" s="4">
        <v>2024</v>
      </c>
      <c r="B28" s="4">
        <v>1</v>
      </c>
      <c r="C28" s="4" t="s">
        <v>30</v>
      </c>
      <c r="D28" s="4" t="s">
        <v>11</v>
      </c>
      <c r="E28" s="4" t="s">
        <v>12</v>
      </c>
      <c r="F28" s="4" t="s">
        <v>13</v>
      </c>
      <c r="G28" s="5">
        <v>2516.8000000000002</v>
      </c>
      <c r="H28" s="4">
        <f>--AND(OR(Dashboard!$A$10="All",A28=Dashboard!$A$10),OR(Dashboard!$A$14="All",D28=Dashboard!$A$14),OR(Dashboard!$A$18="All",E28=Dashboard!$A$18),OR(Dashboard!$A$22="All",F28=Dashboard!$A$22))</f>
        <v>1</v>
      </c>
    </row>
    <row r="29" spans="1:8" ht="15.75" customHeight="1">
      <c r="A29" s="4">
        <v>2024</v>
      </c>
      <c r="B29" s="4">
        <v>1</v>
      </c>
      <c r="C29" s="4" t="s">
        <v>30</v>
      </c>
      <c r="D29" s="4" t="s">
        <v>14</v>
      </c>
      <c r="E29" s="4" t="s">
        <v>6</v>
      </c>
      <c r="F29" s="4" t="s">
        <v>7</v>
      </c>
      <c r="G29" s="5">
        <v>4875</v>
      </c>
      <c r="H29" s="4">
        <f>--AND(OR(Dashboard!$A$10="All",A29=Dashboard!$A$10),OR(Dashboard!$A$14="All",D29=Dashboard!$A$14),OR(Dashboard!$A$18="All",E29=Dashboard!$A$18),OR(Dashboard!$A$22="All",F29=Dashboard!$A$22))</f>
        <v>1</v>
      </c>
    </row>
    <row r="30" spans="1:8" ht="15.75" customHeight="1">
      <c r="A30" s="4">
        <v>2024</v>
      </c>
      <c r="B30" s="4">
        <v>1</v>
      </c>
      <c r="C30" s="4" t="s">
        <v>30</v>
      </c>
      <c r="D30" s="4" t="s">
        <v>14</v>
      </c>
      <c r="E30" s="4" t="s">
        <v>6</v>
      </c>
      <c r="F30" s="4" t="s">
        <v>10</v>
      </c>
      <c r="G30" s="5">
        <v>3217.5</v>
      </c>
      <c r="H30" s="4">
        <f>--AND(OR(Dashboard!$A$10="All",A30=Dashboard!$A$10),OR(Dashboard!$A$14="All",D30=Dashboard!$A$14),OR(Dashboard!$A$18="All",E30=Dashboard!$A$18),OR(Dashboard!$A$22="All",F30=Dashboard!$A$22))</f>
        <v>1</v>
      </c>
    </row>
    <row r="31" spans="1:8" ht="15.75" customHeight="1">
      <c r="A31" s="4">
        <v>2024</v>
      </c>
      <c r="B31" s="4">
        <v>1</v>
      </c>
      <c r="C31" s="4" t="s">
        <v>30</v>
      </c>
      <c r="D31" s="4" t="s">
        <v>14</v>
      </c>
      <c r="E31" s="4" t="s">
        <v>6</v>
      </c>
      <c r="F31" s="4" t="s">
        <v>13</v>
      </c>
      <c r="G31" s="5">
        <v>1950</v>
      </c>
      <c r="H31" s="4">
        <f>--AND(OR(Dashboard!$A$10="All",A31=Dashboard!$A$10),OR(Dashboard!$A$14="All",D31=Dashboard!$A$14),OR(Dashboard!$A$18="All",E31=Dashboard!$A$18),OR(Dashboard!$A$22="All",F31=Dashboard!$A$22))</f>
        <v>1</v>
      </c>
    </row>
    <row r="32" spans="1:8" ht="15.75" customHeight="1">
      <c r="A32" s="4">
        <v>2024</v>
      </c>
      <c r="B32" s="4">
        <v>1</v>
      </c>
      <c r="C32" s="4" t="s">
        <v>30</v>
      </c>
      <c r="D32" s="4" t="s">
        <v>14</v>
      </c>
      <c r="E32" s="4" t="s">
        <v>9</v>
      </c>
      <c r="F32" s="4" t="s">
        <v>7</v>
      </c>
      <c r="G32" s="5">
        <v>3120</v>
      </c>
      <c r="H32" s="4">
        <f>--AND(OR(Dashboard!$A$10="All",A32=Dashboard!$A$10),OR(Dashboard!$A$14="All",D32=Dashboard!$A$14),OR(Dashboard!$A$18="All",E32=Dashboard!$A$18),OR(Dashboard!$A$22="All",F32=Dashboard!$A$22))</f>
        <v>1</v>
      </c>
    </row>
    <row r="33" spans="1:8" ht="15.75" customHeight="1">
      <c r="A33" s="4">
        <v>2024</v>
      </c>
      <c r="B33" s="4">
        <v>1</v>
      </c>
      <c r="C33" s="4" t="s">
        <v>30</v>
      </c>
      <c r="D33" s="4" t="s">
        <v>14</v>
      </c>
      <c r="E33" s="4" t="s">
        <v>9</v>
      </c>
      <c r="F33" s="4" t="s">
        <v>10</v>
      </c>
      <c r="G33" s="5">
        <v>2059.1999999999998</v>
      </c>
      <c r="H33" s="4">
        <f>--AND(OR(Dashboard!$A$10="All",A33=Dashboard!$A$10),OR(Dashboard!$A$14="All",D33=Dashboard!$A$14),OR(Dashboard!$A$18="All",E33=Dashboard!$A$18),OR(Dashboard!$A$22="All",F33=Dashboard!$A$22))</f>
        <v>1</v>
      </c>
    </row>
    <row r="34" spans="1:8" ht="15.75" customHeight="1">
      <c r="A34" s="4">
        <v>2024</v>
      </c>
      <c r="B34" s="4">
        <v>1</v>
      </c>
      <c r="C34" s="4" t="s">
        <v>30</v>
      </c>
      <c r="D34" s="4" t="s">
        <v>14</v>
      </c>
      <c r="E34" s="4" t="s">
        <v>9</v>
      </c>
      <c r="F34" s="4" t="s">
        <v>13</v>
      </c>
      <c r="G34" s="5">
        <v>1248</v>
      </c>
      <c r="H34" s="4">
        <f>--AND(OR(Dashboard!$A$10="All",A34=Dashboard!$A$10),OR(Dashboard!$A$14="All",D34=Dashboard!$A$14),OR(Dashboard!$A$18="All",E34=Dashboard!$A$18),OR(Dashboard!$A$22="All",F34=Dashboard!$A$22))</f>
        <v>1</v>
      </c>
    </row>
    <row r="35" spans="1:8" ht="15.75" customHeight="1">
      <c r="A35" s="4">
        <v>2024</v>
      </c>
      <c r="B35" s="4">
        <v>1</v>
      </c>
      <c r="C35" s="4" t="s">
        <v>30</v>
      </c>
      <c r="D35" s="4" t="s">
        <v>14</v>
      </c>
      <c r="E35" s="4" t="s">
        <v>12</v>
      </c>
      <c r="F35" s="4" t="s">
        <v>7</v>
      </c>
      <c r="G35" s="5">
        <v>4290</v>
      </c>
      <c r="H35" s="4">
        <f>--AND(OR(Dashboard!$A$10="All",A35=Dashboard!$A$10),OR(Dashboard!$A$14="All",D35=Dashboard!$A$14),OR(Dashboard!$A$18="All",E35=Dashboard!$A$18),OR(Dashboard!$A$22="All",F35=Dashboard!$A$22))</f>
        <v>1</v>
      </c>
    </row>
    <row r="36" spans="1:8" ht="15.75" customHeight="1">
      <c r="A36" s="4">
        <v>2024</v>
      </c>
      <c r="B36" s="4">
        <v>1</v>
      </c>
      <c r="C36" s="4" t="s">
        <v>30</v>
      </c>
      <c r="D36" s="4" t="s">
        <v>14</v>
      </c>
      <c r="E36" s="4" t="s">
        <v>12</v>
      </c>
      <c r="F36" s="4" t="s">
        <v>10</v>
      </c>
      <c r="G36" s="5">
        <v>2831.4</v>
      </c>
      <c r="H36" s="4">
        <f>--AND(OR(Dashboard!$A$10="All",A36=Dashboard!$A$10),OR(Dashboard!$A$14="All",D36=Dashboard!$A$14),OR(Dashboard!$A$18="All",E36=Dashboard!$A$18),OR(Dashboard!$A$22="All",F36=Dashboard!$A$22))</f>
        <v>1</v>
      </c>
    </row>
    <row r="37" spans="1:8" ht="15.75" customHeight="1">
      <c r="A37" s="4">
        <v>2024</v>
      </c>
      <c r="B37" s="4">
        <v>1</v>
      </c>
      <c r="C37" s="4" t="s">
        <v>30</v>
      </c>
      <c r="D37" s="4" t="s">
        <v>14</v>
      </c>
      <c r="E37" s="4" t="s">
        <v>12</v>
      </c>
      <c r="F37" s="4" t="s">
        <v>13</v>
      </c>
      <c r="G37" s="5">
        <v>1716</v>
      </c>
      <c r="H37" s="4">
        <f>--AND(OR(Dashboard!$A$10="All",A37=Dashboard!$A$10),OR(Dashboard!$A$14="All",D37=Dashboard!$A$14),OR(Dashboard!$A$18="All",E37=Dashboard!$A$18),OR(Dashboard!$A$22="All",F37=Dashboard!$A$22))</f>
        <v>1</v>
      </c>
    </row>
    <row r="38" spans="1:8" ht="15.75" customHeight="1">
      <c r="A38" s="4">
        <v>2024</v>
      </c>
      <c r="B38" s="4">
        <v>2</v>
      </c>
      <c r="C38" s="4" t="s">
        <v>70</v>
      </c>
      <c r="D38" s="4" t="s">
        <v>5</v>
      </c>
      <c r="E38" s="4" t="s">
        <v>6</v>
      </c>
      <c r="F38" s="4" t="s">
        <v>7</v>
      </c>
      <c r="G38" s="5">
        <v>16250</v>
      </c>
      <c r="H38" s="4">
        <f>--AND(OR(Dashboard!$A$10="All",A38=Dashboard!$A$10),OR(Dashboard!$A$14="All",D38=Dashboard!$A$14),OR(Dashboard!$A$18="All",E38=Dashboard!$A$18),OR(Dashboard!$A$22="All",F38=Dashboard!$A$22))</f>
        <v>1</v>
      </c>
    </row>
    <row r="39" spans="1:8" ht="15.75" customHeight="1">
      <c r="A39" s="4">
        <v>2024</v>
      </c>
      <c r="B39" s="4">
        <v>2</v>
      </c>
      <c r="C39" s="4" t="s">
        <v>70</v>
      </c>
      <c r="D39" s="4" t="s">
        <v>5</v>
      </c>
      <c r="E39" s="4" t="s">
        <v>6</v>
      </c>
      <c r="F39" s="4" t="s">
        <v>10</v>
      </c>
      <c r="G39" s="5">
        <v>10725</v>
      </c>
      <c r="H39" s="4">
        <f>--AND(OR(Dashboard!$A$10="All",A39=Dashboard!$A$10),OR(Dashboard!$A$14="All",D39=Dashboard!$A$14),OR(Dashboard!$A$18="All",E39=Dashboard!$A$18),OR(Dashboard!$A$22="All",F39=Dashboard!$A$22))</f>
        <v>1</v>
      </c>
    </row>
    <row r="40" spans="1:8" ht="15.75" customHeight="1">
      <c r="A40" s="4">
        <v>2024</v>
      </c>
      <c r="B40" s="4">
        <v>2</v>
      </c>
      <c r="C40" s="4" t="s">
        <v>70</v>
      </c>
      <c r="D40" s="4" t="s">
        <v>5</v>
      </c>
      <c r="E40" s="4" t="s">
        <v>6</v>
      </c>
      <c r="F40" s="4" t="s">
        <v>13</v>
      </c>
      <c r="G40" s="5">
        <v>6500</v>
      </c>
      <c r="H40" s="4">
        <f>--AND(OR(Dashboard!$A$10="All",A40=Dashboard!$A$10),OR(Dashboard!$A$14="All",D40=Dashboard!$A$14),OR(Dashboard!$A$18="All",E40=Dashboard!$A$18),OR(Dashboard!$A$22="All",F40=Dashboard!$A$22))</f>
        <v>1</v>
      </c>
    </row>
    <row r="41" spans="1:8" ht="15.75" customHeight="1">
      <c r="A41" s="4">
        <v>2024</v>
      </c>
      <c r="B41" s="4">
        <v>2</v>
      </c>
      <c r="C41" s="4" t="s">
        <v>70</v>
      </c>
      <c r="D41" s="4" t="s">
        <v>5</v>
      </c>
      <c r="E41" s="4" t="s">
        <v>9</v>
      </c>
      <c r="F41" s="4" t="s">
        <v>7</v>
      </c>
      <c r="G41" s="5">
        <v>10400</v>
      </c>
      <c r="H41" s="4">
        <f>--AND(OR(Dashboard!$A$10="All",A41=Dashboard!$A$10),OR(Dashboard!$A$14="All",D41=Dashboard!$A$14),OR(Dashboard!$A$18="All",E41=Dashboard!$A$18),OR(Dashboard!$A$22="All",F41=Dashboard!$A$22))</f>
        <v>1</v>
      </c>
    </row>
    <row r="42" spans="1:8" ht="15.75" customHeight="1">
      <c r="A42" s="4">
        <v>2024</v>
      </c>
      <c r="B42" s="4">
        <v>2</v>
      </c>
      <c r="C42" s="4" t="s">
        <v>70</v>
      </c>
      <c r="D42" s="4" t="s">
        <v>5</v>
      </c>
      <c r="E42" s="4" t="s">
        <v>9</v>
      </c>
      <c r="F42" s="4" t="s">
        <v>10</v>
      </c>
      <c r="G42" s="5">
        <v>6864</v>
      </c>
      <c r="H42" s="4">
        <f>--AND(OR(Dashboard!$A$10="All",A42=Dashboard!$A$10),OR(Dashboard!$A$14="All",D42=Dashboard!$A$14),OR(Dashboard!$A$18="All",E42=Dashboard!$A$18),OR(Dashboard!$A$22="All",F42=Dashboard!$A$22))</f>
        <v>1</v>
      </c>
    </row>
    <row r="43" spans="1:8" ht="15.75" customHeight="1">
      <c r="A43" s="4">
        <v>2024</v>
      </c>
      <c r="B43" s="4">
        <v>2</v>
      </c>
      <c r="C43" s="4" t="s">
        <v>70</v>
      </c>
      <c r="D43" s="4" t="s">
        <v>5</v>
      </c>
      <c r="E43" s="4" t="s">
        <v>9</v>
      </c>
      <c r="F43" s="4" t="s">
        <v>13</v>
      </c>
      <c r="G43" s="5">
        <v>4160</v>
      </c>
      <c r="H43" s="4">
        <f>--AND(OR(Dashboard!$A$10="All",A43=Dashboard!$A$10),OR(Dashboard!$A$14="All",D43=Dashboard!$A$14),OR(Dashboard!$A$18="All",E43=Dashboard!$A$18),OR(Dashboard!$A$22="All",F43=Dashboard!$A$22))</f>
        <v>1</v>
      </c>
    </row>
    <row r="44" spans="1:8" ht="15.75" customHeight="1">
      <c r="A44" s="4">
        <v>2024</v>
      </c>
      <c r="B44" s="4">
        <v>2</v>
      </c>
      <c r="C44" s="4" t="s">
        <v>70</v>
      </c>
      <c r="D44" s="4" t="s">
        <v>5</v>
      </c>
      <c r="E44" s="4" t="s">
        <v>12</v>
      </c>
      <c r="F44" s="4" t="s">
        <v>7</v>
      </c>
      <c r="G44" s="5">
        <v>14300</v>
      </c>
      <c r="H44" s="4">
        <f>--AND(OR(Dashboard!$A$10="All",A44=Dashboard!$A$10),OR(Dashboard!$A$14="All",D44=Dashboard!$A$14),OR(Dashboard!$A$18="All",E44=Dashboard!$A$18),OR(Dashboard!$A$22="All",F44=Dashboard!$A$22))</f>
        <v>1</v>
      </c>
    </row>
    <row r="45" spans="1:8" ht="15.75" customHeight="1">
      <c r="A45" s="4">
        <v>2024</v>
      </c>
      <c r="B45" s="4">
        <v>2</v>
      </c>
      <c r="C45" s="4" t="s">
        <v>70</v>
      </c>
      <c r="D45" s="4" t="s">
        <v>5</v>
      </c>
      <c r="E45" s="4" t="s">
        <v>12</v>
      </c>
      <c r="F45" s="4" t="s">
        <v>10</v>
      </c>
      <c r="G45" s="5">
        <v>9438</v>
      </c>
      <c r="H45" s="4">
        <f>--AND(OR(Dashboard!$A$10="All",A45=Dashboard!$A$10),OR(Dashboard!$A$14="All",D45=Dashboard!$A$14),OR(Dashboard!$A$18="All",E45=Dashboard!$A$18),OR(Dashboard!$A$22="All",F45=Dashboard!$A$22))</f>
        <v>1</v>
      </c>
    </row>
    <row r="46" spans="1:8" ht="15.75" customHeight="1">
      <c r="A46" s="4">
        <v>2024</v>
      </c>
      <c r="B46" s="4">
        <v>2</v>
      </c>
      <c r="C46" s="4" t="s">
        <v>70</v>
      </c>
      <c r="D46" s="4" t="s">
        <v>5</v>
      </c>
      <c r="E46" s="4" t="s">
        <v>12</v>
      </c>
      <c r="F46" s="4" t="s">
        <v>13</v>
      </c>
      <c r="G46" s="5">
        <v>5720</v>
      </c>
      <c r="H46" s="4">
        <f>--AND(OR(Dashboard!$A$10="All",A46=Dashboard!$A$10),OR(Dashboard!$A$14="All",D46=Dashboard!$A$14),OR(Dashboard!$A$18="All",E46=Dashboard!$A$18),OR(Dashboard!$A$22="All",F46=Dashboard!$A$22))</f>
        <v>1</v>
      </c>
    </row>
    <row r="47" spans="1:8" ht="15.75" customHeight="1">
      <c r="A47" s="4">
        <v>2024</v>
      </c>
      <c r="B47" s="4">
        <v>2</v>
      </c>
      <c r="C47" s="4" t="s">
        <v>70</v>
      </c>
      <c r="D47" s="4" t="s">
        <v>8</v>
      </c>
      <c r="E47" s="4" t="s">
        <v>6</v>
      </c>
      <c r="F47" s="4" t="s">
        <v>7</v>
      </c>
      <c r="G47" s="5">
        <v>10075</v>
      </c>
      <c r="H47" s="4">
        <f>--AND(OR(Dashboard!$A$10="All",A47=Dashboard!$A$10),OR(Dashboard!$A$14="All",D47=Dashboard!$A$14),OR(Dashboard!$A$18="All",E47=Dashboard!$A$18),OR(Dashboard!$A$22="All",F47=Dashboard!$A$22))</f>
        <v>1</v>
      </c>
    </row>
    <row r="48" spans="1:8" ht="15.75" customHeight="1">
      <c r="A48" s="4">
        <v>2024</v>
      </c>
      <c r="B48" s="4">
        <v>2</v>
      </c>
      <c r="C48" s="4" t="s">
        <v>70</v>
      </c>
      <c r="D48" s="4" t="s">
        <v>8</v>
      </c>
      <c r="E48" s="4" t="s">
        <v>6</v>
      </c>
      <c r="F48" s="4" t="s">
        <v>10</v>
      </c>
      <c r="G48" s="5">
        <v>6649.5</v>
      </c>
      <c r="H48" s="4">
        <f>--AND(OR(Dashboard!$A$10="All",A48=Dashboard!$A$10),OR(Dashboard!$A$14="All",D48=Dashboard!$A$14),OR(Dashboard!$A$18="All",E48=Dashboard!$A$18),OR(Dashboard!$A$22="All",F48=Dashboard!$A$22))</f>
        <v>1</v>
      </c>
    </row>
    <row r="49" spans="1:8" ht="15.75" customHeight="1">
      <c r="A49" s="4">
        <v>2024</v>
      </c>
      <c r="B49" s="4">
        <v>2</v>
      </c>
      <c r="C49" s="4" t="s">
        <v>70</v>
      </c>
      <c r="D49" s="4" t="s">
        <v>8</v>
      </c>
      <c r="E49" s="4" t="s">
        <v>6</v>
      </c>
      <c r="F49" s="4" t="s">
        <v>13</v>
      </c>
      <c r="G49" s="5">
        <v>4030</v>
      </c>
      <c r="H49" s="4">
        <f>--AND(OR(Dashboard!$A$10="All",A49=Dashboard!$A$10),OR(Dashboard!$A$14="All",D49=Dashboard!$A$14),OR(Dashboard!$A$18="All",E49=Dashboard!$A$18),OR(Dashboard!$A$22="All",F49=Dashboard!$A$22))</f>
        <v>1</v>
      </c>
    </row>
    <row r="50" spans="1:8" ht="15.75" customHeight="1">
      <c r="A50" s="4">
        <v>2024</v>
      </c>
      <c r="B50" s="4">
        <v>2</v>
      </c>
      <c r="C50" s="4" t="s">
        <v>70</v>
      </c>
      <c r="D50" s="4" t="s">
        <v>8</v>
      </c>
      <c r="E50" s="4" t="s">
        <v>9</v>
      </c>
      <c r="F50" s="4" t="s">
        <v>7</v>
      </c>
      <c r="G50" s="5">
        <v>6448</v>
      </c>
      <c r="H50" s="4">
        <f>--AND(OR(Dashboard!$A$10="All",A50=Dashboard!$A$10),OR(Dashboard!$A$14="All",D50=Dashboard!$A$14),OR(Dashboard!$A$18="All",E50=Dashboard!$A$18),OR(Dashboard!$A$22="All",F50=Dashboard!$A$22))</f>
        <v>1</v>
      </c>
    </row>
    <row r="51" spans="1:8" ht="15.75" customHeight="1">
      <c r="A51" s="4">
        <v>2024</v>
      </c>
      <c r="B51" s="4">
        <v>2</v>
      </c>
      <c r="C51" s="4" t="s">
        <v>70</v>
      </c>
      <c r="D51" s="4" t="s">
        <v>8</v>
      </c>
      <c r="E51" s="4" t="s">
        <v>9</v>
      </c>
      <c r="F51" s="4" t="s">
        <v>10</v>
      </c>
      <c r="G51" s="5">
        <v>4255.68</v>
      </c>
      <c r="H51" s="4">
        <f>--AND(OR(Dashboard!$A$10="All",A51=Dashboard!$A$10),OR(Dashboard!$A$14="All",D51=Dashboard!$A$14),OR(Dashboard!$A$18="All",E51=Dashboard!$A$18),OR(Dashboard!$A$22="All",F51=Dashboard!$A$22))</f>
        <v>1</v>
      </c>
    </row>
    <row r="52" spans="1:8" ht="15.75" customHeight="1">
      <c r="A52" s="4">
        <v>2024</v>
      </c>
      <c r="B52" s="4">
        <v>2</v>
      </c>
      <c r="C52" s="4" t="s">
        <v>70</v>
      </c>
      <c r="D52" s="4" t="s">
        <v>8</v>
      </c>
      <c r="E52" s="4" t="s">
        <v>9</v>
      </c>
      <c r="F52" s="4" t="s">
        <v>13</v>
      </c>
      <c r="G52" s="5">
        <v>2579.1999999999998</v>
      </c>
      <c r="H52" s="4">
        <f>--AND(OR(Dashboard!$A$10="All",A52=Dashboard!$A$10),OR(Dashboard!$A$14="All",D52=Dashboard!$A$14),OR(Dashboard!$A$18="All",E52=Dashboard!$A$18),OR(Dashboard!$A$22="All",F52=Dashboard!$A$22))</f>
        <v>1</v>
      </c>
    </row>
    <row r="53" spans="1:8" ht="15.75" customHeight="1">
      <c r="A53" s="4">
        <v>2024</v>
      </c>
      <c r="B53" s="4">
        <v>2</v>
      </c>
      <c r="C53" s="4" t="s">
        <v>70</v>
      </c>
      <c r="D53" s="4" t="s">
        <v>8</v>
      </c>
      <c r="E53" s="4" t="s">
        <v>12</v>
      </c>
      <c r="F53" s="4" t="s">
        <v>7</v>
      </c>
      <c r="G53" s="5">
        <v>8866</v>
      </c>
      <c r="H53" s="4">
        <f>--AND(OR(Dashboard!$A$10="All",A53=Dashboard!$A$10),OR(Dashboard!$A$14="All",D53=Dashboard!$A$14),OR(Dashboard!$A$18="All",E53=Dashboard!$A$18),OR(Dashboard!$A$22="All",F53=Dashboard!$A$22))</f>
        <v>1</v>
      </c>
    </row>
    <row r="54" spans="1:8" ht="15.75" customHeight="1">
      <c r="A54" s="4">
        <v>2024</v>
      </c>
      <c r="B54" s="4">
        <v>2</v>
      </c>
      <c r="C54" s="4" t="s">
        <v>70</v>
      </c>
      <c r="D54" s="4" t="s">
        <v>8</v>
      </c>
      <c r="E54" s="4" t="s">
        <v>12</v>
      </c>
      <c r="F54" s="4" t="s">
        <v>10</v>
      </c>
      <c r="G54" s="5">
        <v>5851.56</v>
      </c>
      <c r="H54" s="4">
        <f>--AND(OR(Dashboard!$A$10="All",A54=Dashboard!$A$10),OR(Dashboard!$A$14="All",D54=Dashboard!$A$14),OR(Dashboard!$A$18="All",E54=Dashboard!$A$18),OR(Dashboard!$A$22="All",F54=Dashboard!$A$22))</f>
        <v>1</v>
      </c>
    </row>
    <row r="55" spans="1:8" ht="15.75" customHeight="1">
      <c r="A55" s="4">
        <v>2024</v>
      </c>
      <c r="B55" s="4">
        <v>2</v>
      </c>
      <c r="C55" s="4" t="s">
        <v>70</v>
      </c>
      <c r="D55" s="4" t="s">
        <v>8</v>
      </c>
      <c r="E55" s="4" t="s">
        <v>12</v>
      </c>
      <c r="F55" s="4" t="s">
        <v>13</v>
      </c>
      <c r="G55" s="5">
        <v>3546.4</v>
      </c>
      <c r="H55" s="4">
        <f>--AND(OR(Dashboard!$A$10="All",A55=Dashboard!$A$10),OR(Dashboard!$A$14="All",D55=Dashboard!$A$14),OR(Dashboard!$A$18="All",E55=Dashboard!$A$18),OR(Dashboard!$A$22="All",F55=Dashboard!$A$22))</f>
        <v>1</v>
      </c>
    </row>
    <row r="56" spans="1:8" ht="15.75" customHeight="1">
      <c r="A56" s="4">
        <v>2024</v>
      </c>
      <c r="B56" s="4">
        <v>2</v>
      </c>
      <c r="C56" s="4" t="s">
        <v>70</v>
      </c>
      <c r="D56" s="4" t="s">
        <v>11</v>
      </c>
      <c r="E56" s="4" t="s">
        <v>6</v>
      </c>
      <c r="F56" s="4" t="s">
        <v>7</v>
      </c>
      <c r="G56" s="5">
        <v>7150</v>
      </c>
      <c r="H56" s="4">
        <f>--AND(OR(Dashboard!$A$10="All",A56=Dashboard!$A$10),OR(Dashboard!$A$14="All",D56=Dashboard!$A$14),OR(Dashboard!$A$18="All",E56=Dashboard!$A$18),OR(Dashboard!$A$22="All",F56=Dashboard!$A$22))</f>
        <v>1</v>
      </c>
    </row>
    <row r="57" spans="1:8" ht="15.75" customHeight="1">
      <c r="A57" s="4">
        <v>2024</v>
      </c>
      <c r="B57" s="4">
        <v>2</v>
      </c>
      <c r="C57" s="4" t="s">
        <v>70</v>
      </c>
      <c r="D57" s="4" t="s">
        <v>11</v>
      </c>
      <c r="E57" s="4" t="s">
        <v>6</v>
      </c>
      <c r="F57" s="4" t="s">
        <v>10</v>
      </c>
      <c r="G57" s="5">
        <v>4719</v>
      </c>
      <c r="H57" s="4">
        <f>--AND(OR(Dashboard!$A$10="All",A57=Dashboard!$A$10),OR(Dashboard!$A$14="All",D57=Dashboard!$A$14),OR(Dashboard!$A$18="All",E57=Dashboard!$A$18),OR(Dashboard!$A$22="All",F57=Dashboard!$A$22))</f>
        <v>1</v>
      </c>
    </row>
    <row r="58" spans="1:8" ht="15.75" customHeight="1">
      <c r="A58" s="4">
        <v>2024</v>
      </c>
      <c r="B58" s="4">
        <v>2</v>
      </c>
      <c r="C58" s="4" t="s">
        <v>70</v>
      </c>
      <c r="D58" s="4" t="s">
        <v>11</v>
      </c>
      <c r="E58" s="4" t="s">
        <v>6</v>
      </c>
      <c r="F58" s="4" t="s">
        <v>13</v>
      </c>
      <c r="G58" s="5">
        <v>2860</v>
      </c>
      <c r="H58" s="4">
        <f>--AND(OR(Dashboard!$A$10="All",A58=Dashboard!$A$10),OR(Dashboard!$A$14="All",D58=Dashboard!$A$14),OR(Dashboard!$A$18="All",E58=Dashboard!$A$18),OR(Dashboard!$A$22="All",F58=Dashboard!$A$22))</f>
        <v>1</v>
      </c>
    </row>
    <row r="59" spans="1:8" ht="15.75" customHeight="1">
      <c r="A59" s="4">
        <v>2024</v>
      </c>
      <c r="B59" s="4">
        <v>2</v>
      </c>
      <c r="C59" s="4" t="s">
        <v>70</v>
      </c>
      <c r="D59" s="4" t="s">
        <v>11</v>
      </c>
      <c r="E59" s="4" t="s">
        <v>9</v>
      </c>
      <c r="F59" s="4" t="s">
        <v>7</v>
      </c>
      <c r="G59" s="5">
        <v>4576</v>
      </c>
      <c r="H59" s="4">
        <f>--AND(OR(Dashboard!$A$10="All",A59=Dashboard!$A$10),OR(Dashboard!$A$14="All",D59=Dashboard!$A$14),OR(Dashboard!$A$18="All",E59=Dashboard!$A$18),OR(Dashboard!$A$22="All",F59=Dashboard!$A$22))</f>
        <v>1</v>
      </c>
    </row>
    <row r="60" spans="1:8" ht="15.75" customHeight="1">
      <c r="A60" s="4">
        <v>2024</v>
      </c>
      <c r="B60" s="4">
        <v>2</v>
      </c>
      <c r="C60" s="4" t="s">
        <v>70</v>
      </c>
      <c r="D60" s="4" t="s">
        <v>11</v>
      </c>
      <c r="E60" s="4" t="s">
        <v>9</v>
      </c>
      <c r="F60" s="4" t="s">
        <v>10</v>
      </c>
      <c r="G60" s="5">
        <v>3020.16</v>
      </c>
      <c r="H60" s="4">
        <f>--AND(OR(Dashboard!$A$10="All",A60=Dashboard!$A$10),OR(Dashboard!$A$14="All",D60=Dashboard!$A$14),OR(Dashboard!$A$18="All",E60=Dashboard!$A$18),OR(Dashboard!$A$22="All",F60=Dashboard!$A$22))</f>
        <v>1</v>
      </c>
    </row>
    <row r="61" spans="1:8" ht="15.75" customHeight="1">
      <c r="A61" s="4">
        <v>2024</v>
      </c>
      <c r="B61" s="4">
        <v>2</v>
      </c>
      <c r="C61" s="4" t="s">
        <v>70</v>
      </c>
      <c r="D61" s="4" t="s">
        <v>11</v>
      </c>
      <c r="E61" s="4" t="s">
        <v>9</v>
      </c>
      <c r="F61" s="4" t="s">
        <v>13</v>
      </c>
      <c r="G61" s="5">
        <v>1830.4</v>
      </c>
      <c r="H61" s="4">
        <f>--AND(OR(Dashboard!$A$10="All",A61=Dashboard!$A$10),OR(Dashboard!$A$14="All",D61=Dashboard!$A$14),OR(Dashboard!$A$18="All",E61=Dashboard!$A$18),OR(Dashboard!$A$22="All",F61=Dashboard!$A$22))</f>
        <v>1</v>
      </c>
    </row>
    <row r="62" spans="1:8" ht="15.75" customHeight="1">
      <c r="A62" s="4">
        <v>2024</v>
      </c>
      <c r="B62" s="4">
        <v>2</v>
      </c>
      <c r="C62" s="4" t="s">
        <v>70</v>
      </c>
      <c r="D62" s="4" t="s">
        <v>11</v>
      </c>
      <c r="E62" s="4" t="s">
        <v>12</v>
      </c>
      <c r="F62" s="4" t="s">
        <v>7</v>
      </c>
      <c r="G62" s="5">
        <v>6292</v>
      </c>
      <c r="H62" s="4">
        <f>--AND(OR(Dashboard!$A$10="All",A62=Dashboard!$A$10),OR(Dashboard!$A$14="All",D62=Dashboard!$A$14),OR(Dashboard!$A$18="All",E62=Dashboard!$A$18),OR(Dashboard!$A$22="All",F62=Dashboard!$A$22))</f>
        <v>1</v>
      </c>
    </row>
    <row r="63" spans="1:8" ht="15.75" customHeight="1">
      <c r="A63" s="4">
        <v>2024</v>
      </c>
      <c r="B63" s="4">
        <v>2</v>
      </c>
      <c r="C63" s="4" t="s">
        <v>70</v>
      </c>
      <c r="D63" s="4" t="s">
        <v>11</v>
      </c>
      <c r="E63" s="4" t="s">
        <v>12</v>
      </c>
      <c r="F63" s="4" t="s">
        <v>10</v>
      </c>
      <c r="G63" s="5">
        <v>4152.72</v>
      </c>
      <c r="H63" s="4">
        <f>--AND(OR(Dashboard!$A$10="All",A63=Dashboard!$A$10),OR(Dashboard!$A$14="All",D63=Dashboard!$A$14),OR(Dashboard!$A$18="All",E63=Dashboard!$A$18),OR(Dashboard!$A$22="All",F63=Dashboard!$A$22))</f>
        <v>1</v>
      </c>
    </row>
    <row r="64" spans="1:8" ht="15.75" customHeight="1">
      <c r="A64" s="4">
        <v>2024</v>
      </c>
      <c r="B64" s="4">
        <v>2</v>
      </c>
      <c r="C64" s="4" t="s">
        <v>70</v>
      </c>
      <c r="D64" s="4" t="s">
        <v>11</v>
      </c>
      <c r="E64" s="4" t="s">
        <v>12</v>
      </c>
      <c r="F64" s="4" t="s">
        <v>13</v>
      </c>
      <c r="G64" s="5">
        <v>2516.8000000000002</v>
      </c>
      <c r="H64" s="4">
        <f>--AND(OR(Dashboard!$A$10="All",A64=Dashboard!$A$10),OR(Dashboard!$A$14="All",D64=Dashboard!$A$14),OR(Dashboard!$A$18="All",E64=Dashboard!$A$18),OR(Dashboard!$A$22="All",F64=Dashboard!$A$22))</f>
        <v>1</v>
      </c>
    </row>
    <row r="65" spans="1:8" ht="15.75" customHeight="1">
      <c r="A65" s="4">
        <v>2024</v>
      </c>
      <c r="B65" s="4">
        <v>2</v>
      </c>
      <c r="C65" s="4" t="s">
        <v>70</v>
      </c>
      <c r="D65" s="4" t="s">
        <v>14</v>
      </c>
      <c r="E65" s="4" t="s">
        <v>6</v>
      </c>
      <c r="F65" s="4" t="s">
        <v>7</v>
      </c>
      <c r="G65" s="5">
        <v>4875</v>
      </c>
      <c r="H65" s="4">
        <f>--AND(OR(Dashboard!$A$10="All",A65=Dashboard!$A$10),OR(Dashboard!$A$14="All",D65=Dashboard!$A$14),OR(Dashboard!$A$18="All",E65=Dashboard!$A$18),OR(Dashboard!$A$22="All",F65=Dashboard!$A$22))</f>
        <v>1</v>
      </c>
    </row>
    <row r="66" spans="1:8" ht="15.75" customHeight="1">
      <c r="A66" s="4">
        <v>2024</v>
      </c>
      <c r="B66" s="4">
        <v>2</v>
      </c>
      <c r="C66" s="4" t="s">
        <v>70</v>
      </c>
      <c r="D66" s="4" t="s">
        <v>14</v>
      </c>
      <c r="E66" s="4" t="s">
        <v>6</v>
      </c>
      <c r="F66" s="4" t="s">
        <v>10</v>
      </c>
      <c r="G66" s="5">
        <v>3217.5</v>
      </c>
      <c r="H66" s="4">
        <f>--AND(OR(Dashboard!$A$10="All",A66=Dashboard!$A$10),OR(Dashboard!$A$14="All",D66=Dashboard!$A$14),OR(Dashboard!$A$18="All",E66=Dashboard!$A$18),OR(Dashboard!$A$22="All",F66=Dashboard!$A$22))</f>
        <v>1</v>
      </c>
    </row>
    <row r="67" spans="1:8" ht="15.75" customHeight="1">
      <c r="A67" s="4">
        <v>2024</v>
      </c>
      <c r="B67" s="4">
        <v>2</v>
      </c>
      <c r="C67" s="4" t="s">
        <v>70</v>
      </c>
      <c r="D67" s="4" t="s">
        <v>14</v>
      </c>
      <c r="E67" s="4" t="s">
        <v>6</v>
      </c>
      <c r="F67" s="4" t="s">
        <v>13</v>
      </c>
      <c r="G67" s="5">
        <v>1950</v>
      </c>
      <c r="H67" s="4">
        <f>--AND(OR(Dashboard!$A$10="All",A67=Dashboard!$A$10),OR(Dashboard!$A$14="All",D67=Dashboard!$A$14),OR(Dashboard!$A$18="All",E67=Dashboard!$A$18),OR(Dashboard!$A$22="All",F67=Dashboard!$A$22))</f>
        <v>1</v>
      </c>
    </row>
    <row r="68" spans="1:8" ht="15.75" customHeight="1">
      <c r="A68" s="4">
        <v>2024</v>
      </c>
      <c r="B68" s="4">
        <v>2</v>
      </c>
      <c r="C68" s="4" t="s">
        <v>70</v>
      </c>
      <c r="D68" s="4" t="s">
        <v>14</v>
      </c>
      <c r="E68" s="4" t="s">
        <v>9</v>
      </c>
      <c r="F68" s="4" t="s">
        <v>7</v>
      </c>
      <c r="G68" s="5">
        <v>3120</v>
      </c>
      <c r="H68" s="4">
        <f>--AND(OR(Dashboard!$A$10="All",A68=Dashboard!$A$10),OR(Dashboard!$A$14="All",D68=Dashboard!$A$14),OR(Dashboard!$A$18="All",E68=Dashboard!$A$18),OR(Dashboard!$A$22="All",F68=Dashboard!$A$22))</f>
        <v>1</v>
      </c>
    </row>
    <row r="69" spans="1:8" ht="15.75" customHeight="1">
      <c r="A69" s="4">
        <v>2024</v>
      </c>
      <c r="B69" s="4">
        <v>2</v>
      </c>
      <c r="C69" s="4" t="s">
        <v>70</v>
      </c>
      <c r="D69" s="4" t="s">
        <v>14</v>
      </c>
      <c r="E69" s="4" t="s">
        <v>9</v>
      </c>
      <c r="F69" s="4" t="s">
        <v>10</v>
      </c>
      <c r="G69" s="5">
        <v>2059.1999999999998</v>
      </c>
      <c r="H69" s="4">
        <f>--AND(OR(Dashboard!$A$10="All",A69=Dashboard!$A$10),OR(Dashboard!$A$14="All",D69=Dashboard!$A$14),OR(Dashboard!$A$18="All",E69=Dashboard!$A$18),OR(Dashboard!$A$22="All",F69=Dashboard!$A$22))</f>
        <v>1</v>
      </c>
    </row>
    <row r="70" spans="1:8" ht="15.75" customHeight="1">
      <c r="A70" s="4">
        <v>2024</v>
      </c>
      <c r="B70" s="4">
        <v>2</v>
      </c>
      <c r="C70" s="4" t="s">
        <v>70</v>
      </c>
      <c r="D70" s="4" t="s">
        <v>14</v>
      </c>
      <c r="E70" s="4" t="s">
        <v>9</v>
      </c>
      <c r="F70" s="4" t="s">
        <v>13</v>
      </c>
      <c r="G70" s="5">
        <v>1248</v>
      </c>
      <c r="H70" s="4">
        <f>--AND(OR(Dashboard!$A$10="All",A70=Dashboard!$A$10),OR(Dashboard!$A$14="All",D70=Dashboard!$A$14),OR(Dashboard!$A$18="All",E70=Dashboard!$A$18),OR(Dashboard!$A$22="All",F70=Dashboard!$A$22))</f>
        <v>1</v>
      </c>
    </row>
    <row r="71" spans="1:8" ht="15.75" customHeight="1">
      <c r="A71" s="4">
        <v>2024</v>
      </c>
      <c r="B71" s="4">
        <v>2</v>
      </c>
      <c r="C71" s="4" t="s">
        <v>70</v>
      </c>
      <c r="D71" s="4" t="s">
        <v>14</v>
      </c>
      <c r="E71" s="4" t="s">
        <v>12</v>
      </c>
      <c r="F71" s="4" t="s">
        <v>7</v>
      </c>
      <c r="G71" s="5">
        <v>4290</v>
      </c>
      <c r="H71" s="4">
        <f>--AND(OR(Dashboard!$A$10="All",A71=Dashboard!$A$10),OR(Dashboard!$A$14="All",D71=Dashboard!$A$14),OR(Dashboard!$A$18="All",E71=Dashboard!$A$18),OR(Dashboard!$A$22="All",F71=Dashboard!$A$22))</f>
        <v>1</v>
      </c>
    </row>
    <row r="72" spans="1:8" ht="15.75" customHeight="1">
      <c r="A72" s="4">
        <v>2024</v>
      </c>
      <c r="B72" s="4">
        <v>2</v>
      </c>
      <c r="C72" s="4" t="s">
        <v>70</v>
      </c>
      <c r="D72" s="4" t="s">
        <v>14</v>
      </c>
      <c r="E72" s="4" t="s">
        <v>12</v>
      </c>
      <c r="F72" s="4" t="s">
        <v>10</v>
      </c>
      <c r="G72" s="5">
        <v>2831.4</v>
      </c>
      <c r="H72" s="4">
        <f>--AND(OR(Dashboard!$A$10="All",A72=Dashboard!$A$10),OR(Dashboard!$A$14="All",D72=Dashboard!$A$14),OR(Dashboard!$A$18="All",E72=Dashboard!$A$18),OR(Dashboard!$A$22="All",F72=Dashboard!$A$22))</f>
        <v>1</v>
      </c>
    </row>
    <row r="73" spans="1:8" ht="15.75" customHeight="1">
      <c r="A73" s="4">
        <v>2024</v>
      </c>
      <c r="B73" s="4">
        <v>2</v>
      </c>
      <c r="C73" s="4" t="s">
        <v>70</v>
      </c>
      <c r="D73" s="4" t="s">
        <v>14</v>
      </c>
      <c r="E73" s="4" t="s">
        <v>12</v>
      </c>
      <c r="F73" s="4" t="s">
        <v>13</v>
      </c>
      <c r="G73" s="5">
        <v>1716</v>
      </c>
      <c r="H73" s="4">
        <f>--AND(OR(Dashboard!$A$10="All",A73=Dashboard!$A$10),OR(Dashboard!$A$14="All",D73=Dashboard!$A$14),OR(Dashboard!$A$18="All",E73=Dashboard!$A$18),OR(Dashboard!$A$22="All",F73=Dashboard!$A$22))</f>
        <v>1</v>
      </c>
    </row>
    <row r="74" spans="1:8" ht="15.75" customHeight="1">
      <c r="A74" s="4">
        <v>2024</v>
      </c>
      <c r="B74" s="4">
        <v>3</v>
      </c>
      <c r="C74" s="4" t="s">
        <v>100</v>
      </c>
      <c r="D74" s="4" t="s">
        <v>5</v>
      </c>
      <c r="E74" s="4" t="s">
        <v>6</v>
      </c>
      <c r="F74" s="4" t="s">
        <v>7</v>
      </c>
      <c r="G74" s="5">
        <v>16250</v>
      </c>
      <c r="H74" s="4">
        <f>--AND(OR(Dashboard!$A$10="All",A74=Dashboard!$A$10),OR(Dashboard!$A$14="All",D74=Dashboard!$A$14),OR(Dashboard!$A$18="All",E74=Dashboard!$A$18),OR(Dashboard!$A$22="All",F74=Dashboard!$A$22))</f>
        <v>1</v>
      </c>
    </row>
    <row r="75" spans="1:8" ht="15.75" customHeight="1">
      <c r="A75" s="4">
        <v>2024</v>
      </c>
      <c r="B75" s="4">
        <v>3</v>
      </c>
      <c r="C75" s="4" t="s">
        <v>100</v>
      </c>
      <c r="D75" s="4" t="s">
        <v>5</v>
      </c>
      <c r="E75" s="4" t="s">
        <v>6</v>
      </c>
      <c r="F75" s="4" t="s">
        <v>10</v>
      </c>
      <c r="G75" s="5">
        <v>10725</v>
      </c>
      <c r="H75" s="4">
        <f>--AND(OR(Dashboard!$A$10="All",A75=Dashboard!$A$10),OR(Dashboard!$A$14="All",D75=Dashboard!$A$14),OR(Dashboard!$A$18="All",E75=Dashboard!$A$18),OR(Dashboard!$A$22="All",F75=Dashboard!$A$22))</f>
        <v>1</v>
      </c>
    </row>
    <row r="76" spans="1:8" ht="15.75" customHeight="1">
      <c r="A76" s="4">
        <v>2024</v>
      </c>
      <c r="B76" s="4">
        <v>3</v>
      </c>
      <c r="C76" s="4" t="s">
        <v>100</v>
      </c>
      <c r="D76" s="4" t="s">
        <v>5</v>
      </c>
      <c r="E76" s="4" t="s">
        <v>6</v>
      </c>
      <c r="F76" s="4" t="s">
        <v>13</v>
      </c>
      <c r="G76" s="5">
        <v>6500</v>
      </c>
      <c r="H76" s="4">
        <f>--AND(OR(Dashboard!$A$10="All",A76=Dashboard!$A$10),OR(Dashboard!$A$14="All",D76=Dashboard!$A$14),OR(Dashboard!$A$18="All",E76=Dashboard!$A$18),OR(Dashboard!$A$22="All",F76=Dashboard!$A$22))</f>
        <v>1</v>
      </c>
    </row>
    <row r="77" spans="1:8" ht="15.75" customHeight="1">
      <c r="A77" s="4">
        <v>2024</v>
      </c>
      <c r="B77" s="4">
        <v>3</v>
      </c>
      <c r="C77" s="4" t="s">
        <v>100</v>
      </c>
      <c r="D77" s="4" t="s">
        <v>5</v>
      </c>
      <c r="E77" s="4" t="s">
        <v>9</v>
      </c>
      <c r="F77" s="4" t="s">
        <v>7</v>
      </c>
      <c r="G77" s="5">
        <v>10400</v>
      </c>
      <c r="H77" s="4">
        <f>--AND(OR(Dashboard!$A$10="All",A77=Dashboard!$A$10),OR(Dashboard!$A$14="All",D77=Dashboard!$A$14),OR(Dashboard!$A$18="All",E77=Dashboard!$A$18),OR(Dashboard!$A$22="All",F77=Dashboard!$A$22))</f>
        <v>1</v>
      </c>
    </row>
    <row r="78" spans="1:8" ht="15.75" customHeight="1">
      <c r="A78" s="4">
        <v>2024</v>
      </c>
      <c r="B78" s="4">
        <v>3</v>
      </c>
      <c r="C78" s="4" t="s">
        <v>100</v>
      </c>
      <c r="D78" s="4" t="s">
        <v>5</v>
      </c>
      <c r="E78" s="4" t="s">
        <v>9</v>
      </c>
      <c r="F78" s="4" t="s">
        <v>10</v>
      </c>
      <c r="G78" s="5">
        <v>6864</v>
      </c>
      <c r="H78" s="4">
        <f>--AND(OR(Dashboard!$A$10="All",A78=Dashboard!$A$10),OR(Dashboard!$A$14="All",D78=Dashboard!$A$14),OR(Dashboard!$A$18="All",E78=Dashboard!$A$18),OR(Dashboard!$A$22="All",F78=Dashboard!$A$22))</f>
        <v>1</v>
      </c>
    </row>
    <row r="79" spans="1:8" ht="15.75" customHeight="1">
      <c r="A79" s="4">
        <v>2024</v>
      </c>
      <c r="B79" s="4">
        <v>3</v>
      </c>
      <c r="C79" s="4" t="s">
        <v>100</v>
      </c>
      <c r="D79" s="4" t="s">
        <v>5</v>
      </c>
      <c r="E79" s="4" t="s">
        <v>9</v>
      </c>
      <c r="F79" s="4" t="s">
        <v>13</v>
      </c>
      <c r="G79" s="5">
        <v>4160</v>
      </c>
      <c r="H79" s="4">
        <f>--AND(OR(Dashboard!$A$10="All",A79=Dashboard!$A$10),OR(Dashboard!$A$14="All",D79=Dashboard!$A$14),OR(Dashboard!$A$18="All",E79=Dashboard!$A$18),OR(Dashboard!$A$22="All",F79=Dashboard!$A$22))</f>
        <v>1</v>
      </c>
    </row>
    <row r="80" spans="1:8" ht="15.75" customHeight="1">
      <c r="A80" s="4">
        <v>2024</v>
      </c>
      <c r="B80" s="4">
        <v>3</v>
      </c>
      <c r="C80" s="4" t="s">
        <v>100</v>
      </c>
      <c r="D80" s="4" t="s">
        <v>5</v>
      </c>
      <c r="E80" s="4" t="s">
        <v>12</v>
      </c>
      <c r="F80" s="4" t="s">
        <v>7</v>
      </c>
      <c r="G80" s="5">
        <v>14300</v>
      </c>
      <c r="H80" s="4">
        <f>--AND(OR(Dashboard!$A$10="All",A80=Dashboard!$A$10),OR(Dashboard!$A$14="All",D80=Dashboard!$A$14),OR(Dashboard!$A$18="All",E80=Dashboard!$A$18),OR(Dashboard!$A$22="All",F80=Dashboard!$A$22))</f>
        <v>1</v>
      </c>
    </row>
    <row r="81" spans="1:8" ht="15.75" customHeight="1">
      <c r="A81" s="4">
        <v>2024</v>
      </c>
      <c r="B81" s="4">
        <v>3</v>
      </c>
      <c r="C81" s="4" t="s">
        <v>100</v>
      </c>
      <c r="D81" s="4" t="s">
        <v>5</v>
      </c>
      <c r="E81" s="4" t="s">
        <v>12</v>
      </c>
      <c r="F81" s="4" t="s">
        <v>10</v>
      </c>
      <c r="G81" s="5">
        <v>9438</v>
      </c>
      <c r="H81" s="4">
        <f>--AND(OR(Dashboard!$A$10="All",A81=Dashboard!$A$10),OR(Dashboard!$A$14="All",D81=Dashboard!$A$14),OR(Dashboard!$A$18="All",E81=Dashboard!$A$18),OR(Dashboard!$A$22="All",F81=Dashboard!$A$22))</f>
        <v>1</v>
      </c>
    </row>
    <row r="82" spans="1:8" ht="15.75" customHeight="1">
      <c r="A82" s="4">
        <v>2024</v>
      </c>
      <c r="B82" s="4">
        <v>3</v>
      </c>
      <c r="C82" s="4" t="s">
        <v>100</v>
      </c>
      <c r="D82" s="4" t="s">
        <v>5</v>
      </c>
      <c r="E82" s="4" t="s">
        <v>12</v>
      </c>
      <c r="F82" s="4" t="s">
        <v>13</v>
      </c>
      <c r="G82" s="5">
        <v>5720</v>
      </c>
      <c r="H82" s="4">
        <f>--AND(OR(Dashboard!$A$10="All",A82=Dashboard!$A$10),OR(Dashboard!$A$14="All",D82=Dashboard!$A$14),OR(Dashboard!$A$18="All",E82=Dashboard!$A$18),OR(Dashboard!$A$22="All",F82=Dashboard!$A$22))</f>
        <v>1</v>
      </c>
    </row>
    <row r="83" spans="1:8" ht="15.75" customHeight="1">
      <c r="A83" s="4">
        <v>2024</v>
      </c>
      <c r="B83" s="4">
        <v>3</v>
      </c>
      <c r="C83" s="4" t="s">
        <v>100</v>
      </c>
      <c r="D83" s="4" t="s">
        <v>8</v>
      </c>
      <c r="E83" s="4" t="s">
        <v>6</v>
      </c>
      <c r="F83" s="4" t="s">
        <v>7</v>
      </c>
      <c r="G83" s="5">
        <v>10075</v>
      </c>
      <c r="H83" s="4">
        <f>--AND(OR(Dashboard!$A$10="All",A83=Dashboard!$A$10),OR(Dashboard!$A$14="All",D83=Dashboard!$A$14),OR(Dashboard!$A$18="All",E83=Dashboard!$A$18),OR(Dashboard!$A$22="All",F83=Dashboard!$A$22))</f>
        <v>1</v>
      </c>
    </row>
    <row r="84" spans="1:8" ht="15.75" customHeight="1">
      <c r="A84" s="4">
        <v>2024</v>
      </c>
      <c r="B84" s="4">
        <v>3</v>
      </c>
      <c r="C84" s="4" t="s">
        <v>100</v>
      </c>
      <c r="D84" s="4" t="s">
        <v>8</v>
      </c>
      <c r="E84" s="4" t="s">
        <v>6</v>
      </c>
      <c r="F84" s="4" t="s">
        <v>10</v>
      </c>
      <c r="G84" s="5">
        <v>6649.5</v>
      </c>
      <c r="H84" s="4">
        <f>--AND(OR(Dashboard!$A$10="All",A84=Dashboard!$A$10),OR(Dashboard!$A$14="All",D84=Dashboard!$A$14),OR(Dashboard!$A$18="All",E84=Dashboard!$A$18),OR(Dashboard!$A$22="All",F84=Dashboard!$A$22))</f>
        <v>1</v>
      </c>
    </row>
    <row r="85" spans="1:8" ht="15.75" customHeight="1">
      <c r="A85" s="4">
        <v>2024</v>
      </c>
      <c r="B85" s="4">
        <v>3</v>
      </c>
      <c r="C85" s="4" t="s">
        <v>100</v>
      </c>
      <c r="D85" s="4" t="s">
        <v>8</v>
      </c>
      <c r="E85" s="4" t="s">
        <v>6</v>
      </c>
      <c r="F85" s="4" t="s">
        <v>13</v>
      </c>
      <c r="G85" s="5">
        <v>4030</v>
      </c>
      <c r="H85" s="4">
        <f>--AND(OR(Dashboard!$A$10="All",A85=Dashboard!$A$10),OR(Dashboard!$A$14="All",D85=Dashboard!$A$14),OR(Dashboard!$A$18="All",E85=Dashboard!$A$18),OR(Dashboard!$A$22="All",F85=Dashboard!$A$22))</f>
        <v>1</v>
      </c>
    </row>
    <row r="86" spans="1:8" ht="15.75" customHeight="1">
      <c r="A86" s="4">
        <v>2024</v>
      </c>
      <c r="B86" s="4">
        <v>3</v>
      </c>
      <c r="C86" s="4" t="s">
        <v>100</v>
      </c>
      <c r="D86" s="4" t="s">
        <v>8</v>
      </c>
      <c r="E86" s="4" t="s">
        <v>9</v>
      </c>
      <c r="F86" s="4" t="s">
        <v>7</v>
      </c>
      <c r="G86" s="5">
        <v>6448</v>
      </c>
      <c r="H86" s="4">
        <f>--AND(OR(Dashboard!$A$10="All",A86=Dashboard!$A$10),OR(Dashboard!$A$14="All",D86=Dashboard!$A$14),OR(Dashboard!$A$18="All",E86=Dashboard!$A$18),OR(Dashboard!$A$22="All",F86=Dashboard!$A$22))</f>
        <v>1</v>
      </c>
    </row>
    <row r="87" spans="1:8" ht="15.75" customHeight="1">
      <c r="A87" s="4">
        <v>2024</v>
      </c>
      <c r="B87" s="4">
        <v>3</v>
      </c>
      <c r="C87" s="4" t="s">
        <v>100</v>
      </c>
      <c r="D87" s="4" t="s">
        <v>8</v>
      </c>
      <c r="E87" s="4" t="s">
        <v>9</v>
      </c>
      <c r="F87" s="4" t="s">
        <v>10</v>
      </c>
      <c r="G87" s="5">
        <v>4255.68</v>
      </c>
      <c r="H87" s="4">
        <f>--AND(OR(Dashboard!$A$10="All",A87=Dashboard!$A$10),OR(Dashboard!$A$14="All",D87=Dashboard!$A$14),OR(Dashboard!$A$18="All",E87=Dashboard!$A$18),OR(Dashboard!$A$22="All",F87=Dashboard!$A$22))</f>
        <v>1</v>
      </c>
    </row>
    <row r="88" spans="1:8" ht="15.75" customHeight="1">
      <c r="A88" s="4">
        <v>2024</v>
      </c>
      <c r="B88" s="4">
        <v>3</v>
      </c>
      <c r="C88" s="4" t="s">
        <v>100</v>
      </c>
      <c r="D88" s="4" t="s">
        <v>8</v>
      </c>
      <c r="E88" s="4" t="s">
        <v>9</v>
      </c>
      <c r="F88" s="4" t="s">
        <v>13</v>
      </c>
      <c r="G88" s="5">
        <v>2579.1999999999998</v>
      </c>
      <c r="H88" s="4">
        <f>--AND(OR(Dashboard!$A$10="All",A88=Dashboard!$A$10),OR(Dashboard!$A$14="All",D88=Dashboard!$A$14),OR(Dashboard!$A$18="All",E88=Dashboard!$A$18),OR(Dashboard!$A$22="All",F88=Dashboard!$A$22))</f>
        <v>1</v>
      </c>
    </row>
    <row r="89" spans="1:8" ht="15.75" customHeight="1">
      <c r="A89" s="4">
        <v>2024</v>
      </c>
      <c r="B89" s="4">
        <v>3</v>
      </c>
      <c r="C89" s="4" t="s">
        <v>100</v>
      </c>
      <c r="D89" s="4" t="s">
        <v>8</v>
      </c>
      <c r="E89" s="4" t="s">
        <v>12</v>
      </c>
      <c r="F89" s="4" t="s">
        <v>7</v>
      </c>
      <c r="G89" s="5">
        <v>8866</v>
      </c>
      <c r="H89" s="4">
        <f>--AND(OR(Dashboard!$A$10="All",A89=Dashboard!$A$10),OR(Dashboard!$A$14="All",D89=Dashboard!$A$14),OR(Dashboard!$A$18="All",E89=Dashboard!$A$18),OR(Dashboard!$A$22="All",F89=Dashboard!$A$22))</f>
        <v>1</v>
      </c>
    </row>
    <row r="90" spans="1:8" ht="15.75" customHeight="1">
      <c r="A90" s="4">
        <v>2024</v>
      </c>
      <c r="B90" s="4">
        <v>3</v>
      </c>
      <c r="C90" s="4" t="s">
        <v>100</v>
      </c>
      <c r="D90" s="4" t="s">
        <v>8</v>
      </c>
      <c r="E90" s="4" t="s">
        <v>12</v>
      </c>
      <c r="F90" s="4" t="s">
        <v>10</v>
      </c>
      <c r="G90" s="5">
        <v>5851.56</v>
      </c>
      <c r="H90" s="4">
        <f>--AND(OR(Dashboard!$A$10="All",A90=Dashboard!$A$10),OR(Dashboard!$A$14="All",D90=Dashboard!$A$14),OR(Dashboard!$A$18="All",E90=Dashboard!$A$18),OR(Dashboard!$A$22="All",F90=Dashboard!$A$22))</f>
        <v>1</v>
      </c>
    </row>
    <row r="91" spans="1:8" ht="15.75" customHeight="1">
      <c r="A91" s="4">
        <v>2024</v>
      </c>
      <c r="B91" s="4">
        <v>3</v>
      </c>
      <c r="C91" s="4" t="s">
        <v>100</v>
      </c>
      <c r="D91" s="4" t="s">
        <v>8</v>
      </c>
      <c r="E91" s="4" t="s">
        <v>12</v>
      </c>
      <c r="F91" s="4" t="s">
        <v>13</v>
      </c>
      <c r="G91" s="5">
        <v>3546.4</v>
      </c>
      <c r="H91" s="4">
        <f>--AND(OR(Dashboard!$A$10="All",A91=Dashboard!$A$10),OR(Dashboard!$A$14="All",D91=Dashboard!$A$14),OR(Dashboard!$A$18="All",E91=Dashboard!$A$18),OR(Dashboard!$A$22="All",F91=Dashboard!$A$22))</f>
        <v>1</v>
      </c>
    </row>
    <row r="92" spans="1:8" ht="15.75" customHeight="1">
      <c r="A92" s="4">
        <v>2024</v>
      </c>
      <c r="B92" s="4">
        <v>3</v>
      </c>
      <c r="C92" s="4" t="s">
        <v>100</v>
      </c>
      <c r="D92" s="4" t="s">
        <v>11</v>
      </c>
      <c r="E92" s="4" t="s">
        <v>6</v>
      </c>
      <c r="F92" s="4" t="s">
        <v>7</v>
      </c>
      <c r="G92" s="5">
        <v>7150</v>
      </c>
      <c r="H92" s="4">
        <f>--AND(OR(Dashboard!$A$10="All",A92=Dashboard!$A$10),OR(Dashboard!$A$14="All",D92=Dashboard!$A$14),OR(Dashboard!$A$18="All",E92=Dashboard!$A$18),OR(Dashboard!$A$22="All",F92=Dashboard!$A$22))</f>
        <v>1</v>
      </c>
    </row>
    <row r="93" spans="1:8" ht="15.75" customHeight="1">
      <c r="A93" s="4">
        <v>2024</v>
      </c>
      <c r="B93" s="4">
        <v>3</v>
      </c>
      <c r="C93" s="4" t="s">
        <v>100</v>
      </c>
      <c r="D93" s="4" t="s">
        <v>11</v>
      </c>
      <c r="E93" s="4" t="s">
        <v>6</v>
      </c>
      <c r="F93" s="4" t="s">
        <v>10</v>
      </c>
      <c r="G93" s="5">
        <v>4719</v>
      </c>
      <c r="H93" s="4">
        <f>--AND(OR(Dashboard!$A$10="All",A93=Dashboard!$A$10),OR(Dashboard!$A$14="All",D93=Dashboard!$A$14),OR(Dashboard!$A$18="All",E93=Dashboard!$A$18),OR(Dashboard!$A$22="All",F93=Dashboard!$A$22))</f>
        <v>1</v>
      </c>
    </row>
    <row r="94" spans="1:8" ht="15.75" customHeight="1">
      <c r="A94" s="4">
        <v>2024</v>
      </c>
      <c r="B94" s="4">
        <v>3</v>
      </c>
      <c r="C94" s="4" t="s">
        <v>100</v>
      </c>
      <c r="D94" s="4" t="s">
        <v>11</v>
      </c>
      <c r="E94" s="4" t="s">
        <v>6</v>
      </c>
      <c r="F94" s="4" t="s">
        <v>13</v>
      </c>
      <c r="G94" s="5">
        <v>2860</v>
      </c>
      <c r="H94" s="4">
        <f>--AND(OR(Dashboard!$A$10="All",A94=Dashboard!$A$10),OR(Dashboard!$A$14="All",D94=Dashboard!$A$14),OR(Dashboard!$A$18="All",E94=Dashboard!$A$18),OR(Dashboard!$A$22="All",F94=Dashboard!$A$22))</f>
        <v>1</v>
      </c>
    </row>
    <row r="95" spans="1:8" ht="15.75" customHeight="1">
      <c r="A95" s="4">
        <v>2024</v>
      </c>
      <c r="B95" s="4">
        <v>3</v>
      </c>
      <c r="C95" s="4" t="s">
        <v>100</v>
      </c>
      <c r="D95" s="4" t="s">
        <v>11</v>
      </c>
      <c r="E95" s="4" t="s">
        <v>9</v>
      </c>
      <c r="F95" s="4" t="s">
        <v>7</v>
      </c>
      <c r="G95" s="5">
        <v>4576</v>
      </c>
      <c r="H95" s="4">
        <f>--AND(OR(Dashboard!$A$10="All",A95=Dashboard!$A$10),OR(Dashboard!$A$14="All",D95=Dashboard!$A$14),OR(Dashboard!$A$18="All",E95=Dashboard!$A$18),OR(Dashboard!$A$22="All",F95=Dashboard!$A$22))</f>
        <v>1</v>
      </c>
    </row>
    <row r="96" spans="1:8" ht="15.75" customHeight="1">
      <c r="A96" s="4">
        <v>2024</v>
      </c>
      <c r="B96" s="4">
        <v>3</v>
      </c>
      <c r="C96" s="4" t="s">
        <v>100</v>
      </c>
      <c r="D96" s="4" t="s">
        <v>11</v>
      </c>
      <c r="E96" s="4" t="s">
        <v>9</v>
      </c>
      <c r="F96" s="4" t="s">
        <v>10</v>
      </c>
      <c r="G96" s="5">
        <v>3020.16</v>
      </c>
      <c r="H96" s="4">
        <f>--AND(OR(Dashboard!$A$10="All",A96=Dashboard!$A$10),OR(Dashboard!$A$14="All",D96=Dashboard!$A$14),OR(Dashboard!$A$18="All",E96=Dashboard!$A$18),OR(Dashboard!$A$22="All",F96=Dashboard!$A$22))</f>
        <v>1</v>
      </c>
    </row>
    <row r="97" spans="1:8" ht="15.75" customHeight="1">
      <c r="A97" s="4">
        <v>2024</v>
      </c>
      <c r="B97" s="4">
        <v>3</v>
      </c>
      <c r="C97" s="4" t="s">
        <v>100</v>
      </c>
      <c r="D97" s="4" t="s">
        <v>11</v>
      </c>
      <c r="E97" s="4" t="s">
        <v>9</v>
      </c>
      <c r="F97" s="4" t="s">
        <v>13</v>
      </c>
      <c r="G97" s="5">
        <v>1830.4</v>
      </c>
      <c r="H97" s="4">
        <f>--AND(OR(Dashboard!$A$10="All",A97=Dashboard!$A$10),OR(Dashboard!$A$14="All",D97=Dashboard!$A$14),OR(Dashboard!$A$18="All",E97=Dashboard!$A$18),OR(Dashboard!$A$22="All",F97=Dashboard!$A$22))</f>
        <v>1</v>
      </c>
    </row>
    <row r="98" spans="1:8" ht="15.75" customHeight="1">
      <c r="A98" s="4">
        <v>2024</v>
      </c>
      <c r="B98" s="4">
        <v>3</v>
      </c>
      <c r="C98" s="4" t="s">
        <v>100</v>
      </c>
      <c r="D98" s="4" t="s">
        <v>11</v>
      </c>
      <c r="E98" s="4" t="s">
        <v>12</v>
      </c>
      <c r="F98" s="4" t="s">
        <v>7</v>
      </c>
      <c r="G98" s="5">
        <v>6292</v>
      </c>
      <c r="H98" s="4">
        <f>--AND(OR(Dashboard!$A$10="All",A98=Dashboard!$A$10),OR(Dashboard!$A$14="All",D98=Dashboard!$A$14),OR(Dashboard!$A$18="All",E98=Dashboard!$A$18),OR(Dashboard!$A$22="All",F98=Dashboard!$A$22))</f>
        <v>1</v>
      </c>
    </row>
    <row r="99" spans="1:8" ht="15.75" customHeight="1">
      <c r="A99" s="4">
        <v>2024</v>
      </c>
      <c r="B99" s="4">
        <v>3</v>
      </c>
      <c r="C99" s="4" t="s">
        <v>100</v>
      </c>
      <c r="D99" s="4" t="s">
        <v>11</v>
      </c>
      <c r="E99" s="4" t="s">
        <v>12</v>
      </c>
      <c r="F99" s="4" t="s">
        <v>10</v>
      </c>
      <c r="G99" s="5">
        <v>4152.72</v>
      </c>
      <c r="H99" s="4">
        <f>--AND(OR(Dashboard!$A$10="All",A99=Dashboard!$A$10),OR(Dashboard!$A$14="All",D99=Dashboard!$A$14),OR(Dashboard!$A$18="All",E99=Dashboard!$A$18),OR(Dashboard!$A$22="All",F99=Dashboard!$A$22))</f>
        <v>1</v>
      </c>
    </row>
    <row r="100" spans="1:8" ht="15.75" customHeight="1">
      <c r="A100" s="4">
        <v>2024</v>
      </c>
      <c r="B100" s="4">
        <v>3</v>
      </c>
      <c r="C100" s="4" t="s">
        <v>100</v>
      </c>
      <c r="D100" s="4" t="s">
        <v>11</v>
      </c>
      <c r="E100" s="4" t="s">
        <v>12</v>
      </c>
      <c r="F100" s="4" t="s">
        <v>13</v>
      </c>
      <c r="G100" s="5">
        <v>2516.8000000000002</v>
      </c>
      <c r="H100" s="4">
        <f>--AND(OR(Dashboard!$A$10="All",A100=Dashboard!$A$10),OR(Dashboard!$A$14="All",D100=Dashboard!$A$14),OR(Dashboard!$A$18="All",E100=Dashboard!$A$18),OR(Dashboard!$A$22="All",F100=Dashboard!$A$22))</f>
        <v>1</v>
      </c>
    </row>
    <row r="101" spans="1:8" ht="15.75" customHeight="1">
      <c r="A101" s="4">
        <v>2024</v>
      </c>
      <c r="B101" s="4">
        <v>3</v>
      </c>
      <c r="C101" s="4" t="s">
        <v>100</v>
      </c>
      <c r="D101" s="4" t="s">
        <v>14</v>
      </c>
      <c r="E101" s="4" t="s">
        <v>6</v>
      </c>
      <c r="F101" s="4" t="s">
        <v>7</v>
      </c>
      <c r="G101" s="5">
        <v>4875</v>
      </c>
      <c r="H101" s="4">
        <f>--AND(OR(Dashboard!$A$10="All",A101=Dashboard!$A$10),OR(Dashboard!$A$14="All",D101=Dashboard!$A$14),OR(Dashboard!$A$18="All",E101=Dashboard!$A$18),OR(Dashboard!$A$22="All",F101=Dashboard!$A$22))</f>
        <v>1</v>
      </c>
    </row>
    <row r="102" spans="1:8" ht="15.75" customHeight="1">
      <c r="A102" s="4">
        <v>2024</v>
      </c>
      <c r="B102" s="4">
        <v>3</v>
      </c>
      <c r="C102" s="4" t="s">
        <v>100</v>
      </c>
      <c r="D102" s="4" t="s">
        <v>14</v>
      </c>
      <c r="E102" s="4" t="s">
        <v>6</v>
      </c>
      <c r="F102" s="4" t="s">
        <v>10</v>
      </c>
      <c r="G102" s="5">
        <v>3217.5</v>
      </c>
      <c r="H102" s="4">
        <f>--AND(OR(Dashboard!$A$10="All",A102=Dashboard!$A$10),OR(Dashboard!$A$14="All",D102=Dashboard!$A$14),OR(Dashboard!$A$18="All",E102=Dashboard!$A$18),OR(Dashboard!$A$22="All",F102=Dashboard!$A$22))</f>
        <v>1</v>
      </c>
    </row>
    <row r="103" spans="1:8" ht="15.75" customHeight="1">
      <c r="A103" s="4">
        <v>2024</v>
      </c>
      <c r="B103" s="4">
        <v>3</v>
      </c>
      <c r="C103" s="4" t="s">
        <v>100</v>
      </c>
      <c r="D103" s="4" t="s">
        <v>14</v>
      </c>
      <c r="E103" s="4" t="s">
        <v>6</v>
      </c>
      <c r="F103" s="4" t="s">
        <v>13</v>
      </c>
      <c r="G103" s="5">
        <v>1950</v>
      </c>
      <c r="H103" s="4">
        <f>--AND(OR(Dashboard!$A$10="All",A103=Dashboard!$A$10),OR(Dashboard!$A$14="All",D103=Dashboard!$A$14),OR(Dashboard!$A$18="All",E103=Dashboard!$A$18),OR(Dashboard!$A$22="All",F103=Dashboard!$A$22))</f>
        <v>1</v>
      </c>
    </row>
    <row r="104" spans="1:8" ht="15.75" customHeight="1">
      <c r="A104" s="4">
        <v>2024</v>
      </c>
      <c r="B104" s="4">
        <v>3</v>
      </c>
      <c r="C104" s="4" t="s">
        <v>100</v>
      </c>
      <c r="D104" s="4" t="s">
        <v>14</v>
      </c>
      <c r="E104" s="4" t="s">
        <v>9</v>
      </c>
      <c r="F104" s="4" t="s">
        <v>7</v>
      </c>
      <c r="G104" s="5">
        <v>3120</v>
      </c>
      <c r="H104" s="4">
        <f>--AND(OR(Dashboard!$A$10="All",A104=Dashboard!$A$10),OR(Dashboard!$A$14="All",D104=Dashboard!$A$14),OR(Dashboard!$A$18="All",E104=Dashboard!$A$18),OR(Dashboard!$A$22="All",F104=Dashboard!$A$22))</f>
        <v>1</v>
      </c>
    </row>
    <row r="105" spans="1:8" ht="15.75" customHeight="1">
      <c r="A105" s="4">
        <v>2024</v>
      </c>
      <c r="B105" s="4">
        <v>3</v>
      </c>
      <c r="C105" s="4" t="s">
        <v>100</v>
      </c>
      <c r="D105" s="4" t="s">
        <v>14</v>
      </c>
      <c r="E105" s="4" t="s">
        <v>9</v>
      </c>
      <c r="F105" s="4" t="s">
        <v>10</v>
      </c>
      <c r="G105" s="5">
        <v>2059.1999999999998</v>
      </c>
      <c r="H105" s="4">
        <f>--AND(OR(Dashboard!$A$10="All",A105=Dashboard!$A$10),OR(Dashboard!$A$14="All",D105=Dashboard!$A$14),OR(Dashboard!$A$18="All",E105=Dashboard!$A$18),OR(Dashboard!$A$22="All",F105=Dashboard!$A$22))</f>
        <v>1</v>
      </c>
    </row>
    <row r="106" spans="1:8" ht="15.75" customHeight="1">
      <c r="A106" s="4">
        <v>2024</v>
      </c>
      <c r="B106" s="4">
        <v>3</v>
      </c>
      <c r="C106" s="4" t="s">
        <v>100</v>
      </c>
      <c r="D106" s="4" t="s">
        <v>14</v>
      </c>
      <c r="E106" s="4" t="s">
        <v>9</v>
      </c>
      <c r="F106" s="4" t="s">
        <v>13</v>
      </c>
      <c r="G106" s="5">
        <v>1248</v>
      </c>
      <c r="H106" s="4">
        <f>--AND(OR(Dashboard!$A$10="All",A106=Dashboard!$A$10),OR(Dashboard!$A$14="All",D106=Dashboard!$A$14),OR(Dashboard!$A$18="All",E106=Dashboard!$A$18),OR(Dashboard!$A$22="All",F106=Dashboard!$A$22))</f>
        <v>1</v>
      </c>
    </row>
    <row r="107" spans="1:8" ht="15.75" customHeight="1">
      <c r="A107" s="4">
        <v>2024</v>
      </c>
      <c r="B107" s="4">
        <v>3</v>
      </c>
      <c r="C107" s="4" t="s">
        <v>100</v>
      </c>
      <c r="D107" s="4" t="s">
        <v>14</v>
      </c>
      <c r="E107" s="4" t="s">
        <v>12</v>
      </c>
      <c r="F107" s="4" t="s">
        <v>7</v>
      </c>
      <c r="G107" s="5">
        <v>4290</v>
      </c>
      <c r="H107" s="4">
        <f>--AND(OR(Dashboard!$A$10="All",A107=Dashboard!$A$10),OR(Dashboard!$A$14="All",D107=Dashboard!$A$14),OR(Dashboard!$A$18="All",E107=Dashboard!$A$18),OR(Dashboard!$A$22="All",F107=Dashboard!$A$22))</f>
        <v>1</v>
      </c>
    </row>
    <row r="108" spans="1:8" ht="15.75" customHeight="1">
      <c r="A108" s="4">
        <v>2024</v>
      </c>
      <c r="B108" s="4">
        <v>3</v>
      </c>
      <c r="C108" s="4" t="s">
        <v>100</v>
      </c>
      <c r="D108" s="4" t="s">
        <v>14</v>
      </c>
      <c r="E108" s="4" t="s">
        <v>12</v>
      </c>
      <c r="F108" s="4" t="s">
        <v>10</v>
      </c>
      <c r="G108" s="5">
        <v>2831.4</v>
      </c>
      <c r="H108" s="4">
        <f>--AND(OR(Dashboard!$A$10="All",A108=Dashboard!$A$10),OR(Dashboard!$A$14="All",D108=Dashboard!$A$14),OR(Dashboard!$A$18="All",E108=Dashboard!$A$18),OR(Dashboard!$A$22="All",F108=Dashboard!$A$22))</f>
        <v>1</v>
      </c>
    </row>
    <row r="109" spans="1:8" ht="15.75" customHeight="1">
      <c r="A109" s="4">
        <v>2024</v>
      </c>
      <c r="B109" s="4">
        <v>3</v>
      </c>
      <c r="C109" s="4" t="s">
        <v>100</v>
      </c>
      <c r="D109" s="4" t="s">
        <v>14</v>
      </c>
      <c r="E109" s="4" t="s">
        <v>12</v>
      </c>
      <c r="F109" s="4" t="s">
        <v>13</v>
      </c>
      <c r="G109" s="5">
        <v>1716</v>
      </c>
      <c r="H109" s="4">
        <f>--AND(OR(Dashboard!$A$10="All",A109=Dashboard!$A$10),OR(Dashboard!$A$14="All",D109=Dashboard!$A$14),OR(Dashboard!$A$18="All",E109=Dashboard!$A$18),OR(Dashboard!$A$22="All",F109=Dashboard!$A$22))</f>
        <v>1</v>
      </c>
    </row>
    <row r="110" spans="1:8" ht="15.75" customHeight="1">
      <c r="A110" s="4">
        <v>2024</v>
      </c>
      <c r="B110" s="4">
        <v>4</v>
      </c>
      <c r="C110" s="4" t="s">
        <v>106</v>
      </c>
      <c r="D110" s="4" t="s">
        <v>5</v>
      </c>
      <c r="E110" s="4" t="s">
        <v>6</v>
      </c>
      <c r="F110" s="4" t="s">
        <v>7</v>
      </c>
      <c r="G110" s="5">
        <v>16250</v>
      </c>
      <c r="H110" s="4">
        <f>--AND(OR(Dashboard!$A$10="All",A110=Dashboard!$A$10),OR(Dashboard!$A$14="All",D110=Dashboard!$A$14),OR(Dashboard!$A$18="All",E110=Dashboard!$A$18),OR(Dashboard!$A$22="All",F110=Dashboard!$A$22))</f>
        <v>1</v>
      </c>
    </row>
    <row r="111" spans="1:8" ht="15.75" customHeight="1">
      <c r="A111" s="4">
        <v>2024</v>
      </c>
      <c r="B111" s="4">
        <v>4</v>
      </c>
      <c r="C111" s="4" t="s">
        <v>106</v>
      </c>
      <c r="D111" s="4" t="s">
        <v>5</v>
      </c>
      <c r="E111" s="4" t="s">
        <v>6</v>
      </c>
      <c r="F111" s="4" t="s">
        <v>10</v>
      </c>
      <c r="G111" s="5">
        <v>10725</v>
      </c>
      <c r="H111" s="4">
        <f>--AND(OR(Dashboard!$A$10="All",A111=Dashboard!$A$10),OR(Dashboard!$A$14="All",D111=Dashboard!$A$14),OR(Dashboard!$A$18="All",E111=Dashboard!$A$18),OR(Dashboard!$A$22="All",F111=Dashboard!$A$22))</f>
        <v>1</v>
      </c>
    </row>
    <row r="112" spans="1:8" ht="15.75" customHeight="1">
      <c r="A112" s="4">
        <v>2024</v>
      </c>
      <c r="B112" s="4">
        <v>4</v>
      </c>
      <c r="C112" s="4" t="s">
        <v>106</v>
      </c>
      <c r="D112" s="4" t="s">
        <v>5</v>
      </c>
      <c r="E112" s="4" t="s">
        <v>6</v>
      </c>
      <c r="F112" s="4" t="s">
        <v>13</v>
      </c>
      <c r="G112" s="5">
        <v>6500</v>
      </c>
      <c r="H112" s="4">
        <f>--AND(OR(Dashboard!$A$10="All",A112=Dashboard!$A$10),OR(Dashboard!$A$14="All",D112=Dashboard!$A$14),OR(Dashboard!$A$18="All",E112=Dashboard!$A$18),OR(Dashboard!$A$22="All",F112=Dashboard!$A$22))</f>
        <v>1</v>
      </c>
    </row>
    <row r="113" spans="1:8" ht="15.75" customHeight="1">
      <c r="A113" s="4">
        <v>2024</v>
      </c>
      <c r="B113" s="4">
        <v>4</v>
      </c>
      <c r="C113" s="4" t="s">
        <v>106</v>
      </c>
      <c r="D113" s="4" t="s">
        <v>5</v>
      </c>
      <c r="E113" s="4" t="s">
        <v>9</v>
      </c>
      <c r="F113" s="4" t="s">
        <v>7</v>
      </c>
      <c r="G113" s="5">
        <v>10400</v>
      </c>
      <c r="H113" s="4">
        <f>--AND(OR(Dashboard!$A$10="All",A113=Dashboard!$A$10),OR(Dashboard!$A$14="All",D113=Dashboard!$A$14),OR(Dashboard!$A$18="All",E113=Dashboard!$A$18),OR(Dashboard!$A$22="All",F113=Dashboard!$A$22))</f>
        <v>1</v>
      </c>
    </row>
    <row r="114" spans="1:8" ht="15.75" customHeight="1">
      <c r="A114" s="4">
        <v>2024</v>
      </c>
      <c r="B114" s="4">
        <v>4</v>
      </c>
      <c r="C114" s="4" t="s">
        <v>106</v>
      </c>
      <c r="D114" s="4" t="s">
        <v>5</v>
      </c>
      <c r="E114" s="4" t="s">
        <v>9</v>
      </c>
      <c r="F114" s="4" t="s">
        <v>10</v>
      </c>
      <c r="G114" s="5">
        <v>6864</v>
      </c>
      <c r="H114" s="4">
        <f>--AND(OR(Dashboard!$A$10="All",A114=Dashboard!$A$10),OR(Dashboard!$A$14="All",D114=Dashboard!$A$14),OR(Dashboard!$A$18="All",E114=Dashboard!$A$18),OR(Dashboard!$A$22="All",F114=Dashboard!$A$22))</f>
        <v>1</v>
      </c>
    </row>
    <row r="115" spans="1:8" ht="15.75" customHeight="1">
      <c r="A115" s="4">
        <v>2024</v>
      </c>
      <c r="B115" s="4">
        <v>4</v>
      </c>
      <c r="C115" s="4" t="s">
        <v>106</v>
      </c>
      <c r="D115" s="4" t="s">
        <v>5</v>
      </c>
      <c r="E115" s="4" t="s">
        <v>9</v>
      </c>
      <c r="F115" s="4" t="s">
        <v>13</v>
      </c>
      <c r="G115" s="5">
        <v>4160</v>
      </c>
      <c r="H115" s="4">
        <f>--AND(OR(Dashboard!$A$10="All",A115=Dashboard!$A$10),OR(Dashboard!$A$14="All",D115=Dashboard!$A$14),OR(Dashboard!$A$18="All",E115=Dashboard!$A$18),OR(Dashboard!$A$22="All",F115=Dashboard!$A$22))</f>
        <v>1</v>
      </c>
    </row>
    <row r="116" spans="1:8" ht="15.75" customHeight="1">
      <c r="A116" s="4">
        <v>2024</v>
      </c>
      <c r="B116" s="4">
        <v>4</v>
      </c>
      <c r="C116" s="4" t="s">
        <v>106</v>
      </c>
      <c r="D116" s="4" t="s">
        <v>5</v>
      </c>
      <c r="E116" s="4" t="s">
        <v>12</v>
      </c>
      <c r="F116" s="4" t="s">
        <v>7</v>
      </c>
      <c r="G116" s="5">
        <v>14300</v>
      </c>
      <c r="H116" s="4">
        <f>--AND(OR(Dashboard!$A$10="All",A116=Dashboard!$A$10),OR(Dashboard!$A$14="All",D116=Dashboard!$A$14),OR(Dashboard!$A$18="All",E116=Dashboard!$A$18),OR(Dashboard!$A$22="All",F116=Dashboard!$A$22))</f>
        <v>1</v>
      </c>
    </row>
    <row r="117" spans="1:8" ht="15.75" customHeight="1">
      <c r="A117" s="4">
        <v>2024</v>
      </c>
      <c r="B117" s="4">
        <v>4</v>
      </c>
      <c r="C117" s="4" t="s">
        <v>106</v>
      </c>
      <c r="D117" s="4" t="s">
        <v>5</v>
      </c>
      <c r="E117" s="4" t="s">
        <v>12</v>
      </c>
      <c r="F117" s="4" t="s">
        <v>10</v>
      </c>
      <c r="G117" s="5">
        <v>9438</v>
      </c>
      <c r="H117" s="4">
        <f>--AND(OR(Dashboard!$A$10="All",A117=Dashboard!$A$10),OR(Dashboard!$A$14="All",D117=Dashboard!$A$14),OR(Dashboard!$A$18="All",E117=Dashboard!$A$18),OR(Dashboard!$A$22="All",F117=Dashboard!$A$22))</f>
        <v>1</v>
      </c>
    </row>
    <row r="118" spans="1:8" ht="15.75" customHeight="1">
      <c r="A118" s="4">
        <v>2024</v>
      </c>
      <c r="B118" s="4">
        <v>4</v>
      </c>
      <c r="C118" s="4" t="s">
        <v>106</v>
      </c>
      <c r="D118" s="4" t="s">
        <v>5</v>
      </c>
      <c r="E118" s="4" t="s">
        <v>12</v>
      </c>
      <c r="F118" s="4" t="s">
        <v>13</v>
      </c>
      <c r="G118" s="5">
        <v>5720</v>
      </c>
      <c r="H118" s="4">
        <f>--AND(OR(Dashboard!$A$10="All",A118=Dashboard!$A$10),OR(Dashboard!$A$14="All",D118=Dashboard!$A$14),OR(Dashboard!$A$18="All",E118=Dashboard!$A$18),OR(Dashboard!$A$22="All",F118=Dashboard!$A$22))</f>
        <v>1</v>
      </c>
    </row>
    <row r="119" spans="1:8" ht="15.75" customHeight="1">
      <c r="A119" s="4">
        <v>2024</v>
      </c>
      <c r="B119" s="4">
        <v>4</v>
      </c>
      <c r="C119" s="4" t="s">
        <v>106</v>
      </c>
      <c r="D119" s="4" t="s">
        <v>8</v>
      </c>
      <c r="E119" s="4" t="s">
        <v>6</v>
      </c>
      <c r="F119" s="4" t="s">
        <v>7</v>
      </c>
      <c r="G119" s="5">
        <v>10075</v>
      </c>
      <c r="H119" s="4">
        <f>--AND(OR(Dashboard!$A$10="All",A119=Dashboard!$A$10),OR(Dashboard!$A$14="All",D119=Dashboard!$A$14),OR(Dashboard!$A$18="All",E119=Dashboard!$A$18),OR(Dashboard!$A$22="All",F119=Dashboard!$A$22))</f>
        <v>1</v>
      </c>
    </row>
    <row r="120" spans="1:8" ht="15.75" customHeight="1">
      <c r="A120" s="4">
        <v>2024</v>
      </c>
      <c r="B120" s="4">
        <v>4</v>
      </c>
      <c r="C120" s="4" t="s">
        <v>106</v>
      </c>
      <c r="D120" s="4" t="s">
        <v>8</v>
      </c>
      <c r="E120" s="4" t="s">
        <v>6</v>
      </c>
      <c r="F120" s="4" t="s">
        <v>10</v>
      </c>
      <c r="G120" s="5">
        <v>6649.5</v>
      </c>
      <c r="H120" s="4">
        <f>--AND(OR(Dashboard!$A$10="All",A120=Dashboard!$A$10),OR(Dashboard!$A$14="All",D120=Dashboard!$A$14),OR(Dashboard!$A$18="All",E120=Dashboard!$A$18),OR(Dashboard!$A$22="All",F120=Dashboard!$A$22))</f>
        <v>1</v>
      </c>
    </row>
    <row r="121" spans="1:8" ht="15.75" customHeight="1">
      <c r="A121" s="4">
        <v>2024</v>
      </c>
      <c r="B121" s="4">
        <v>4</v>
      </c>
      <c r="C121" s="4" t="s">
        <v>106</v>
      </c>
      <c r="D121" s="4" t="s">
        <v>8</v>
      </c>
      <c r="E121" s="4" t="s">
        <v>6</v>
      </c>
      <c r="F121" s="4" t="s">
        <v>13</v>
      </c>
      <c r="G121" s="5">
        <v>4030</v>
      </c>
      <c r="H121" s="4">
        <f>--AND(OR(Dashboard!$A$10="All",A121=Dashboard!$A$10),OR(Dashboard!$A$14="All",D121=Dashboard!$A$14),OR(Dashboard!$A$18="All",E121=Dashboard!$A$18),OR(Dashboard!$A$22="All",F121=Dashboard!$A$22))</f>
        <v>1</v>
      </c>
    </row>
    <row r="122" spans="1:8" ht="15.75" customHeight="1">
      <c r="A122" s="4">
        <v>2024</v>
      </c>
      <c r="B122" s="4">
        <v>4</v>
      </c>
      <c r="C122" s="4" t="s">
        <v>106</v>
      </c>
      <c r="D122" s="4" t="s">
        <v>8</v>
      </c>
      <c r="E122" s="4" t="s">
        <v>9</v>
      </c>
      <c r="F122" s="4" t="s">
        <v>7</v>
      </c>
      <c r="G122" s="5">
        <v>6448</v>
      </c>
      <c r="H122" s="4">
        <f>--AND(OR(Dashboard!$A$10="All",A122=Dashboard!$A$10),OR(Dashboard!$A$14="All",D122=Dashboard!$A$14),OR(Dashboard!$A$18="All",E122=Dashboard!$A$18),OR(Dashboard!$A$22="All",F122=Dashboard!$A$22))</f>
        <v>1</v>
      </c>
    </row>
    <row r="123" spans="1:8" ht="15.75" customHeight="1">
      <c r="A123" s="4">
        <v>2024</v>
      </c>
      <c r="B123" s="4">
        <v>4</v>
      </c>
      <c r="C123" s="4" t="s">
        <v>106</v>
      </c>
      <c r="D123" s="4" t="s">
        <v>8</v>
      </c>
      <c r="E123" s="4" t="s">
        <v>9</v>
      </c>
      <c r="F123" s="4" t="s">
        <v>10</v>
      </c>
      <c r="G123" s="5">
        <v>4255.68</v>
      </c>
      <c r="H123" s="4">
        <f>--AND(OR(Dashboard!$A$10="All",A123=Dashboard!$A$10),OR(Dashboard!$A$14="All",D123=Dashboard!$A$14),OR(Dashboard!$A$18="All",E123=Dashboard!$A$18),OR(Dashboard!$A$22="All",F123=Dashboard!$A$22))</f>
        <v>1</v>
      </c>
    </row>
    <row r="124" spans="1:8" ht="15.75" customHeight="1">
      <c r="A124" s="4">
        <v>2024</v>
      </c>
      <c r="B124" s="4">
        <v>4</v>
      </c>
      <c r="C124" s="4" t="s">
        <v>106</v>
      </c>
      <c r="D124" s="4" t="s">
        <v>8</v>
      </c>
      <c r="E124" s="4" t="s">
        <v>9</v>
      </c>
      <c r="F124" s="4" t="s">
        <v>13</v>
      </c>
      <c r="G124" s="5">
        <v>2579.1999999999998</v>
      </c>
      <c r="H124" s="4">
        <f>--AND(OR(Dashboard!$A$10="All",A124=Dashboard!$A$10),OR(Dashboard!$A$14="All",D124=Dashboard!$A$14),OR(Dashboard!$A$18="All",E124=Dashboard!$A$18),OR(Dashboard!$A$22="All",F124=Dashboard!$A$22))</f>
        <v>1</v>
      </c>
    </row>
    <row r="125" spans="1:8" ht="15.75" customHeight="1">
      <c r="A125" s="4">
        <v>2024</v>
      </c>
      <c r="B125" s="4">
        <v>4</v>
      </c>
      <c r="C125" s="4" t="s">
        <v>106</v>
      </c>
      <c r="D125" s="4" t="s">
        <v>8</v>
      </c>
      <c r="E125" s="4" t="s">
        <v>12</v>
      </c>
      <c r="F125" s="4" t="s">
        <v>7</v>
      </c>
      <c r="G125" s="5">
        <v>8866</v>
      </c>
      <c r="H125" s="4">
        <f>--AND(OR(Dashboard!$A$10="All",A125=Dashboard!$A$10),OR(Dashboard!$A$14="All",D125=Dashboard!$A$14),OR(Dashboard!$A$18="All",E125=Dashboard!$A$18),OR(Dashboard!$A$22="All",F125=Dashboard!$A$22))</f>
        <v>1</v>
      </c>
    </row>
    <row r="126" spans="1:8" ht="15.75" customHeight="1">
      <c r="A126" s="4">
        <v>2024</v>
      </c>
      <c r="B126" s="4">
        <v>4</v>
      </c>
      <c r="C126" s="4" t="s">
        <v>106</v>
      </c>
      <c r="D126" s="4" t="s">
        <v>8</v>
      </c>
      <c r="E126" s="4" t="s">
        <v>12</v>
      </c>
      <c r="F126" s="4" t="s">
        <v>10</v>
      </c>
      <c r="G126" s="5">
        <v>5851.56</v>
      </c>
      <c r="H126" s="4">
        <f>--AND(OR(Dashboard!$A$10="All",A126=Dashboard!$A$10),OR(Dashboard!$A$14="All",D126=Dashboard!$A$14),OR(Dashboard!$A$18="All",E126=Dashboard!$A$18),OR(Dashboard!$A$22="All",F126=Dashboard!$A$22))</f>
        <v>1</v>
      </c>
    </row>
    <row r="127" spans="1:8" ht="15.75" customHeight="1">
      <c r="A127" s="4">
        <v>2024</v>
      </c>
      <c r="B127" s="4">
        <v>4</v>
      </c>
      <c r="C127" s="4" t="s">
        <v>106</v>
      </c>
      <c r="D127" s="4" t="s">
        <v>8</v>
      </c>
      <c r="E127" s="4" t="s">
        <v>12</v>
      </c>
      <c r="F127" s="4" t="s">
        <v>13</v>
      </c>
      <c r="G127" s="5">
        <v>3546.4</v>
      </c>
      <c r="H127" s="4">
        <f>--AND(OR(Dashboard!$A$10="All",A127=Dashboard!$A$10),OR(Dashboard!$A$14="All",D127=Dashboard!$A$14),OR(Dashboard!$A$18="All",E127=Dashboard!$A$18),OR(Dashboard!$A$22="All",F127=Dashboard!$A$22))</f>
        <v>1</v>
      </c>
    </row>
    <row r="128" spans="1:8" ht="15.75" customHeight="1">
      <c r="A128" s="4">
        <v>2024</v>
      </c>
      <c r="B128" s="4">
        <v>4</v>
      </c>
      <c r="C128" s="4" t="s">
        <v>106</v>
      </c>
      <c r="D128" s="4" t="s">
        <v>11</v>
      </c>
      <c r="E128" s="4" t="s">
        <v>6</v>
      </c>
      <c r="F128" s="4" t="s">
        <v>7</v>
      </c>
      <c r="G128" s="5">
        <v>7150</v>
      </c>
      <c r="H128" s="4">
        <f>--AND(OR(Dashboard!$A$10="All",A128=Dashboard!$A$10),OR(Dashboard!$A$14="All",D128=Dashboard!$A$14),OR(Dashboard!$A$18="All",E128=Dashboard!$A$18),OR(Dashboard!$A$22="All",F128=Dashboard!$A$22))</f>
        <v>1</v>
      </c>
    </row>
    <row r="129" spans="1:8" ht="15.75" customHeight="1">
      <c r="A129" s="4">
        <v>2024</v>
      </c>
      <c r="B129" s="4">
        <v>4</v>
      </c>
      <c r="C129" s="4" t="s">
        <v>106</v>
      </c>
      <c r="D129" s="4" t="s">
        <v>11</v>
      </c>
      <c r="E129" s="4" t="s">
        <v>6</v>
      </c>
      <c r="F129" s="4" t="s">
        <v>10</v>
      </c>
      <c r="G129" s="5">
        <v>4719</v>
      </c>
      <c r="H129" s="4">
        <f>--AND(OR(Dashboard!$A$10="All",A129=Dashboard!$A$10),OR(Dashboard!$A$14="All",D129=Dashboard!$A$14),OR(Dashboard!$A$18="All",E129=Dashboard!$A$18),OR(Dashboard!$A$22="All",F129=Dashboard!$A$22))</f>
        <v>1</v>
      </c>
    </row>
    <row r="130" spans="1:8" ht="15.75" customHeight="1">
      <c r="A130" s="4">
        <v>2024</v>
      </c>
      <c r="B130" s="4">
        <v>4</v>
      </c>
      <c r="C130" s="4" t="s">
        <v>106</v>
      </c>
      <c r="D130" s="4" t="s">
        <v>11</v>
      </c>
      <c r="E130" s="4" t="s">
        <v>6</v>
      </c>
      <c r="F130" s="4" t="s">
        <v>13</v>
      </c>
      <c r="G130" s="5">
        <v>2860</v>
      </c>
      <c r="H130" s="4">
        <f>--AND(OR(Dashboard!$A$10="All",A130=Dashboard!$A$10),OR(Dashboard!$A$14="All",D130=Dashboard!$A$14),OR(Dashboard!$A$18="All",E130=Dashboard!$A$18),OR(Dashboard!$A$22="All",F130=Dashboard!$A$22))</f>
        <v>1</v>
      </c>
    </row>
    <row r="131" spans="1:8" ht="15.75" customHeight="1">
      <c r="A131" s="4">
        <v>2024</v>
      </c>
      <c r="B131" s="4">
        <v>4</v>
      </c>
      <c r="C131" s="4" t="s">
        <v>106</v>
      </c>
      <c r="D131" s="4" t="s">
        <v>11</v>
      </c>
      <c r="E131" s="4" t="s">
        <v>9</v>
      </c>
      <c r="F131" s="4" t="s">
        <v>7</v>
      </c>
      <c r="G131" s="5">
        <v>4576</v>
      </c>
      <c r="H131" s="4">
        <f>--AND(OR(Dashboard!$A$10="All",A131=Dashboard!$A$10),OR(Dashboard!$A$14="All",D131=Dashboard!$A$14),OR(Dashboard!$A$18="All",E131=Dashboard!$A$18),OR(Dashboard!$A$22="All",F131=Dashboard!$A$22))</f>
        <v>1</v>
      </c>
    </row>
    <row r="132" spans="1:8" ht="15.75" customHeight="1">
      <c r="A132" s="4">
        <v>2024</v>
      </c>
      <c r="B132" s="4">
        <v>4</v>
      </c>
      <c r="C132" s="4" t="s">
        <v>106</v>
      </c>
      <c r="D132" s="4" t="s">
        <v>11</v>
      </c>
      <c r="E132" s="4" t="s">
        <v>9</v>
      </c>
      <c r="F132" s="4" t="s">
        <v>10</v>
      </c>
      <c r="G132" s="5">
        <v>3020.16</v>
      </c>
      <c r="H132" s="4">
        <f>--AND(OR(Dashboard!$A$10="All",A132=Dashboard!$A$10),OR(Dashboard!$A$14="All",D132=Dashboard!$A$14),OR(Dashboard!$A$18="All",E132=Dashboard!$A$18),OR(Dashboard!$A$22="All",F132=Dashboard!$A$22))</f>
        <v>1</v>
      </c>
    </row>
    <row r="133" spans="1:8" ht="15.75" customHeight="1">
      <c r="A133" s="4">
        <v>2024</v>
      </c>
      <c r="B133" s="4">
        <v>4</v>
      </c>
      <c r="C133" s="4" t="s">
        <v>106</v>
      </c>
      <c r="D133" s="4" t="s">
        <v>11</v>
      </c>
      <c r="E133" s="4" t="s">
        <v>9</v>
      </c>
      <c r="F133" s="4" t="s">
        <v>13</v>
      </c>
      <c r="G133" s="5">
        <v>1830.4</v>
      </c>
      <c r="H133" s="4">
        <f>--AND(OR(Dashboard!$A$10="All",A133=Dashboard!$A$10),OR(Dashboard!$A$14="All",D133=Dashboard!$A$14),OR(Dashboard!$A$18="All",E133=Dashboard!$A$18),OR(Dashboard!$A$22="All",F133=Dashboard!$A$22))</f>
        <v>1</v>
      </c>
    </row>
    <row r="134" spans="1:8" ht="15.75" customHeight="1">
      <c r="A134" s="4">
        <v>2024</v>
      </c>
      <c r="B134" s="4">
        <v>4</v>
      </c>
      <c r="C134" s="4" t="s">
        <v>106</v>
      </c>
      <c r="D134" s="4" t="s">
        <v>11</v>
      </c>
      <c r="E134" s="4" t="s">
        <v>12</v>
      </c>
      <c r="F134" s="4" t="s">
        <v>7</v>
      </c>
      <c r="G134" s="5">
        <v>6292</v>
      </c>
      <c r="H134" s="4">
        <f>--AND(OR(Dashboard!$A$10="All",A134=Dashboard!$A$10),OR(Dashboard!$A$14="All",D134=Dashboard!$A$14),OR(Dashboard!$A$18="All",E134=Dashboard!$A$18),OR(Dashboard!$A$22="All",F134=Dashboard!$A$22))</f>
        <v>1</v>
      </c>
    </row>
    <row r="135" spans="1:8" ht="15.75" customHeight="1">
      <c r="A135" s="4">
        <v>2024</v>
      </c>
      <c r="B135" s="4">
        <v>4</v>
      </c>
      <c r="C135" s="4" t="s">
        <v>106</v>
      </c>
      <c r="D135" s="4" t="s">
        <v>11</v>
      </c>
      <c r="E135" s="4" t="s">
        <v>12</v>
      </c>
      <c r="F135" s="4" t="s">
        <v>10</v>
      </c>
      <c r="G135" s="5">
        <v>4152.72</v>
      </c>
      <c r="H135" s="4">
        <f>--AND(OR(Dashboard!$A$10="All",A135=Dashboard!$A$10),OR(Dashboard!$A$14="All",D135=Dashboard!$A$14),OR(Dashboard!$A$18="All",E135=Dashboard!$A$18),OR(Dashboard!$A$22="All",F135=Dashboard!$A$22))</f>
        <v>1</v>
      </c>
    </row>
    <row r="136" spans="1:8" ht="15.75" customHeight="1">
      <c r="A136" s="4">
        <v>2024</v>
      </c>
      <c r="B136" s="4">
        <v>4</v>
      </c>
      <c r="C136" s="4" t="s">
        <v>106</v>
      </c>
      <c r="D136" s="4" t="s">
        <v>11</v>
      </c>
      <c r="E136" s="4" t="s">
        <v>12</v>
      </c>
      <c r="F136" s="4" t="s">
        <v>13</v>
      </c>
      <c r="G136" s="5">
        <v>2516.8000000000002</v>
      </c>
      <c r="H136" s="4">
        <f>--AND(OR(Dashboard!$A$10="All",A136=Dashboard!$A$10),OR(Dashboard!$A$14="All",D136=Dashboard!$A$14),OR(Dashboard!$A$18="All",E136=Dashboard!$A$18),OR(Dashboard!$A$22="All",F136=Dashboard!$A$22))</f>
        <v>1</v>
      </c>
    </row>
    <row r="137" spans="1:8" ht="15.75" customHeight="1">
      <c r="A137" s="4">
        <v>2024</v>
      </c>
      <c r="B137" s="4">
        <v>4</v>
      </c>
      <c r="C137" s="4" t="s">
        <v>106</v>
      </c>
      <c r="D137" s="4" t="s">
        <v>14</v>
      </c>
      <c r="E137" s="4" t="s">
        <v>6</v>
      </c>
      <c r="F137" s="4" t="s">
        <v>7</v>
      </c>
      <c r="G137" s="5">
        <v>4875</v>
      </c>
      <c r="H137" s="4">
        <f>--AND(OR(Dashboard!$A$10="All",A137=Dashboard!$A$10),OR(Dashboard!$A$14="All",D137=Dashboard!$A$14),OR(Dashboard!$A$18="All",E137=Dashboard!$A$18),OR(Dashboard!$A$22="All",F137=Dashboard!$A$22))</f>
        <v>1</v>
      </c>
    </row>
    <row r="138" spans="1:8" ht="15.75" customHeight="1">
      <c r="A138" s="4">
        <v>2024</v>
      </c>
      <c r="B138" s="4">
        <v>4</v>
      </c>
      <c r="C138" s="4" t="s">
        <v>106</v>
      </c>
      <c r="D138" s="4" t="s">
        <v>14</v>
      </c>
      <c r="E138" s="4" t="s">
        <v>6</v>
      </c>
      <c r="F138" s="4" t="s">
        <v>10</v>
      </c>
      <c r="G138" s="5">
        <v>3217.5</v>
      </c>
      <c r="H138" s="4">
        <f>--AND(OR(Dashboard!$A$10="All",A138=Dashboard!$A$10),OR(Dashboard!$A$14="All",D138=Dashboard!$A$14),OR(Dashboard!$A$18="All",E138=Dashboard!$A$18),OR(Dashboard!$A$22="All",F138=Dashboard!$A$22))</f>
        <v>1</v>
      </c>
    </row>
    <row r="139" spans="1:8" ht="15.75" customHeight="1">
      <c r="A139" s="4">
        <v>2024</v>
      </c>
      <c r="B139" s="4">
        <v>4</v>
      </c>
      <c r="C139" s="4" t="s">
        <v>106</v>
      </c>
      <c r="D139" s="4" t="s">
        <v>14</v>
      </c>
      <c r="E139" s="4" t="s">
        <v>6</v>
      </c>
      <c r="F139" s="4" t="s">
        <v>13</v>
      </c>
      <c r="G139" s="5">
        <v>1950</v>
      </c>
      <c r="H139" s="4">
        <f>--AND(OR(Dashboard!$A$10="All",A139=Dashboard!$A$10),OR(Dashboard!$A$14="All",D139=Dashboard!$A$14),OR(Dashboard!$A$18="All",E139=Dashboard!$A$18),OR(Dashboard!$A$22="All",F139=Dashboard!$A$22))</f>
        <v>1</v>
      </c>
    </row>
    <row r="140" spans="1:8" ht="15.75" customHeight="1">
      <c r="A140" s="4">
        <v>2024</v>
      </c>
      <c r="B140" s="4">
        <v>4</v>
      </c>
      <c r="C140" s="4" t="s">
        <v>106</v>
      </c>
      <c r="D140" s="4" t="s">
        <v>14</v>
      </c>
      <c r="E140" s="4" t="s">
        <v>9</v>
      </c>
      <c r="F140" s="4" t="s">
        <v>7</v>
      </c>
      <c r="G140" s="5">
        <v>3120</v>
      </c>
      <c r="H140" s="4">
        <f>--AND(OR(Dashboard!$A$10="All",A140=Dashboard!$A$10),OR(Dashboard!$A$14="All",D140=Dashboard!$A$14),OR(Dashboard!$A$18="All",E140=Dashboard!$A$18),OR(Dashboard!$A$22="All",F140=Dashboard!$A$22))</f>
        <v>1</v>
      </c>
    </row>
    <row r="141" spans="1:8" ht="15.75" customHeight="1">
      <c r="A141" s="4">
        <v>2024</v>
      </c>
      <c r="B141" s="4">
        <v>4</v>
      </c>
      <c r="C141" s="4" t="s">
        <v>106</v>
      </c>
      <c r="D141" s="4" t="s">
        <v>14</v>
      </c>
      <c r="E141" s="4" t="s">
        <v>9</v>
      </c>
      <c r="F141" s="4" t="s">
        <v>10</v>
      </c>
      <c r="G141" s="5">
        <v>2059.1999999999998</v>
      </c>
      <c r="H141" s="4">
        <f>--AND(OR(Dashboard!$A$10="All",A141=Dashboard!$A$10),OR(Dashboard!$A$14="All",D141=Dashboard!$A$14),OR(Dashboard!$A$18="All",E141=Dashboard!$A$18),OR(Dashboard!$A$22="All",F141=Dashboard!$A$22))</f>
        <v>1</v>
      </c>
    </row>
    <row r="142" spans="1:8" ht="15.75" customHeight="1">
      <c r="A142" s="4">
        <v>2024</v>
      </c>
      <c r="B142" s="4">
        <v>4</v>
      </c>
      <c r="C142" s="4" t="s">
        <v>106</v>
      </c>
      <c r="D142" s="4" t="s">
        <v>14</v>
      </c>
      <c r="E142" s="4" t="s">
        <v>9</v>
      </c>
      <c r="F142" s="4" t="s">
        <v>13</v>
      </c>
      <c r="G142" s="5">
        <v>1248</v>
      </c>
      <c r="H142" s="4">
        <f>--AND(OR(Dashboard!$A$10="All",A142=Dashboard!$A$10),OR(Dashboard!$A$14="All",D142=Dashboard!$A$14),OR(Dashboard!$A$18="All",E142=Dashboard!$A$18),OR(Dashboard!$A$22="All",F142=Dashboard!$A$22))</f>
        <v>1</v>
      </c>
    </row>
    <row r="143" spans="1:8" ht="15.75" customHeight="1">
      <c r="A143" s="4">
        <v>2024</v>
      </c>
      <c r="B143" s="4">
        <v>4</v>
      </c>
      <c r="C143" s="4" t="s">
        <v>106</v>
      </c>
      <c r="D143" s="4" t="s">
        <v>14</v>
      </c>
      <c r="E143" s="4" t="s">
        <v>12</v>
      </c>
      <c r="F143" s="4" t="s">
        <v>7</v>
      </c>
      <c r="G143" s="5">
        <v>4290</v>
      </c>
      <c r="H143" s="4">
        <f>--AND(OR(Dashboard!$A$10="All",A143=Dashboard!$A$10),OR(Dashboard!$A$14="All",D143=Dashboard!$A$14),OR(Dashboard!$A$18="All",E143=Dashboard!$A$18),OR(Dashboard!$A$22="All",F143=Dashboard!$A$22))</f>
        <v>1</v>
      </c>
    </row>
    <row r="144" spans="1:8" ht="15.75" customHeight="1">
      <c r="A144" s="4">
        <v>2024</v>
      </c>
      <c r="B144" s="4">
        <v>4</v>
      </c>
      <c r="C144" s="4" t="s">
        <v>106</v>
      </c>
      <c r="D144" s="4" t="s">
        <v>14</v>
      </c>
      <c r="E144" s="4" t="s">
        <v>12</v>
      </c>
      <c r="F144" s="4" t="s">
        <v>10</v>
      </c>
      <c r="G144" s="5">
        <v>2831.4</v>
      </c>
      <c r="H144" s="4">
        <f>--AND(OR(Dashboard!$A$10="All",A144=Dashboard!$A$10),OR(Dashboard!$A$14="All",D144=Dashboard!$A$14),OR(Dashboard!$A$18="All",E144=Dashboard!$A$18),OR(Dashboard!$A$22="All",F144=Dashboard!$A$22))</f>
        <v>1</v>
      </c>
    </row>
    <row r="145" spans="1:8" ht="15.75" customHeight="1">
      <c r="A145" s="4">
        <v>2024</v>
      </c>
      <c r="B145" s="4">
        <v>4</v>
      </c>
      <c r="C145" s="4" t="s">
        <v>106</v>
      </c>
      <c r="D145" s="4" t="s">
        <v>14</v>
      </c>
      <c r="E145" s="4" t="s">
        <v>12</v>
      </c>
      <c r="F145" s="4" t="s">
        <v>13</v>
      </c>
      <c r="G145" s="5">
        <v>1716</v>
      </c>
      <c r="H145" s="4">
        <f>--AND(OR(Dashboard!$A$10="All",A145=Dashboard!$A$10),OR(Dashboard!$A$14="All",D145=Dashboard!$A$14),OR(Dashboard!$A$18="All",E145=Dashboard!$A$18),OR(Dashboard!$A$22="All",F145=Dashboard!$A$22))</f>
        <v>1</v>
      </c>
    </row>
    <row r="146" spans="1:8" ht="15.75" customHeight="1">
      <c r="A146" s="4">
        <v>2024</v>
      </c>
      <c r="B146" s="4">
        <v>5</v>
      </c>
      <c r="C146" s="4" t="s">
        <v>108</v>
      </c>
      <c r="D146" s="4" t="s">
        <v>5</v>
      </c>
      <c r="E146" s="4" t="s">
        <v>6</v>
      </c>
      <c r="F146" s="4" t="s">
        <v>7</v>
      </c>
      <c r="G146" s="5">
        <v>16250</v>
      </c>
      <c r="H146" s="4">
        <f>--AND(OR(Dashboard!$A$10="All",A146=Dashboard!$A$10),OR(Dashboard!$A$14="All",D146=Dashboard!$A$14),OR(Dashboard!$A$18="All",E146=Dashboard!$A$18),OR(Dashboard!$A$22="All",F146=Dashboard!$A$22))</f>
        <v>1</v>
      </c>
    </row>
    <row r="147" spans="1:8" ht="15.75" customHeight="1">
      <c r="A147" s="4">
        <v>2024</v>
      </c>
      <c r="B147" s="4">
        <v>5</v>
      </c>
      <c r="C147" s="4" t="s">
        <v>108</v>
      </c>
      <c r="D147" s="4" t="s">
        <v>5</v>
      </c>
      <c r="E147" s="4" t="s">
        <v>6</v>
      </c>
      <c r="F147" s="4" t="s">
        <v>10</v>
      </c>
      <c r="G147" s="5">
        <v>10725</v>
      </c>
      <c r="H147" s="4">
        <f>--AND(OR(Dashboard!$A$10="All",A147=Dashboard!$A$10),OR(Dashboard!$A$14="All",D147=Dashboard!$A$14),OR(Dashboard!$A$18="All",E147=Dashboard!$A$18),OR(Dashboard!$A$22="All",F147=Dashboard!$A$22))</f>
        <v>1</v>
      </c>
    </row>
    <row r="148" spans="1:8" ht="15.75" customHeight="1">
      <c r="A148" s="4">
        <v>2024</v>
      </c>
      <c r="B148" s="4">
        <v>5</v>
      </c>
      <c r="C148" s="4" t="s">
        <v>108</v>
      </c>
      <c r="D148" s="4" t="s">
        <v>5</v>
      </c>
      <c r="E148" s="4" t="s">
        <v>6</v>
      </c>
      <c r="F148" s="4" t="s">
        <v>13</v>
      </c>
      <c r="G148" s="5">
        <v>6500</v>
      </c>
      <c r="H148" s="4">
        <f>--AND(OR(Dashboard!$A$10="All",A148=Dashboard!$A$10),OR(Dashboard!$A$14="All",D148=Dashboard!$A$14),OR(Dashboard!$A$18="All",E148=Dashboard!$A$18),OR(Dashboard!$A$22="All",F148=Dashboard!$A$22))</f>
        <v>1</v>
      </c>
    </row>
    <row r="149" spans="1:8" ht="15.75" customHeight="1">
      <c r="A149" s="4">
        <v>2024</v>
      </c>
      <c r="B149" s="4">
        <v>5</v>
      </c>
      <c r="C149" s="4" t="s">
        <v>108</v>
      </c>
      <c r="D149" s="4" t="s">
        <v>5</v>
      </c>
      <c r="E149" s="4" t="s">
        <v>9</v>
      </c>
      <c r="F149" s="4" t="s">
        <v>7</v>
      </c>
      <c r="G149" s="5">
        <v>10400</v>
      </c>
      <c r="H149" s="4">
        <f>--AND(OR(Dashboard!$A$10="All",A149=Dashboard!$A$10),OR(Dashboard!$A$14="All",D149=Dashboard!$A$14),OR(Dashboard!$A$18="All",E149=Dashboard!$A$18),OR(Dashboard!$A$22="All",F149=Dashboard!$A$22))</f>
        <v>1</v>
      </c>
    </row>
    <row r="150" spans="1:8" ht="15.75" customHeight="1">
      <c r="A150" s="4">
        <v>2024</v>
      </c>
      <c r="B150" s="4">
        <v>5</v>
      </c>
      <c r="C150" s="4" t="s">
        <v>108</v>
      </c>
      <c r="D150" s="4" t="s">
        <v>5</v>
      </c>
      <c r="E150" s="4" t="s">
        <v>9</v>
      </c>
      <c r="F150" s="4" t="s">
        <v>10</v>
      </c>
      <c r="G150" s="5">
        <v>6864</v>
      </c>
      <c r="H150" s="4">
        <f>--AND(OR(Dashboard!$A$10="All",A150=Dashboard!$A$10),OR(Dashboard!$A$14="All",D150=Dashboard!$A$14),OR(Dashboard!$A$18="All",E150=Dashboard!$A$18),OR(Dashboard!$A$22="All",F150=Dashboard!$A$22))</f>
        <v>1</v>
      </c>
    </row>
    <row r="151" spans="1:8" ht="15.75" customHeight="1">
      <c r="A151" s="4">
        <v>2024</v>
      </c>
      <c r="B151" s="4">
        <v>5</v>
      </c>
      <c r="C151" s="4" t="s">
        <v>108</v>
      </c>
      <c r="D151" s="4" t="s">
        <v>5</v>
      </c>
      <c r="E151" s="4" t="s">
        <v>9</v>
      </c>
      <c r="F151" s="4" t="s">
        <v>13</v>
      </c>
      <c r="G151" s="5">
        <v>4160</v>
      </c>
      <c r="H151" s="4">
        <f>--AND(OR(Dashboard!$A$10="All",A151=Dashboard!$A$10),OR(Dashboard!$A$14="All",D151=Dashboard!$A$14),OR(Dashboard!$A$18="All",E151=Dashboard!$A$18),OR(Dashboard!$A$22="All",F151=Dashboard!$A$22))</f>
        <v>1</v>
      </c>
    </row>
    <row r="152" spans="1:8" ht="15.75" customHeight="1">
      <c r="A152" s="4">
        <v>2024</v>
      </c>
      <c r="B152" s="4">
        <v>5</v>
      </c>
      <c r="C152" s="4" t="s">
        <v>108</v>
      </c>
      <c r="D152" s="4" t="s">
        <v>5</v>
      </c>
      <c r="E152" s="4" t="s">
        <v>12</v>
      </c>
      <c r="F152" s="4" t="s">
        <v>7</v>
      </c>
      <c r="G152" s="5">
        <v>14300</v>
      </c>
      <c r="H152" s="4">
        <f>--AND(OR(Dashboard!$A$10="All",A152=Dashboard!$A$10),OR(Dashboard!$A$14="All",D152=Dashboard!$A$14),OR(Dashboard!$A$18="All",E152=Dashboard!$A$18),OR(Dashboard!$A$22="All",F152=Dashboard!$A$22))</f>
        <v>1</v>
      </c>
    </row>
    <row r="153" spans="1:8" ht="15.75" customHeight="1">
      <c r="A153" s="4">
        <v>2024</v>
      </c>
      <c r="B153" s="4">
        <v>5</v>
      </c>
      <c r="C153" s="4" t="s">
        <v>108</v>
      </c>
      <c r="D153" s="4" t="s">
        <v>5</v>
      </c>
      <c r="E153" s="4" t="s">
        <v>12</v>
      </c>
      <c r="F153" s="4" t="s">
        <v>10</v>
      </c>
      <c r="G153" s="5">
        <v>9438</v>
      </c>
      <c r="H153" s="4">
        <f>--AND(OR(Dashboard!$A$10="All",A153=Dashboard!$A$10),OR(Dashboard!$A$14="All",D153=Dashboard!$A$14),OR(Dashboard!$A$18="All",E153=Dashboard!$A$18),OR(Dashboard!$A$22="All",F153=Dashboard!$A$22))</f>
        <v>1</v>
      </c>
    </row>
    <row r="154" spans="1:8" ht="15.75" customHeight="1">
      <c r="A154" s="4">
        <v>2024</v>
      </c>
      <c r="B154" s="4">
        <v>5</v>
      </c>
      <c r="C154" s="4" t="s">
        <v>108</v>
      </c>
      <c r="D154" s="4" t="s">
        <v>5</v>
      </c>
      <c r="E154" s="4" t="s">
        <v>12</v>
      </c>
      <c r="F154" s="4" t="s">
        <v>13</v>
      </c>
      <c r="G154" s="5">
        <v>5720</v>
      </c>
      <c r="H154" s="4">
        <f>--AND(OR(Dashboard!$A$10="All",A154=Dashboard!$A$10),OR(Dashboard!$A$14="All",D154=Dashboard!$A$14),OR(Dashboard!$A$18="All",E154=Dashboard!$A$18),OR(Dashboard!$A$22="All",F154=Dashboard!$A$22))</f>
        <v>1</v>
      </c>
    </row>
    <row r="155" spans="1:8" ht="15.75" customHeight="1">
      <c r="A155" s="4">
        <v>2024</v>
      </c>
      <c r="B155" s="4">
        <v>5</v>
      </c>
      <c r="C155" s="4" t="s">
        <v>108</v>
      </c>
      <c r="D155" s="4" t="s">
        <v>8</v>
      </c>
      <c r="E155" s="4" t="s">
        <v>6</v>
      </c>
      <c r="F155" s="4" t="s">
        <v>7</v>
      </c>
      <c r="G155" s="5">
        <v>10075</v>
      </c>
      <c r="H155" s="4">
        <f>--AND(OR(Dashboard!$A$10="All",A155=Dashboard!$A$10),OR(Dashboard!$A$14="All",D155=Dashboard!$A$14),OR(Dashboard!$A$18="All",E155=Dashboard!$A$18),OR(Dashboard!$A$22="All",F155=Dashboard!$A$22))</f>
        <v>1</v>
      </c>
    </row>
    <row r="156" spans="1:8" ht="15.75" customHeight="1">
      <c r="A156" s="4">
        <v>2024</v>
      </c>
      <c r="B156" s="4">
        <v>5</v>
      </c>
      <c r="C156" s="4" t="s">
        <v>108</v>
      </c>
      <c r="D156" s="4" t="s">
        <v>8</v>
      </c>
      <c r="E156" s="4" t="s">
        <v>6</v>
      </c>
      <c r="F156" s="4" t="s">
        <v>10</v>
      </c>
      <c r="G156" s="5">
        <v>6649.5</v>
      </c>
      <c r="H156" s="4">
        <f>--AND(OR(Dashboard!$A$10="All",A156=Dashboard!$A$10),OR(Dashboard!$A$14="All",D156=Dashboard!$A$14),OR(Dashboard!$A$18="All",E156=Dashboard!$A$18),OR(Dashboard!$A$22="All",F156=Dashboard!$A$22))</f>
        <v>1</v>
      </c>
    </row>
    <row r="157" spans="1:8" ht="15.75" customHeight="1">
      <c r="A157" s="4">
        <v>2024</v>
      </c>
      <c r="B157" s="4">
        <v>5</v>
      </c>
      <c r="C157" s="4" t="s">
        <v>108</v>
      </c>
      <c r="D157" s="4" t="s">
        <v>8</v>
      </c>
      <c r="E157" s="4" t="s">
        <v>6</v>
      </c>
      <c r="F157" s="4" t="s">
        <v>13</v>
      </c>
      <c r="G157" s="5">
        <v>4030</v>
      </c>
      <c r="H157" s="4">
        <f>--AND(OR(Dashboard!$A$10="All",A157=Dashboard!$A$10),OR(Dashboard!$A$14="All",D157=Dashboard!$A$14),OR(Dashboard!$A$18="All",E157=Dashboard!$A$18),OR(Dashboard!$A$22="All",F157=Dashboard!$A$22))</f>
        <v>1</v>
      </c>
    </row>
    <row r="158" spans="1:8" ht="15.75" customHeight="1">
      <c r="A158" s="4">
        <v>2024</v>
      </c>
      <c r="B158" s="4">
        <v>5</v>
      </c>
      <c r="C158" s="4" t="s">
        <v>108</v>
      </c>
      <c r="D158" s="4" t="s">
        <v>8</v>
      </c>
      <c r="E158" s="4" t="s">
        <v>9</v>
      </c>
      <c r="F158" s="4" t="s">
        <v>7</v>
      </c>
      <c r="G158" s="5">
        <v>6448</v>
      </c>
      <c r="H158" s="4">
        <f>--AND(OR(Dashboard!$A$10="All",A158=Dashboard!$A$10),OR(Dashboard!$A$14="All",D158=Dashboard!$A$14),OR(Dashboard!$A$18="All",E158=Dashboard!$A$18),OR(Dashboard!$A$22="All",F158=Dashboard!$A$22))</f>
        <v>1</v>
      </c>
    </row>
    <row r="159" spans="1:8" ht="15.75" customHeight="1">
      <c r="A159" s="4">
        <v>2024</v>
      </c>
      <c r="B159" s="4">
        <v>5</v>
      </c>
      <c r="C159" s="4" t="s">
        <v>108</v>
      </c>
      <c r="D159" s="4" t="s">
        <v>8</v>
      </c>
      <c r="E159" s="4" t="s">
        <v>9</v>
      </c>
      <c r="F159" s="4" t="s">
        <v>10</v>
      </c>
      <c r="G159" s="5">
        <v>4255.68</v>
      </c>
      <c r="H159" s="4">
        <f>--AND(OR(Dashboard!$A$10="All",A159=Dashboard!$A$10),OR(Dashboard!$A$14="All",D159=Dashboard!$A$14),OR(Dashboard!$A$18="All",E159=Dashboard!$A$18),OR(Dashboard!$A$22="All",F159=Dashboard!$A$22))</f>
        <v>1</v>
      </c>
    </row>
    <row r="160" spans="1:8" ht="15.75" customHeight="1">
      <c r="A160" s="4">
        <v>2024</v>
      </c>
      <c r="B160" s="4">
        <v>5</v>
      </c>
      <c r="C160" s="4" t="s">
        <v>108</v>
      </c>
      <c r="D160" s="4" t="s">
        <v>8</v>
      </c>
      <c r="E160" s="4" t="s">
        <v>9</v>
      </c>
      <c r="F160" s="4" t="s">
        <v>13</v>
      </c>
      <c r="G160" s="5">
        <v>2579.1999999999998</v>
      </c>
      <c r="H160" s="4">
        <f>--AND(OR(Dashboard!$A$10="All",A160=Dashboard!$A$10),OR(Dashboard!$A$14="All",D160=Dashboard!$A$14),OR(Dashboard!$A$18="All",E160=Dashboard!$A$18),OR(Dashboard!$A$22="All",F160=Dashboard!$A$22))</f>
        <v>1</v>
      </c>
    </row>
    <row r="161" spans="1:8" ht="15.75" customHeight="1">
      <c r="A161" s="4">
        <v>2024</v>
      </c>
      <c r="B161" s="4">
        <v>5</v>
      </c>
      <c r="C161" s="4" t="s">
        <v>108</v>
      </c>
      <c r="D161" s="4" t="s">
        <v>8</v>
      </c>
      <c r="E161" s="4" t="s">
        <v>12</v>
      </c>
      <c r="F161" s="4" t="s">
        <v>7</v>
      </c>
      <c r="G161" s="5">
        <v>8866</v>
      </c>
      <c r="H161" s="4">
        <f>--AND(OR(Dashboard!$A$10="All",A161=Dashboard!$A$10),OR(Dashboard!$A$14="All",D161=Dashboard!$A$14),OR(Dashboard!$A$18="All",E161=Dashboard!$A$18),OR(Dashboard!$A$22="All",F161=Dashboard!$A$22))</f>
        <v>1</v>
      </c>
    </row>
    <row r="162" spans="1:8" ht="15.75" customHeight="1">
      <c r="A162" s="4">
        <v>2024</v>
      </c>
      <c r="B162" s="4">
        <v>5</v>
      </c>
      <c r="C162" s="4" t="s">
        <v>108</v>
      </c>
      <c r="D162" s="4" t="s">
        <v>8</v>
      </c>
      <c r="E162" s="4" t="s">
        <v>12</v>
      </c>
      <c r="F162" s="4" t="s">
        <v>10</v>
      </c>
      <c r="G162" s="5">
        <v>5851.56</v>
      </c>
      <c r="H162" s="4">
        <f>--AND(OR(Dashboard!$A$10="All",A162=Dashboard!$A$10),OR(Dashboard!$A$14="All",D162=Dashboard!$A$14),OR(Dashboard!$A$18="All",E162=Dashboard!$A$18),OR(Dashboard!$A$22="All",F162=Dashboard!$A$22))</f>
        <v>1</v>
      </c>
    </row>
    <row r="163" spans="1:8" ht="15.75" customHeight="1">
      <c r="A163" s="4">
        <v>2024</v>
      </c>
      <c r="B163" s="4">
        <v>5</v>
      </c>
      <c r="C163" s="4" t="s">
        <v>108</v>
      </c>
      <c r="D163" s="4" t="s">
        <v>8</v>
      </c>
      <c r="E163" s="4" t="s">
        <v>12</v>
      </c>
      <c r="F163" s="4" t="s">
        <v>13</v>
      </c>
      <c r="G163" s="5">
        <v>3546.4</v>
      </c>
      <c r="H163" s="4">
        <f>--AND(OR(Dashboard!$A$10="All",A163=Dashboard!$A$10),OR(Dashboard!$A$14="All",D163=Dashboard!$A$14),OR(Dashboard!$A$18="All",E163=Dashboard!$A$18),OR(Dashboard!$A$22="All",F163=Dashboard!$A$22))</f>
        <v>1</v>
      </c>
    </row>
    <row r="164" spans="1:8" ht="15.75" customHeight="1">
      <c r="A164" s="4">
        <v>2024</v>
      </c>
      <c r="B164" s="4">
        <v>5</v>
      </c>
      <c r="C164" s="4" t="s">
        <v>108</v>
      </c>
      <c r="D164" s="4" t="s">
        <v>11</v>
      </c>
      <c r="E164" s="4" t="s">
        <v>6</v>
      </c>
      <c r="F164" s="4" t="s">
        <v>7</v>
      </c>
      <c r="G164" s="5">
        <v>7150</v>
      </c>
      <c r="H164" s="4">
        <f>--AND(OR(Dashboard!$A$10="All",A164=Dashboard!$A$10),OR(Dashboard!$A$14="All",D164=Dashboard!$A$14),OR(Dashboard!$A$18="All",E164=Dashboard!$A$18),OR(Dashboard!$A$22="All",F164=Dashboard!$A$22))</f>
        <v>1</v>
      </c>
    </row>
    <row r="165" spans="1:8" ht="15.75" customHeight="1">
      <c r="A165" s="4">
        <v>2024</v>
      </c>
      <c r="B165" s="4">
        <v>5</v>
      </c>
      <c r="C165" s="4" t="s">
        <v>108</v>
      </c>
      <c r="D165" s="4" t="s">
        <v>11</v>
      </c>
      <c r="E165" s="4" t="s">
        <v>6</v>
      </c>
      <c r="F165" s="4" t="s">
        <v>10</v>
      </c>
      <c r="G165" s="5">
        <v>4719</v>
      </c>
      <c r="H165" s="4">
        <f>--AND(OR(Dashboard!$A$10="All",A165=Dashboard!$A$10),OR(Dashboard!$A$14="All",D165=Dashboard!$A$14),OR(Dashboard!$A$18="All",E165=Dashboard!$A$18),OR(Dashboard!$A$22="All",F165=Dashboard!$A$22))</f>
        <v>1</v>
      </c>
    </row>
    <row r="166" spans="1:8" ht="15.75" customHeight="1">
      <c r="A166" s="4">
        <v>2024</v>
      </c>
      <c r="B166" s="4">
        <v>5</v>
      </c>
      <c r="C166" s="4" t="s">
        <v>108</v>
      </c>
      <c r="D166" s="4" t="s">
        <v>11</v>
      </c>
      <c r="E166" s="4" t="s">
        <v>6</v>
      </c>
      <c r="F166" s="4" t="s">
        <v>13</v>
      </c>
      <c r="G166" s="5">
        <v>2860</v>
      </c>
      <c r="H166" s="4">
        <f>--AND(OR(Dashboard!$A$10="All",A166=Dashboard!$A$10),OR(Dashboard!$A$14="All",D166=Dashboard!$A$14),OR(Dashboard!$A$18="All",E166=Dashboard!$A$18),OR(Dashboard!$A$22="All",F166=Dashboard!$A$22))</f>
        <v>1</v>
      </c>
    </row>
    <row r="167" spans="1:8" ht="15.75" customHeight="1">
      <c r="A167" s="4">
        <v>2024</v>
      </c>
      <c r="B167" s="4">
        <v>5</v>
      </c>
      <c r="C167" s="4" t="s">
        <v>108</v>
      </c>
      <c r="D167" s="4" t="s">
        <v>11</v>
      </c>
      <c r="E167" s="4" t="s">
        <v>9</v>
      </c>
      <c r="F167" s="4" t="s">
        <v>7</v>
      </c>
      <c r="G167" s="5">
        <v>4576</v>
      </c>
      <c r="H167" s="4">
        <f>--AND(OR(Dashboard!$A$10="All",A167=Dashboard!$A$10),OR(Dashboard!$A$14="All",D167=Dashboard!$A$14),OR(Dashboard!$A$18="All",E167=Dashboard!$A$18),OR(Dashboard!$A$22="All",F167=Dashboard!$A$22))</f>
        <v>1</v>
      </c>
    </row>
    <row r="168" spans="1:8" ht="15.75" customHeight="1">
      <c r="A168" s="4">
        <v>2024</v>
      </c>
      <c r="B168" s="4">
        <v>5</v>
      </c>
      <c r="C168" s="4" t="s">
        <v>108</v>
      </c>
      <c r="D168" s="4" t="s">
        <v>11</v>
      </c>
      <c r="E168" s="4" t="s">
        <v>9</v>
      </c>
      <c r="F168" s="4" t="s">
        <v>10</v>
      </c>
      <c r="G168" s="5">
        <v>3020.16</v>
      </c>
      <c r="H168" s="4">
        <f>--AND(OR(Dashboard!$A$10="All",A168=Dashboard!$A$10),OR(Dashboard!$A$14="All",D168=Dashboard!$A$14),OR(Dashboard!$A$18="All",E168=Dashboard!$A$18),OR(Dashboard!$A$22="All",F168=Dashboard!$A$22))</f>
        <v>1</v>
      </c>
    </row>
    <row r="169" spans="1:8" ht="15.75" customHeight="1">
      <c r="A169" s="4">
        <v>2024</v>
      </c>
      <c r="B169" s="4">
        <v>5</v>
      </c>
      <c r="C169" s="4" t="s">
        <v>108</v>
      </c>
      <c r="D169" s="4" t="s">
        <v>11</v>
      </c>
      <c r="E169" s="4" t="s">
        <v>9</v>
      </c>
      <c r="F169" s="4" t="s">
        <v>13</v>
      </c>
      <c r="G169" s="5">
        <v>1830.4</v>
      </c>
      <c r="H169" s="4">
        <f>--AND(OR(Dashboard!$A$10="All",A169=Dashboard!$A$10),OR(Dashboard!$A$14="All",D169=Dashboard!$A$14),OR(Dashboard!$A$18="All",E169=Dashboard!$A$18),OR(Dashboard!$A$22="All",F169=Dashboard!$A$22))</f>
        <v>1</v>
      </c>
    </row>
    <row r="170" spans="1:8" ht="15.75" customHeight="1">
      <c r="A170" s="4">
        <v>2024</v>
      </c>
      <c r="B170" s="4">
        <v>5</v>
      </c>
      <c r="C170" s="4" t="s">
        <v>108</v>
      </c>
      <c r="D170" s="4" t="s">
        <v>11</v>
      </c>
      <c r="E170" s="4" t="s">
        <v>12</v>
      </c>
      <c r="F170" s="4" t="s">
        <v>7</v>
      </c>
      <c r="G170" s="5">
        <v>6292</v>
      </c>
      <c r="H170" s="4">
        <f>--AND(OR(Dashboard!$A$10="All",A170=Dashboard!$A$10),OR(Dashboard!$A$14="All",D170=Dashboard!$A$14),OR(Dashboard!$A$18="All",E170=Dashboard!$A$18),OR(Dashboard!$A$22="All",F170=Dashboard!$A$22))</f>
        <v>1</v>
      </c>
    </row>
    <row r="171" spans="1:8" ht="15.75" customHeight="1">
      <c r="A171" s="4">
        <v>2024</v>
      </c>
      <c r="B171" s="4">
        <v>5</v>
      </c>
      <c r="C171" s="4" t="s">
        <v>108</v>
      </c>
      <c r="D171" s="4" t="s">
        <v>11</v>
      </c>
      <c r="E171" s="4" t="s">
        <v>12</v>
      </c>
      <c r="F171" s="4" t="s">
        <v>10</v>
      </c>
      <c r="G171" s="5">
        <v>4152.72</v>
      </c>
      <c r="H171" s="4">
        <f>--AND(OR(Dashboard!$A$10="All",A171=Dashboard!$A$10),OR(Dashboard!$A$14="All",D171=Dashboard!$A$14),OR(Dashboard!$A$18="All",E171=Dashboard!$A$18),OR(Dashboard!$A$22="All",F171=Dashboard!$A$22))</f>
        <v>1</v>
      </c>
    </row>
    <row r="172" spans="1:8" ht="15.75" customHeight="1">
      <c r="A172" s="4">
        <v>2024</v>
      </c>
      <c r="B172" s="4">
        <v>5</v>
      </c>
      <c r="C172" s="4" t="s">
        <v>108</v>
      </c>
      <c r="D172" s="4" t="s">
        <v>11</v>
      </c>
      <c r="E172" s="4" t="s">
        <v>12</v>
      </c>
      <c r="F172" s="4" t="s">
        <v>13</v>
      </c>
      <c r="G172" s="5">
        <v>2516.8000000000002</v>
      </c>
      <c r="H172" s="4">
        <f>--AND(OR(Dashboard!$A$10="All",A172=Dashboard!$A$10),OR(Dashboard!$A$14="All",D172=Dashboard!$A$14),OR(Dashboard!$A$18="All",E172=Dashboard!$A$18),OR(Dashboard!$A$22="All",F172=Dashboard!$A$22))</f>
        <v>1</v>
      </c>
    </row>
    <row r="173" spans="1:8" ht="15.75" customHeight="1">
      <c r="A173" s="4">
        <v>2024</v>
      </c>
      <c r="B173" s="4">
        <v>5</v>
      </c>
      <c r="C173" s="4" t="s">
        <v>108</v>
      </c>
      <c r="D173" s="4" t="s">
        <v>14</v>
      </c>
      <c r="E173" s="4" t="s">
        <v>6</v>
      </c>
      <c r="F173" s="4" t="s">
        <v>7</v>
      </c>
      <c r="G173" s="5">
        <v>4875</v>
      </c>
      <c r="H173" s="4">
        <f>--AND(OR(Dashboard!$A$10="All",A173=Dashboard!$A$10),OR(Dashboard!$A$14="All",D173=Dashboard!$A$14),OR(Dashboard!$A$18="All",E173=Dashboard!$A$18),OR(Dashboard!$A$22="All",F173=Dashboard!$A$22))</f>
        <v>1</v>
      </c>
    </row>
    <row r="174" spans="1:8" ht="15.75" customHeight="1">
      <c r="A174" s="4">
        <v>2024</v>
      </c>
      <c r="B174" s="4">
        <v>5</v>
      </c>
      <c r="C174" s="4" t="s">
        <v>108</v>
      </c>
      <c r="D174" s="4" t="s">
        <v>14</v>
      </c>
      <c r="E174" s="4" t="s">
        <v>6</v>
      </c>
      <c r="F174" s="4" t="s">
        <v>10</v>
      </c>
      <c r="G174" s="5">
        <v>3217.5</v>
      </c>
      <c r="H174" s="4">
        <f>--AND(OR(Dashboard!$A$10="All",A174=Dashboard!$A$10),OR(Dashboard!$A$14="All",D174=Dashboard!$A$14),OR(Dashboard!$A$18="All",E174=Dashboard!$A$18),OR(Dashboard!$A$22="All",F174=Dashboard!$A$22))</f>
        <v>1</v>
      </c>
    </row>
    <row r="175" spans="1:8" ht="15.75" customHeight="1">
      <c r="A175" s="4">
        <v>2024</v>
      </c>
      <c r="B175" s="4">
        <v>5</v>
      </c>
      <c r="C175" s="4" t="s">
        <v>108</v>
      </c>
      <c r="D175" s="4" t="s">
        <v>14</v>
      </c>
      <c r="E175" s="4" t="s">
        <v>6</v>
      </c>
      <c r="F175" s="4" t="s">
        <v>13</v>
      </c>
      <c r="G175" s="5">
        <v>1950</v>
      </c>
      <c r="H175" s="4">
        <f>--AND(OR(Dashboard!$A$10="All",A175=Dashboard!$A$10),OR(Dashboard!$A$14="All",D175=Dashboard!$A$14),OR(Dashboard!$A$18="All",E175=Dashboard!$A$18),OR(Dashboard!$A$22="All",F175=Dashboard!$A$22))</f>
        <v>1</v>
      </c>
    </row>
    <row r="176" spans="1:8" ht="15.75" customHeight="1">
      <c r="A176" s="4">
        <v>2024</v>
      </c>
      <c r="B176" s="4">
        <v>5</v>
      </c>
      <c r="C176" s="4" t="s">
        <v>108</v>
      </c>
      <c r="D176" s="4" t="s">
        <v>14</v>
      </c>
      <c r="E176" s="4" t="s">
        <v>9</v>
      </c>
      <c r="F176" s="4" t="s">
        <v>7</v>
      </c>
      <c r="G176" s="5">
        <v>3120</v>
      </c>
      <c r="H176" s="4">
        <f>--AND(OR(Dashboard!$A$10="All",A176=Dashboard!$A$10),OR(Dashboard!$A$14="All",D176=Dashboard!$A$14),OR(Dashboard!$A$18="All",E176=Dashboard!$A$18),OR(Dashboard!$A$22="All",F176=Dashboard!$A$22))</f>
        <v>1</v>
      </c>
    </row>
    <row r="177" spans="1:8" ht="15.75" customHeight="1">
      <c r="A177" s="4">
        <v>2024</v>
      </c>
      <c r="B177" s="4">
        <v>5</v>
      </c>
      <c r="C177" s="4" t="s">
        <v>108</v>
      </c>
      <c r="D177" s="4" t="s">
        <v>14</v>
      </c>
      <c r="E177" s="4" t="s">
        <v>9</v>
      </c>
      <c r="F177" s="4" t="s">
        <v>10</v>
      </c>
      <c r="G177" s="5">
        <v>2059.1999999999998</v>
      </c>
      <c r="H177" s="4">
        <f>--AND(OR(Dashboard!$A$10="All",A177=Dashboard!$A$10),OR(Dashboard!$A$14="All",D177=Dashboard!$A$14),OR(Dashboard!$A$18="All",E177=Dashboard!$A$18),OR(Dashboard!$A$22="All",F177=Dashboard!$A$22))</f>
        <v>1</v>
      </c>
    </row>
    <row r="178" spans="1:8" ht="15.75" customHeight="1">
      <c r="A178" s="4">
        <v>2024</v>
      </c>
      <c r="B178" s="4">
        <v>5</v>
      </c>
      <c r="C178" s="4" t="s">
        <v>108</v>
      </c>
      <c r="D178" s="4" t="s">
        <v>14</v>
      </c>
      <c r="E178" s="4" t="s">
        <v>9</v>
      </c>
      <c r="F178" s="4" t="s">
        <v>13</v>
      </c>
      <c r="G178" s="5">
        <v>1248</v>
      </c>
      <c r="H178" s="4">
        <f>--AND(OR(Dashboard!$A$10="All",A178=Dashboard!$A$10),OR(Dashboard!$A$14="All",D178=Dashboard!$A$14),OR(Dashboard!$A$18="All",E178=Dashboard!$A$18),OR(Dashboard!$A$22="All",F178=Dashboard!$A$22))</f>
        <v>1</v>
      </c>
    </row>
    <row r="179" spans="1:8" ht="15.75" customHeight="1">
      <c r="A179" s="4">
        <v>2024</v>
      </c>
      <c r="B179" s="4">
        <v>5</v>
      </c>
      <c r="C179" s="4" t="s">
        <v>108</v>
      </c>
      <c r="D179" s="4" t="s">
        <v>14</v>
      </c>
      <c r="E179" s="4" t="s">
        <v>12</v>
      </c>
      <c r="F179" s="4" t="s">
        <v>7</v>
      </c>
      <c r="G179" s="5">
        <v>4290</v>
      </c>
      <c r="H179" s="4">
        <f>--AND(OR(Dashboard!$A$10="All",A179=Dashboard!$A$10),OR(Dashboard!$A$14="All",D179=Dashboard!$A$14),OR(Dashboard!$A$18="All",E179=Dashboard!$A$18),OR(Dashboard!$A$22="All",F179=Dashboard!$A$22))</f>
        <v>1</v>
      </c>
    </row>
    <row r="180" spans="1:8" ht="15.75" customHeight="1">
      <c r="A180" s="4">
        <v>2024</v>
      </c>
      <c r="B180" s="4">
        <v>5</v>
      </c>
      <c r="C180" s="4" t="s">
        <v>108</v>
      </c>
      <c r="D180" s="4" t="s">
        <v>14</v>
      </c>
      <c r="E180" s="4" t="s">
        <v>12</v>
      </c>
      <c r="F180" s="4" t="s">
        <v>10</v>
      </c>
      <c r="G180" s="5">
        <v>2831.4</v>
      </c>
      <c r="H180" s="4">
        <f>--AND(OR(Dashboard!$A$10="All",A180=Dashboard!$A$10),OR(Dashboard!$A$14="All",D180=Dashboard!$A$14),OR(Dashboard!$A$18="All",E180=Dashboard!$A$18),OR(Dashboard!$A$22="All",F180=Dashboard!$A$22))</f>
        <v>1</v>
      </c>
    </row>
    <row r="181" spans="1:8" ht="15.75" customHeight="1">
      <c r="A181" s="4">
        <v>2024</v>
      </c>
      <c r="B181" s="4">
        <v>5</v>
      </c>
      <c r="C181" s="4" t="s">
        <v>108</v>
      </c>
      <c r="D181" s="4" t="s">
        <v>14</v>
      </c>
      <c r="E181" s="4" t="s">
        <v>12</v>
      </c>
      <c r="F181" s="4" t="s">
        <v>13</v>
      </c>
      <c r="G181" s="5">
        <v>1716</v>
      </c>
      <c r="H181" s="4">
        <f>--AND(OR(Dashboard!$A$10="All",A181=Dashboard!$A$10),OR(Dashboard!$A$14="All",D181=Dashboard!$A$14),OR(Dashboard!$A$18="All",E181=Dashboard!$A$18),OR(Dashboard!$A$22="All",F181=Dashboard!$A$22))</f>
        <v>1</v>
      </c>
    </row>
    <row r="182" spans="1:8" ht="15.75" customHeight="1">
      <c r="A182" s="4">
        <v>2024</v>
      </c>
      <c r="B182" s="4">
        <v>6</v>
      </c>
      <c r="C182" s="4" t="s">
        <v>34</v>
      </c>
      <c r="D182" s="4" t="s">
        <v>5</v>
      </c>
      <c r="E182" s="4" t="s">
        <v>6</v>
      </c>
      <c r="F182" s="4" t="s">
        <v>7</v>
      </c>
      <c r="G182" s="5">
        <v>17550</v>
      </c>
      <c r="H182" s="4">
        <f>--AND(OR(Dashboard!$A$10="All",A182=Dashboard!$A$10),OR(Dashboard!$A$14="All",D182=Dashboard!$A$14),OR(Dashboard!$A$18="All",E182=Dashboard!$A$18),OR(Dashboard!$A$22="All",F182=Dashboard!$A$22))</f>
        <v>1</v>
      </c>
    </row>
    <row r="183" spans="1:8" ht="15.75" customHeight="1">
      <c r="A183" s="4">
        <v>2024</v>
      </c>
      <c r="B183" s="4">
        <v>6</v>
      </c>
      <c r="C183" s="4" t="s">
        <v>34</v>
      </c>
      <c r="D183" s="4" t="s">
        <v>5</v>
      </c>
      <c r="E183" s="4" t="s">
        <v>6</v>
      </c>
      <c r="F183" s="4" t="s">
        <v>10</v>
      </c>
      <c r="G183" s="5">
        <v>11583</v>
      </c>
      <c r="H183" s="4">
        <f>--AND(OR(Dashboard!$A$10="All",A183=Dashboard!$A$10),OR(Dashboard!$A$14="All",D183=Dashboard!$A$14),OR(Dashboard!$A$18="All",E183=Dashboard!$A$18),OR(Dashboard!$A$22="All",F183=Dashboard!$A$22))</f>
        <v>1</v>
      </c>
    </row>
    <row r="184" spans="1:8" ht="15.75" customHeight="1">
      <c r="A184" s="4">
        <v>2024</v>
      </c>
      <c r="B184" s="4">
        <v>6</v>
      </c>
      <c r="C184" s="4" t="s">
        <v>34</v>
      </c>
      <c r="D184" s="4" t="s">
        <v>5</v>
      </c>
      <c r="E184" s="4" t="s">
        <v>6</v>
      </c>
      <c r="F184" s="4" t="s">
        <v>13</v>
      </c>
      <c r="G184" s="5">
        <v>7020</v>
      </c>
      <c r="H184" s="4">
        <f>--AND(OR(Dashboard!$A$10="All",A184=Dashboard!$A$10),OR(Dashboard!$A$14="All",D184=Dashboard!$A$14),OR(Dashboard!$A$18="All",E184=Dashboard!$A$18),OR(Dashboard!$A$22="All",F184=Dashboard!$A$22))</f>
        <v>1</v>
      </c>
    </row>
    <row r="185" spans="1:8" ht="15.75" customHeight="1">
      <c r="A185" s="4">
        <v>2024</v>
      </c>
      <c r="B185" s="4">
        <v>6</v>
      </c>
      <c r="C185" s="4" t="s">
        <v>34</v>
      </c>
      <c r="D185" s="4" t="s">
        <v>5</v>
      </c>
      <c r="E185" s="4" t="s">
        <v>9</v>
      </c>
      <c r="F185" s="4" t="s">
        <v>7</v>
      </c>
      <c r="G185" s="5">
        <v>11232</v>
      </c>
      <c r="H185" s="4">
        <f>--AND(OR(Dashboard!$A$10="All",A185=Dashboard!$A$10),OR(Dashboard!$A$14="All",D185=Dashboard!$A$14),OR(Dashboard!$A$18="All",E185=Dashboard!$A$18),OR(Dashboard!$A$22="All",F185=Dashboard!$A$22))</f>
        <v>1</v>
      </c>
    </row>
    <row r="186" spans="1:8" ht="15.75" customHeight="1">
      <c r="A186" s="4">
        <v>2024</v>
      </c>
      <c r="B186" s="4">
        <v>6</v>
      </c>
      <c r="C186" s="4" t="s">
        <v>34</v>
      </c>
      <c r="D186" s="4" t="s">
        <v>5</v>
      </c>
      <c r="E186" s="4" t="s">
        <v>9</v>
      </c>
      <c r="F186" s="4" t="s">
        <v>10</v>
      </c>
      <c r="G186" s="5">
        <v>7413.12</v>
      </c>
      <c r="H186" s="4">
        <f>--AND(OR(Dashboard!$A$10="All",A186=Dashboard!$A$10),OR(Dashboard!$A$14="All",D186=Dashboard!$A$14),OR(Dashboard!$A$18="All",E186=Dashboard!$A$18),OR(Dashboard!$A$22="All",F186=Dashboard!$A$22))</f>
        <v>1</v>
      </c>
    </row>
    <row r="187" spans="1:8" ht="15.75" customHeight="1">
      <c r="A187" s="4">
        <v>2024</v>
      </c>
      <c r="B187" s="4">
        <v>6</v>
      </c>
      <c r="C187" s="4" t="s">
        <v>34</v>
      </c>
      <c r="D187" s="4" t="s">
        <v>5</v>
      </c>
      <c r="E187" s="4" t="s">
        <v>9</v>
      </c>
      <c r="F187" s="4" t="s">
        <v>13</v>
      </c>
      <c r="G187" s="5">
        <v>4492.8</v>
      </c>
      <c r="H187" s="4">
        <f>--AND(OR(Dashboard!$A$10="All",A187=Dashboard!$A$10),OR(Dashboard!$A$14="All",D187=Dashboard!$A$14),OR(Dashboard!$A$18="All",E187=Dashboard!$A$18),OR(Dashboard!$A$22="All",F187=Dashboard!$A$22))</f>
        <v>1</v>
      </c>
    </row>
    <row r="188" spans="1:8" ht="15.75" customHeight="1">
      <c r="A188" s="4">
        <v>2024</v>
      </c>
      <c r="B188" s="4">
        <v>6</v>
      </c>
      <c r="C188" s="4" t="s">
        <v>34</v>
      </c>
      <c r="D188" s="4" t="s">
        <v>5</v>
      </c>
      <c r="E188" s="4" t="s">
        <v>12</v>
      </c>
      <c r="F188" s="4" t="s">
        <v>7</v>
      </c>
      <c r="G188" s="5">
        <v>15444</v>
      </c>
      <c r="H188" s="4">
        <f>--AND(OR(Dashboard!$A$10="All",A188=Dashboard!$A$10),OR(Dashboard!$A$14="All",D188=Dashboard!$A$14),OR(Dashboard!$A$18="All",E188=Dashboard!$A$18),OR(Dashboard!$A$22="All",F188=Dashboard!$A$22))</f>
        <v>1</v>
      </c>
    </row>
    <row r="189" spans="1:8" ht="15.75" customHeight="1">
      <c r="A189" s="4">
        <v>2024</v>
      </c>
      <c r="B189" s="4">
        <v>6</v>
      </c>
      <c r="C189" s="4" t="s">
        <v>34</v>
      </c>
      <c r="D189" s="4" t="s">
        <v>5</v>
      </c>
      <c r="E189" s="4" t="s">
        <v>12</v>
      </c>
      <c r="F189" s="4" t="s">
        <v>10</v>
      </c>
      <c r="G189" s="5">
        <v>10193.040000000001</v>
      </c>
      <c r="H189" s="4">
        <f>--AND(OR(Dashboard!$A$10="All",A189=Dashboard!$A$10),OR(Dashboard!$A$14="All",D189=Dashboard!$A$14),OR(Dashboard!$A$18="All",E189=Dashboard!$A$18),OR(Dashboard!$A$22="All",F189=Dashboard!$A$22))</f>
        <v>1</v>
      </c>
    </row>
    <row r="190" spans="1:8" ht="15.75" customHeight="1">
      <c r="A190" s="4">
        <v>2024</v>
      </c>
      <c r="B190" s="4">
        <v>6</v>
      </c>
      <c r="C190" s="4" t="s">
        <v>34</v>
      </c>
      <c r="D190" s="4" t="s">
        <v>5</v>
      </c>
      <c r="E190" s="4" t="s">
        <v>12</v>
      </c>
      <c r="F190" s="4" t="s">
        <v>13</v>
      </c>
      <c r="G190" s="5">
        <v>6177.6</v>
      </c>
      <c r="H190" s="4">
        <f>--AND(OR(Dashboard!$A$10="All",A190=Dashboard!$A$10),OR(Dashboard!$A$14="All",D190=Dashboard!$A$14),OR(Dashboard!$A$18="All",E190=Dashboard!$A$18),OR(Dashboard!$A$22="All",F190=Dashboard!$A$22))</f>
        <v>1</v>
      </c>
    </row>
    <row r="191" spans="1:8" ht="15.75" customHeight="1">
      <c r="A191" s="4">
        <v>2024</v>
      </c>
      <c r="B191" s="4">
        <v>6</v>
      </c>
      <c r="C191" s="4" t="s">
        <v>34</v>
      </c>
      <c r="D191" s="4" t="s">
        <v>8</v>
      </c>
      <c r="E191" s="4" t="s">
        <v>6</v>
      </c>
      <c r="F191" s="4" t="s">
        <v>7</v>
      </c>
      <c r="G191" s="5">
        <v>10881</v>
      </c>
      <c r="H191" s="4">
        <f>--AND(OR(Dashboard!$A$10="All",A191=Dashboard!$A$10),OR(Dashboard!$A$14="All",D191=Dashboard!$A$14),OR(Dashboard!$A$18="All",E191=Dashboard!$A$18),OR(Dashboard!$A$22="All",F191=Dashboard!$A$22))</f>
        <v>1</v>
      </c>
    </row>
    <row r="192" spans="1:8" ht="15.75" customHeight="1">
      <c r="A192" s="4">
        <v>2024</v>
      </c>
      <c r="B192" s="4">
        <v>6</v>
      </c>
      <c r="C192" s="4" t="s">
        <v>34</v>
      </c>
      <c r="D192" s="4" t="s">
        <v>8</v>
      </c>
      <c r="E192" s="4" t="s">
        <v>6</v>
      </c>
      <c r="F192" s="4" t="s">
        <v>10</v>
      </c>
      <c r="G192" s="5">
        <v>7181.46</v>
      </c>
      <c r="H192" s="4">
        <f>--AND(OR(Dashboard!$A$10="All",A192=Dashboard!$A$10),OR(Dashboard!$A$14="All",D192=Dashboard!$A$14),OR(Dashboard!$A$18="All",E192=Dashboard!$A$18),OR(Dashboard!$A$22="All",F192=Dashboard!$A$22))</f>
        <v>1</v>
      </c>
    </row>
    <row r="193" spans="1:8" ht="15.75" customHeight="1">
      <c r="A193" s="4">
        <v>2024</v>
      </c>
      <c r="B193" s="4">
        <v>6</v>
      </c>
      <c r="C193" s="4" t="s">
        <v>34</v>
      </c>
      <c r="D193" s="4" t="s">
        <v>8</v>
      </c>
      <c r="E193" s="4" t="s">
        <v>6</v>
      </c>
      <c r="F193" s="4" t="s">
        <v>13</v>
      </c>
      <c r="G193" s="5">
        <v>4352.3999999999996</v>
      </c>
      <c r="H193" s="4">
        <f>--AND(OR(Dashboard!$A$10="All",A193=Dashboard!$A$10),OR(Dashboard!$A$14="All",D193=Dashboard!$A$14),OR(Dashboard!$A$18="All",E193=Dashboard!$A$18),OR(Dashboard!$A$22="All",F193=Dashboard!$A$22))</f>
        <v>1</v>
      </c>
    </row>
    <row r="194" spans="1:8" ht="15.75" customHeight="1">
      <c r="A194" s="4">
        <v>2024</v>
      </c>
      <c r="B194" s="4">
        <v>6</v>
      </c>
      <c r="C194" s="4" t="s">
        <v>34</v>
      </c>
      <c r="D194" s="4" t="s">
        <v>8</v>
      </c>
      <c r="E194" s="4" t="s">
        <v>9</v>
      </c>
      <c r="F194" s="4" t="s">
        <v>7</v>
      </c>
      <c r="G194" s="5">
        <v>6963.84</v>
      </c>
      <c r="H194" s="4">
        <f>--AND(OR(Dashboard!$A$10="All",A194=Dashboard!$A$10),OR(Dashboard!$A$14="All",D194=Dashboard!$A$14),OR(Dashboard!$A$18="All",E194=Dashboard!$A$18),OR(Dashboard!$A$22="All",F194=Dashboard!$A$22))</f>
        <v>1</v>
      </c>
    </row>
    <row r="195" spans="1:8" ht="15.75" customHeight="1">
      <c r="A195" s="4">
        <v>2024</v>
      </c>
      <c r="B195" s="4">
        <v>6</v>
      </c>
      <c r="C195" s="4" t="s">
        <v>34</v>
      </c>
      <c r="D195" s="4" t="s">
        <v>8</v>
      </c>
      <c r="E195" s="4" t="s">
        <v>9</v>
      </c>
      <c r="F195" s="4" t="s">
        <v>10</v>
      </c>
      <c r="G195" s="5">
        <v>4596.13</v>
      </c>
      <c r="H195" s="4">
        <f>--AND(OR(Dashboard!$A$10="All",A195=Dashboard!$A$10),OR(Dashboard!$A$14="All",D195=Dashboard!$A$14),OR(Dashboard!$A$18="All",E195=Dashboard!$A$18),OR(Dashboard!$A$22="All",F195=Dashboard!$A$22))</f>
        <v>1</v>
      </c>
    </row>
    <row r="196" spans="1:8" ht="15.75" customHeight="1">
      <c r="A196" s="4">
        <v>2024</v>
      </c>
      <c r="B196" s="4">
        <v>6</v>
      </c>
      <c r="C196" s="4" t="s">
        <v>34</v>
      </c>
      <c r="D196" s="4" t="s">
        <v>8</v>
      </c>
      <c r="E196" s="4" t="s">
        <v>9</v>
      </c>
      <c r="F196" s="4" t="s">
        <v>13</v>
      </c>
      <c r="G196" s="5">
        <v>2785.54</v>
      </c>
      <c r="H196" s="4">
        <f>--AND(OR(Dashboard!$A$10="All",A196=Dashboard!$A$10),OR(Dashboard!$A$14="All",D196=Dashboard!$A$14),OR(Dashboard!$A$18="All",E196=Dashboard!$A$18),OR(Dashboard!$A$22="All",F196=Dashboard!$A$22))</f>
        <v>1</v>
      </c>
    </row>
    <row r="197" spans="1:8" ht="15.75" customHeight="1">
      <c r="A197" s="4">
        <v>2024</v>
      </c>
      <c r="B197" s="4">
        <v>6</v>
      </c>
      <c r="C197" s="4" t="s">
        <v>34</v>
      </c>
      <c r="D197" s="4" t="s">
        <v>8</v>
      </c>
      <c r="E197" s="4" t="s">
        <v>12</v>
      </c>
      <c r="F197" s="4" t="s">
        <v>7</v>
      </c>
      <c r="G197" s="5">
        <v>9575.2800000000007</v>
      </c>
      <c r="H197" s="4">
        <f>--AND(OR(Dashboard!$A$10="All",A197=Dashboard!$A$10),OR(Dashboard!$A$14="All",D197=Dashboard!$A$14),OR(Dashboard!$A$18="All",E197=Dashboard!$A$18),OR(Dashboard!$A$22="All",F197=Dashboard!$A$22))</f>
        <v>1</v>
      </c>
    </row>
    <row r="198" spans="1:8" ht="15.75" customHeight="1">
      <c r="A198" s="4">
        <v>2024</v>
      </c>
      <c r="B198" s="4">
        <v>6</v>
      </c>
      <c r="C198" s="4" t="s">
        <v>34</v>
      </c>
      <c r="D198" s="4" t="s">
        <v>8</v>
      </c>
      <c r="E198" s="4" t="s">
        <v>12</v>
      </c>
      <c r="F198" s="4" t="s">
        <v>10</v>
      </c>
      <c r="G198" s="5">
        <v>6319.68</v>
      </c>
      <c r="H198" s="4">
        <f>--AND(OR(Dashboard!$A$10="All",A198=Dashboard!$A$10),OR(Dashboard!$A$14="All",D198=Dashboard!$A$14),OR(Dashboard!$A$18="All",E198=Dashboard!$A$18),OR(Dashboard!$A$22="All",F198=Dashboard!$A$22))</f>
        <v>1</v>
      </c>
    </row>
    <row r="199" spans="1:8" ht="15.75" customHeight="1">
      <c r="A199" s="4">
        <v>2024</v>
      </c>
      <c r="B199" s="4">
        <v>6</v>
      </c>
      <c r="C199" s="4" t="s">
        <v>34</v>
      </c>
      <c r="D199" s="4" t="s">
        <v>8</v>
      </c>
      <c r="E199" s="4" t="s">
        <v>12</v>
      </c>
      <c r="F199" s="4" t="s">
        <v>13</v>
      </c>
      <c r="G199" s="5">
        <v>3830.11</v>
      </c>
      <c r="H199" s="4">
        <f>--AND(OR(Dashboard!$A$10="All",A199=Dashboard!$A$10),OR(Dashboard!$A$14="All",D199=Dashboard!$A$14),OR(Dashboard!$A$18="All",E199=Dashboard!$A$18),OR(Dashboard!$A$22="All",F199=Dashboard!$A$22))</f>
        <v>1</v>
      </c>
    </row>
    <row r="200" spans="1:8" ht="15.75" customHeight="1">
      <c r="A200" s="4">
        <v>2024</v>
      </c>
      <c r="B200" s="4">
        <v>6</v>
      </c>
      <c r="C200" s="4" t="s">
        <v>34</v>
      </c>
      <c r="D200" s="4" t="s">
        <v>11</v>
      </c>
      <c r="E200" s="4" t="s">
        <v>6</v>
      </c>
      <c r="F200" s="4" t="s">
        <v>7</v>
      </c>
      <c r="G200" s="5">
        <v>7722</v>
      </c>
      <c r="H200" s="4">
        <f>--AND(OR(Dashboard!$A$10="All",A200=Dashboard!$A$10),OR(Dashboard!$A$14="All",D200=Dashboard!$A$14),OR(Dashboard!$A$18="All",E200=Dashboard!$A$18),OR(Dashboard!$A$22="All",F200=Dashboard!$A$22))</f>
        <v>1</v>
      </c>
    </row>
    <row r="201" spans="1:8" ht="15.75" customHeight="1">
      <c r="A201" s="4">
        <v>2024</v>
      </c>
      <c r="B201" s="4">
        <v>6</v>
      </c>
      <c r="C201" s="4" t="s">
        <v>34</v>
      </c>
      <c r="D201" s="4" t="s">
        <v>11</v>
      </c>
      <c r="E201" s="4" t="s">
        <v>6</v>
      </c>
      <c r="F201" s="4" t="s">
        <v>10</v>
      </c>
      <c r="G201" s="5">
        <v>5096.5200000000004</v>
      </c>
      <c r="H201" s="4">
        <f>--AND(OR(Dashboard!$A$10="All",A201=Dashboard!$A$10),OR(Dashboard!$A$14="All",D201=Dashboard!$A$14),OR(Dashboard!$A$18="All",E201=Dashboard!$A$18),OR(Dashboard!$A$22="All",F201=Dashboard!$A$22))</f>
        <v>1</v>
      </c>
    </row>
    <row r="202" spans="1:8" ht="15.75" customHeight="1">
      <c r="A202" s="4">
        <v>2024</v>
      </c>
      <c r="B202" s="4">
        <v>6</v>
      </c>
      <c r="C202" s="4" t="s">
        <v>34</v>
      </c>
      <c r="D202" s="4" t="s">
        <v>11</v>
      </c>
      <c r="E202" s="4" t="s">
        <v>6</v>
      </c>
      <c r="F202" s="4" t="s">
        <v>13</v>
      </c>
      <c r="G202" s="5">
        <v>3088.8</v>
      </c>
      <c r="H202" s="4">
        <f>--AND(OR(Dashboard!$A$10="All",A202=Dashboard!$A$10),OR(Dashboard!$A$14="All",D202=Dashboard!$A$14),OR(Dashboard!$A$18="All",E202=Dashboard!$A$18),OR(Dashboard!$A$22="All",F202=Dashboard!$A$22))</f>
        <v>1</v>
      </c>
    </row>
    <row r="203" spans="1:8" ht="15.75" customHeight="1">
      <c r="A203" s="4">
        <v>2024</v>
      </c>
      <c r="B203" s="4">
        <v>6</v>
      </c>
      <c r="C203" s="4" t="s">
        <v>34</v>
      </c>
      <c r="D203" s="4" t="s">
        <v>11</v>
      </c>
      <c r="E203" s="4" t="s">
        <v>9</v>
      </c>
      <c r="F203" s="4" t="s">
        <v>7</v>
      </c>
      <c r="G203" s="5">
        <v>4942.08</v>
      </c>
      <c r="H203" s="4">
        <f>--AND(OR(Dashboard!$A$10="All",A203=Dashboard!$A$10),OR(Dashboard!$A$14="All",D203=Dashboard!$A$14),OR(Dashboard!$A$18="All",E203=Dashboard!$A$18),OR(Dashboard!$A$22="All",F203=Dashboard!$A$22))</f>
        <v>1</v>
      </c>
    </row>
    <row r="204" spans="1:8" ht="15.75" customHeight="1">
      <c r="A204" s="4">
        <v>2024</v>
      </c>
      <c r="B204" s="4">
        <v>6</v>
      </c>
      <c r="C204" s="4" t="s">
        <v>34</v>
      </c>
      <c r="D204" s="4" t="s">
        <v>11</v>
      </c>
      <c r="E204" s="4" t="s">
        <v>9</v>
      </c>
      <c r="F204" s="4" t="s">
        <v>10</v>
      </c>
      <c r="G204" s="5">
        <v>3261.77</v>
      </c>
      <c r="H204" s="4">
        <f>--AND(OR(Dashboard!$A$10="All",A204=Dashboard!$A$10),OR(Dashboard!$A$14="All",D204=Dashboard!$A$14),OR(Dashboard!$A$18="All",E204=Dashboard!$A$18),OR(Dashboard!$A$22="All",F204=Dashboard!$A$22))</f>
        <v>1</v>
      </c>
    </row>
    <row r="205" spans="1:8" ht="15.75" customHeight="1">
      <c r="A205" s="4">
        <v>2024</v>
      </c>
      <c r="B205" s="4">
        <v>6</v>
      </c>
      <c r="C205" s="4" t="s">
        <v>34</v>
      </c>
      <c r="D205" s="4" t="s">
        <v>11</v>
      </c>
      <c r="E205" s="4" t="s">
        <v>9</v>
      </c>
      <c r="F205" s="4" t="s">
        <v>13</v>
      </c>
      <c r="G205" s="5">
        <v>1976.83</v>
      </c>
      <c r="H205" s="4">
        <f>--AND(OR(Dashboard!$A$10="All",A205=Dashboard!$A$10),OR(Dashboard!$A$14="All",D205=Dashboard!$A$14),OR(Dashboard!$A$18="All",E205=Dashboard!$A$18),OR(Dashboard!$A$22="All",F205=Dashboard!$A$22))</f>
        <v>1</v>
      </c>
    </row>
    <row r="206" spans="1:8" ht="15.75" customHeight="1">
      <c r="A206" s="4">
        <v>2024</v>
      </c>
      <c r="B206" s="4">
        <v>6</v>
      </c>
      <c r="C206" s="4" t="s">
        <v>34</v>
      </c>
      <c r="D206" s="4" t="s">
        <v>11</v>
      </c>
      <c r="E206" s="4" t="s">
        <v>12</v>
      </c>
      <c r="F206" s="4" t="s">
        <v>7</v>
      </c>
      <c r="G206" s="5">
        <v>6795.36</v>
      </c>
      <c r="H206" s="4">
        <f>--AND(OR(Dashboard!$A$10="All",A206=Dashboard!$A$10),OR(Dashboard!$A$14="All",D206=Dashboard!$A$14),OR(Dashboard!$A$18="All",E206=Dashboard!$A$18),OR(Dashboard!$A$22="All",F206=Dashboard!$A$22))</f>
        <v>1</v>
      </c>
    </row>
    <row r="207" spans="1:8" ht="15.75" customHeight="1">
      <c r="A207" s="4">
        <v>2024</v>
      </c>
      <c r="B207" s="4">
        <v>6</v>
      </c>
      <c r="C207" s="4" t="s">
        <v>34</v>
      </c>
      <c r="D207" s="4" t="s">
        <v>11</v>
      </c>
      <c r="E207" s="4" t="s">
        <v>12</v>
      </c>
      <c r="F207" s="4" t="s">
        <v>10</v>
      </c>
      <c r="G207" s="5">
        <v>4484.9399999999996</v>
      </c>
      <c r="H207" s="4">
        <f>--AND(OR(Dashboard!$A$10="All",A207=Dashboard!$A$10),OR(Dashboard!$A$14="All",D207=Dashboard!$A$14),OR(Dashboard!$A$18="All",E207=Dashboard!$A$18),OR(Dashboard!$A$22="All",F207=Dashboard!$A$22))</f>
        <v>1</v>
      </c>
    </row>
    <row r="208" spans="1:8" ht="15.75" customHeight="1">
      <c r="A208" s="4">
        <v>2024</v>
      </c>
      <c r="B208" s="4">
        <v>6</v>
      </c>
      <c r="C208" s="4" t="s">
        <v>34</v>
      </c>
      <c r="D208" s="4" t="s">
        <v>11</v>
      </c>
      <c r="E208" s="4" t="s">
        <v>12</v>
      </c>
      <c r="F208" s="4" t="s">
        <v>13</v>
      </c>
      <c r="G208" s="5">
        <v>2718.14</v>
      </c>
      <c r="H208" s="4">
        <f>--AND(OR(Dashboard!$A$10="All",A208=Dashboard!$A$10),OR(Dashboard!$A$14="All",D208=Dashboard!$A$14),OR(Dashboard!$A$18="All",E208=Dashboard!$A$18),OR(Dashboard!$A$22="All",F208=Dashboard!$A$22))</f>
        <v>1</v>
      </c>
    </row>
    <row r="209" spans="1:8" ht="15.75" customHeight="1">
      <c r="A209" s="4">
        <v>2024</v>
      </c>
      <c r="B209" s="4">
        <v>6</v>
      </c>
      <c r="C209" s="4" t="s">
        <v>34</v>
      </c>
      <c r="D209" s="4" t="s">
        <v>14</v>
      </c>
      <c r="E209" s="4" t="s">
        <v>6</v>
      </c>
      <c r="F209" s="4" t="s">
        <v>7</v>
      </c>
      <c r="G209" s="5">
        <v>5265</v>
      </c>
      <c r="H209" s="4">
        <f>--AND(OR(Dashboard!$A$10="All",A209=Dashboard!$A$10),OR(Dashboard!$A$14="All",D209=Dashboard!$A$14),OR(Dashboard!$A$18="All",E209=Dashboard!$A$18),OR(Dashboard!$A$22="All",F209=Dashboard!$A$22))</f>
        <v>1</v>
      </c>
    </row>
    <row r="210" spans="1:8" ht="15.75" customHeight="1">
      <c r="A210" s="4">
        <v>2024</v>
      </c>
      <c r="B210" s="4">
        <v>6</v>
      </c>
      <c r="C210" s="4" t="s">
        <v>34</v>
      </c>
      <c r="D210" s="4" t="s">
        <v>14</v>
      </c>
      <c r="E210" s="4" t="s">
        <v>6</v>
      </c>
      <c r="F210" s="4" t="s">
        <v>10</v>
      </c>
      <c r="G210" s="5">
        <v>3474.9</v>
      </c>
      <c r="H210" s="4">
        <f>--AND(OR(Dashboard!$A$10="All",A210=Dashboard!$A$10),OR(Dashboard!$A$14="All",D210=Dashboard!$A$14),OR(Dashboard!$A$18="All",E210=Dashboard!$A$18),OR(Dashboard!$A$22="All",F210=Dashboard!$A$22))</f>
        <v>1</v>
      </c>
    </row>
    <row r="211" spans="1:8" ht="15.75" customHeight="1">
      <c r="A211" s="4">
        <v>2024</v>
      </c>
      <c r="B211" s="4">
        <v>6</v>
      </c>
      <c r="C211" s="4" t="s">
        <v>34</v>
      </c>
      <c r="D211" s="4" t="s">
        <v>14</v>
      </c>
      <c r="E211" s="4" t="s">
        <v>6</v>
      </c>
      <c r="F211" s="4" t="s">
        <v>13</v>
      </c>
      <c r="G211" s="5">
        <v>2106</v>
      </c>
      <c r="H211" s="4">
        <f>--AND(OR(Dashboard!$A$10="All",A211=Dashboard!$A$10),OR(Dashboard!$A$14="All",D211=Dashboard!$A$14),OR(Dashboard!$A$18="All",E211=Dashboard!$A$18),OR(Dashboard!$A$22="All",F211=Dashboard!$A$22))</f>
        <v>1</v>
      </c>
    </row>
    <row r="212" spans="1:8" ht="15.75" customHeight="1">
      <c r="A212" s="4">
        <v>2024</v>
      </c>
      <c r="B212" s="4">
        <v>6</v>
      </c>
      <c r="C212" s="4" t="s">
        <v>34</v>
      </c>
      <c r="D212" s="4" t="s">
        <v>14</v>
      </c>
      <c r="E212" s="4" t="s">
        <v>9</v>
      </c>
      <c r="F212" s="4" t="s">
        <v>7</v>
      </c>
      <c r="G212" s="5">
        <v>3369.6</v>
      </c>
      <c r="H212" s="4">
        <f>--AND(OR(Dashboard!$A$10="All",A212=Dashboard!$A$10),OR(Dashboard!$A$14="All",D212=Dashboard!$A$14),OR(Dashboard!$A$18="All",E212=Dashboard!$A$18),OR(Dashboard!$A$22="All",F212=Dashboard!$A$22))</f>
        <v>1</v>
      </c>
    </row>
    <row r="213" spans="1:8" ht="15.75" customHeight="1">
      <c r="A213" s="4">
        <v>2024</v>
      </c>
      <c r="B213" s="4">
        <v>6</v>
      </c>
      <c r="C213" s="4" t="s">
        <v>34</v>
      </c>
      <c r="D213" s="4" t="s">
        <v>14</v>
      </c>
      <c r="E213" s="4" t="s">
        <v>9</v>
      </c>
      <c r="F213" s="4" t="s">
        <v>10</v>
      </c>
      <c r="G213" s="5">
        <v>2223.94</v>
      </c>
      <c r="H213" s="4">
        <f>--AND(OR(Dashboard!$A$10="All",A213=Dashboard!$A$10),OR(Dashboard!$A$14="All",D213=Dashboard!$A$14),OR(Dashboard!$A$18="All",E213=Dashboard!$A$18),OR(Dashboard!$A$22="All",F213=Dashboard!$A$22))</f>
        <v>1</v>
      </c>
    </row>
    <row r="214" spans="1:8" ht="15.75" customHeight="1">
      <c r="A214" s="4">
        <v>2024</v>
      </c>
      <c r="B214" s="4">
        <v>6</v>
      </c>
      <c r="C214" s="4" t="s">
        <v>34</v>
      </c>
      <c r="D214" s="4" t="s">
        <v>14</v>
      </c>
      <c r="E214" s="4" t="s">
        <v>9</v>
      </c>
      <c r="F214" s="4" t="s">
        <v>13</v>
      </c>
      <c r="G214" s="5">
        <v>1347.84</v>
      </c>
      <c r="H214" s="4">
        <f>--AND(OR(Dashboard!$A$10="All",A214=Dashboard!$A$10),OR(Dashboard!$A$14="All",D214=Dashboard!$A$14),OR(Dashboard!$A$18="All",E214=Dashboard!$A$18),OR(Dashboard!$A$22="All",F214=Dashboard!$A$22))</f>
        <v>1</v>
      </c>
    </row>
    <row r="215" spans="1:8" ht="15.75" customHeight="1">
      <c r="A215" s="4">
        <v>2024</v>
      </c>
      <c r="B215" s="4">
        <v>6</v>
      </c>
      <c r="C215" s="4" t="s">
        <v>34</v>
      </c>
      <c r="D215" s="4" t="s">
        <v>14</v>
      </c>
      <c r="E215" s="4" t="s">
        <v>12</v>
      </c>
      <c r="F215" s="4" t="s">
        <v>7</v>
      </c>
      <c r="G215" s="5">
        <v>4633.2</v>
      </c>
      <c r="H215" s="4">
        <f>--AND(OR(Dashboard!$A$10="All",A215=Dashboard!$A$10),OR(Dashboard!$A$14="All",D215=Dashboard!$A$14),OR(Dashboard!$A$18="All",E215=Dashboard!$A$18),OR(Dashboard!$A$22="All",F215=Dashboard!$A$22))</f>
        <v>1</v>
      </c>
    </row>
    <row r="216" spans="1:8" ht="15.75" customHeight="1">
      <c r="A216" s="4">
        <v>2024</v>
      </c>
      <c r="B216" s="4">
        <v>6</v>
      </c>
      <c r="C216" s="4" t="s">
        <v>34</v>
      </c>
      <c r="D216" s="4" t="s">
        <v>14</v>
      </c>
      <c r="E216" s="4" t="s">
        <v>12</v>
      </c>
      <c r="F216" s="4" t="s">
        <v>10</v>
      </c>
      <c r="G216" s="5">
        <v>3057.91</v>
      </c>
      <c r="H216" s="4">
        <f>--AND(OR(Dashboard!$A$10="All",A216=Dashboard!$A$10),OR(Dashboard!$A$14="All",D216=Dashboard!$A$14),OR(Dashboard!$A$18="All",E216=Dashboard!$A$18),OR(Dashboard!$A$22="All",F216=Dashboard!$A$22))</f>
        <v>1</v>
      </c>
    </row>
    <row r="217" spans="1:8" ht="15.75" customHeight="1">
      <c r="A217" s="4">
        <v>2024</v>
      </c>
      <c r="B217" s="4">
        <v>6</v>
      </c>
      <c r="C217" s="4" t="s">
        <v>34</v>
      </c>
      <c r="D217" s="4" t="s">
        <v>14</v>
      </c>
      <c r="E217" s="4" t="s">
        <v>12</v>
      </c>
      <c r="F217" s="4" t="s">
        <v>13</v>
      </c>
      <c r="G217" s="5">
        <v>1853.28</v>
      </c>
      <c r="H217" s="4">
        <f>--AND(OR(Dashboard!$A$10="All",A217=Dashboard!$A$10),OR(Dashboard!$A$14="All",D217=Dashboard!$A$14),OR(Dashboard!$A$18="All",E217=Dashboard!$A$18),OR(Dashboard!$A$22="All",F217=Dashboard!$A$22))</f>
        <v>1</v>
      </c>
    </row>
    <row r="218" spans="1:8" ht="15.75" customHeight="1">
      <c r="A218" s="4">
        <v>2024</v>
      </c>
      <c r="B218" s="4">
        <v>7</v>
      </c>
      <c r="C218" s="4" t="s">
        <v>63</v>
      </c>
      <c r="D218" s="4" t="s">
        <v>5</v>
      </c>
      <c r="E218" s="4" t="s">
        <v>6</v>
      </c>
      <c r="F218" s="4" t="s">
        <v>7</v>
      </c>
      <c r="G218" s="5">
        <v>17550</v>
      </c>
      <c r="H218" s="4">
        <f>--AND(OR(Dashboard!$A$10="All",A218=Dashboard!$A$10),OR(Dashboard!$A$14="All",D218=Dashboard!$A$14),OR(Dashboard!$A$18="All",E218=Dashboard!$A$18),OR(Dashboard!$A$22="All",F218=Dashboard!$A$22))</f>
        <v>1</v>
      </c>
    </row>
    <row r="219" spans="1:8" ht="15.75" customHeight="1">
      <c r="A219" s="4">
        <v>2024</v>
      </c>
      <c r="B219" s="4">
        <v>7</v>
      </c>
      <c r="C219" s="4" t="s">
        <v>63</v>
      </c>
      <c r="D219" s="4" t="s">
        <v>5</v>
      </c>
      <c r="E219" s="4" t="s">
        <v>6</v>
      </c>
      <c r="F219" s="4" t="s">
        <v>10</v>
      </c>
      <c r="G219" s="5">
        <v>11583</v>
      </c>
      <c r="H219" s="4">
        <f>--AND(OR(Dashboard!$A$10="All",A219=Dashboard!$A$10),OR(Dashboard!$A$14="All",D219=Dashboard!$A$14),OR(Dashboard!$A$18="All",E219=Dashboard!$A$18),OR(Dashboard!$A$22="All",F219=Dashboard!$A$22))</f>
        <v>1</v>
      </c>
    </row>
    <row r="220" spans="1:8" ht="15.75" customHeight="1">
      <c r="A220" s="4">
        <v>2024</v>
      </c>
      <c r="B220" s="4">
        <v>7</v>
      </c>
      <c r="C220" s="4" t="s">
        <v>63</v>
      </c>
      <c r="D220" s="4" t="s">
        <v>5</v>
      </c>
      <c r="E220" s="4" t="s">
        <v>6</v>
      </c>
      <c r="F220" s="4" t="s">
        <v>13</v>
      </c>
      <c r="G220" s="5">
        <v>7020</v>
      </c>
      <c r="H220" s="4">
        <f>--AND(OR(Dashboard!$A$10="All",A220=Dashboard!$A$10),OR(Dashboard!$A$14="All",D220=Dashboard!$A$14),OR(Dashboard!$A$18="All",E220=Dashboard!$A$18),OR(Dashboard!$A$22="All",F220=Dashboard!$A$22))</f>
        <v>1</v>
      </c>
    </row>
    <row r="221" spans="1:8" ht="15.75" customHeight="1">
      <c r="A221" s="4">
        <v>2024</v>
      </c>
      <c r="B221" s="4">
        <v>7</v>
      </c>
      <c r="C221" s="4" t="s">
        <v>63</v>
      </c>
      <c r="D221" s="4" t="s">
        <v>5</v>
      </c>
      <c r="E221" s="4" t="s">
        <v>9</v>
      </c>
      <c r="F221" s="4" t="s">
        <v>7</v>
      </c>
      <c r="G221" s="5">
        <v>11232</v>
      </c>
      <c r="H221" s="4">
        <f>--AND(OR(Dashboard!$A$10="All",A221=Dashboard!$A$10),OR(Dashboard!$A$14="All",D221=Dashboard!$A$14),OR(Dashboard!$A$18="All",E221=Dashboard!$A$18),OR(Dashboard!$A$22="All",F221=Dashboard!$A$22))</f>
        <v>1</v>
      </c>
    </row>
    <row r="222" spans="1:8" ht="15.75" customHeight="1">
      <c r="A222" s="4">
        <v>2024</v>
      </c>
      <c r="B222" s="4">
        <v>7</v>
      </c>
      <c r="C222" s="4" t="s">
        <v>63</v>
      </c>
      <c r="D222" s="4" t="s">
        <v>5</v>
      </c>
      <c r="E222" s="4" t="s">
        <v>9</v>
      </c>
      <c r="F222" s="4" t="s">
        <v>10</v>
      </c>
      <c r="G222" s="5">
        <v>7413.12</v>
      </c>
      <c r="H222" s="4">
        <f>--AND(OR(Dashboard!$A$10="All",A222=Dashboard!$A$10),OR(Dashboard!$A$14="All",D222=Dashboard!$A$14),OR(Dashboard!$A$18="All",E222=Dashboard!$A$18),OR(Dashboard!$A$22="All",F222=Dashboard!$A$22))</f>
        <v>1</v>
      </c>
    </row>
    <row r="223" spans="1:8" ht="15.75" customHeight="1">
      <c r="A223" s="4">
        <v>2024</v>
      </c>
      <c r="B223" s="4">
        <v>7</v>
      </c>
      <c r="C223" s="4" t="s">
        <v>63</v>
      </c>
      <c r="D223" s="4" t="s">
        <v>5</v>
      </c>
      <c r="E223" s="4" t="s">
        <v>9</v>
      </c>
      <c r="F223" s="4" t="s">
        <v>13</v>
      </c>
      <c r="G223" s="5">
        <v>4492.8</v>
      </c>
      <c r="H223" s="4">
        <f>--AND(OR(Dashboard!$A$10="All",A223=Dashboard!$A$10),OR(Dashboard!$A$14="All",D223=Dashboard!$A$14),OR(Dashboard!$A$18="All",E223=Dashboard!$A$18),OR(Dashboard!$A$22="All",F223=Dashboard!$A$22))</f>
        <v>1</v>
      </c>
    </row>
    <row r="224" spans="1:8" ht="15.75" customHeight="1">
      <c r="A224" s="4">
        <v>2024</v>
      </c>
      <c r="B224" s="4">
        <v>7</v>
      </c>
      <c r="C224" s="4" t="s">
        <v>63</v>
      </c>
      <c r="D224" s="4" t="s">
        <v>5</v>
      </c>
      <c r="E224" s="4" t="s">
        <v>12</v>
      </c>
      <c r="F224" s="4" t="s">
        <v>7</v>
      </c>
      <c r="G224" s="5">
        <v>15444</v>
      </c>
      <c r="H224" s="4">
        <f>--AND(OR(Dashboard!$A$10="All",A224=Dashboard!$A$10),OR(Dashboard!$A$14="All",D224=Dashboard!$A$14),OR(Dashboard!$A$18="All",E224=Dashboard!$A$18),OR(Dashboard!$A$22="All",F224=Dashboard!$A$22))</f>
        <v>1</v>
      </c>
    </row>
    <row r="225" spans="1:8" ht="15.75" customHeight="1">
      <c r="A225" s="4">
        <v>2024</v>
      </c>
      <c r="B225" s="4">
        <v>7</v>
      </c>
      <c r="C225" s="4" t="s">
        <v>63</v>
      </c>
      <c r="D225" s="4" t="s">
        <v>5</v>
      </c>
      <c r="E225" s="4" t="s">
        <v>12</v>
      </c>
      <c r="F225" s="4" t="s">
        <v>10</v>
      </c>
      <c r="G225" s="5">
        <v>10193.040000000001</v>
      </c>
      <c r="H225" s="4">
        <f>--AND(OR(Dashboard!$A$10="All",A225=Dashboard!$A$10),OR(Dashboard!$A$14="All",D225=Dashboard!$A$14),OR(Dashboard!$A$18="All",E225=Dashboard!$A$18),OR(Dashboard!$A$22="All",F225=Dashboard!$A$22))</f>
        <v>1</v>
      </c>
    </row>
    <row r="226" spans="1:8" ht="15.75" customHeight="1">
      <c r="A226" s="4">
        <v>2024</v>
      </c>
      <c r="B226" s="4">
        <v>7</v>
      </c>
      <c r="C226" s="4" t="s">
        <v>63</v>
      </c>
      <c r="D226" s="4" t="s">
        <v>5</v>
      </c>
      <c r="E226" s="4" t="s">
        <v>12</v>
      </c>
      <c r="F226" s="4" t="s">
        <v>13</v>
      </c>
      <c r="G226" s="5">
        <v>6177.6</v>
      </c>
      <c r="H226" s="4">
        <f>--AND(OR(Dashboard!$A$10="All",A226=Dashboard!$A$10),OR(Dashboard!$A$14="All",D226=Dashboard!$A$14),OR(Dashboard!$A$18="All",E226=Dashboard!$A$18),OR(Dashboard!$A$22="All",F226=Dashboard!$A$22))</f>
        <v>1</v>
      </c>
    </row>
    <row r="227" spans="1:8" ht="15.75" customHeight="1">
      <c r="A227" s="4">
        <v>2024</v>
      </c>
      <c r="B227" s="4">
        <v>7</v>
      </c>
      <c r="C227" s="4" t="s">
        <v>63</v>
      </c>
      <c r="D227" s="4" t="s">
        <v>8</v>
      </c>
      <c r="E227" s="4" t="s">
        <v>6</v>
      </c>
      <c r="F227" s="4" t="s">
        <v>7</v>
      </c>
      <c r="G227" s="5">
        <v>10881</v>
      </c>
      <c r="H227" s="4">
        <f>--AND(OR(Dashboard!$A$10="All",A227=Dashboard!$A$10),OR(Dashboard!$A$14="All",D227=Dashboard!$A$14),OR(Dashboard!$A$18="All",E227=Dashboard!$A$18),OR(Dashboard!$A$22="All",F227=Dashboard!$A$22))</f>
        <v>1</v>
      </c>
    </row>
    <row r="228" spans="1:8" ht="15.75" customHeight="1">
      <c r="A228" s="4">
        <v>2024</v>
      </c>
      <c r="B228" s="4">
        <v>7</v>
      </c>
      <c r="C228" s="4" t="s">
        <v>63</v>
      </c>
      <c r="D228" s="4" t="s">
        <v>8</v>
      </c>
      <c r="E228" s="4" t="s">
        <v>6</v>
      </c>
      <c r="F228" s="4" t="s">
        <v>10</v>
      </c>
      <c r="G228" s="5">
        <v>7181.46</v>
      </c>
      <c r="H228" s="4">
        <f>--AND(OR(Dashboard!$A$10="All",A228=Dashboard!$A$10),OR(Dashboard!$A$14="All",D228=Dashboard!$A$14),OR(Dashboard!$A$18="All",E228=Dashboard!$A$18),OR(Dashboard!$A$22="All",F228=Dashboard!$A$22))</f>
        <v>1</v>
      </c>
    </row>
    <row r="229" spans="1:8" ht="15.75" customHeight="1">
      <c r="A229" s="4">
        <v>2024</v>
      </c>
      <c r="B229" s="4">
        <v>7</v>
      </c>
      <c r="C229" s="4" t="s">
        <v>63</v>
      </c>
      <c r="D229" s="4" t="s">
        <v>8</v>
      </c>
      <c r="E229" s="4" t="s">
        <v>6</v>
      </c>
      <c r="F229" s="4" t="s">
        <v>13</v>
      </c>
      <c r="G229" s="5">
        <v>4352.3999999999996</v>
      </c>
      <c r="H229" s="4">
        <f>--AND(OR(Dashboard!$A$10="All",A229=Dashboard!$A$10),OR(Dashboard!$A$14="All",D229=Dashboard!$A$14),OR(Dashboard!$A$18="All",E229=Dashboard!$A$18),OR(Dashboard!$A$22="All",F229=Dashboard!$A$22))</f>
        <v>1</v>
      </c>
    </row>
    <row r="230" spans="1:8" ht="15.75" customHeight="1">
      <c r="A230" s="4">
        <v>2024</v>
      </c>
      <c r="B230" s="4">
        <v>7</v>
      </c>
      <c r="C230" s="4" t="s">
        <v>63</v>
      </c>
      <c r="D230" s="4" t="s">
        <v>8</v>
      </c>
      <c r="E230" s="4" t="s">
        <v>9</v>
      </c>
      <c r="F230" s="4" t="s">
        <v>7</v>
      </c>
      <c r="G230" s="5">
        <v>6963.84</v>
      </c>
      <c r="H230" s="4">
        <f>--AND(OR(Dashboard!$A$10="All",A230=Dashboard!$A$10),OR(Dashboard!$A$14="All",D230=Dashboard!$A$14),OR(Dashboard!$A$18="All",E230=Dashboard!$A$18),OR(Dashboard!$A$22="All",F230=Dashboard!$A$22))</f>
        <v>1</v>
      </c>
    </row>
    <row r="231" spans="1:8" ht="15.75" customHeight="1">
      <c r="A231" s="4">
        <v>2024</v>
      </c>
      <c r="B231" s="4">
        <v>7</v>
      </c>
      <c r="C231" s="4" t="s">
        <v>63</v>
      </c>
      <c r="D231" s="4" t="s">
        <v>8</v>
      </c>
      <c r="E231" s="4" t="s">
        <v>9</v>
      </c>
      <c r="F231" s="4" t="s">
        <v>10</v>
      </c>
      <c r="G231" s="5">
        <v>4596.13</v>
      </c>
      <c r="H231" s="4">
        <f>--AND(OR(Dashboard!$A$10="All",A231=Dashboard!$A$10),OR(Dashboard!$A$14="All",D231=Dashboard!$A$14),OR(Dashboard!$A$18="All",E231=Dashboard!$A$18),OR(Dashboard!$A$22="All",F231=Dashboard!$A$22))</f>
        <v>1</v>
      </c>
    </row>
    <row r="232" spans="1:8" ht="15.75" customHeight="1">
      <c r="A232" s="4">
        <v>2024</v>
      </c>
      <c r="B232" s="4">
        <v>7</v>
      </c>
      <c r="C232" s="4" t="s">
        <v>63</v>
      </c>
      <c r="D232" s="4" t="s">
        <v>8</v>
      </c>
      <c r="E232" s="4" t="s">
        <v>9</v>
      </c>
      <c r="F232" s="4" t="s">
        <v>13</v>
      </c>
      <c r="G232" s="5">
        <v>2785.54</v>
      </c>
      <c r="H232" s="4">
        <f>--AND(OR(Dashboard!$A$10="All",A232=Dashboard!$A$10),OR(Dashboard!$A$14="All",D232=Dashboard!$A$14),OR(Dashboard!$A$18="All",E232=Dashboard!$A$18),OR(Dashboard!$A$22="All",F232=Dashboard!$A$22))</f>
        <v>1</v>
      </c>
    </row>
    <row r="233" spans="1:8" ht="15.75" customHeight="1">
      <c r="A233" s="4">
        <v>2024</v>
      </c>
      <c r="B233" s="4">
        <v>7</v>
      </c>
      <c r="C233" s="4" t="s">
        <v>63</v>
      </c>
      <c r="D233" s="4" t="s">
        <v>8</v>
      </c>
      <c r="E233" s="4" t="s">
        <v>12</v>
      </c>
      <c r="F233" s="4" t="s">
        <v>7</v>
      </c>
      <c r="G233" s="5">
        <v>9575.2800000000007</v>
      </c>
      <c r="H233" s="4">
        <f>--AND(OR(Dashboard!$A$10="All",A233=Dashboard!$A$10),OR(Dashboard!$A$14="All",D233=Dashboard!$A$14),OR(Dashboard!$A$18="All",E233=Dashboard!$A$18),OR(Dashboard!$A$22="All",F233=Dashboard!$A$22))</f>
        <v>1</v>
      </c>
    </row>
    <row r="234" spans="1:8" ht="15.75" customHeight="1">
      <c r="A234" s="4">
        <v>2024</v>
      </c>
      <c r="B234" s="4">
        <v>7</v>
      </c>
      <c r="C234" s="4" t="s">
        <v>63</v>
      </c>
      <c r="D234" s="4" t="s">
        <v>8</v>
      </c>
      <c r="E234" s="4" t="s">
        <v>12</v>
      </c>
      <c r="F234" s="4" t="s">
        <v>10</v>
      </c>
      <c r="G234" s="5">
        <v>6319.68</v>
      </c>
      <c r="H234" s="4">
        <f>--AND(OR(Dashboard!$A$10="All",A234=Dashboard!$A$10),OR(Dashboard!$A$14="All",D234=Dashboard!$A$14),OR(Dashboard!$A$18="All",E234=Dashboard!$A$18),OR(Dashboard!$A$22="All",F234=Dashboard!$A$22))</f>
        <v>1</v>
      </c>
    </row>
    <row r="235" spans="1:8" ht="15.75" customHeight="1">
      <c r="A235" s="4">
        <v>2024</v>
      </c>
      <c r="B235" s="4">
        <v>7</v>
      </c>
      <c r="C235" s="4" t="s">
        <v>63</v>
      </c>
      <c r="D235" s="4" t="s">
        <v>8</v>
      </c>
      <c r="E235" s="4" t="s">
        <v>12</v>
      </c>
      <c r="F235" s="4" t="s">
        <v>13</v>
      </c>
      <c r="G235" s="5">
        <v>3830.11</v>
      </c>
      <c r="H235" s="4">
        <f>--AND(OR(Dashboard!$A$10="All",A235=Dashboard!$A$10),OR(Dashboard!$A$14="All",D235=Dashboard!$A$14),OR(Dashboard!$A$18="All",E235=Dashboard!$A$18),OR(Dashboard!$A$22="All",F235=Dashboard!$A$22))</f>
        <v>1</v>
      </c>
    </row>
    <row r="236" spans="1:8" ht="15.75" customHeight="1">
      <c r="A236" s="4">
        <v>2024</v>
      </c>
      <c r="B236" s="4">
        <v>7</v>
      </c>
      <c r="C236" s="4" t="s">
        <v>63</v>
      </c>
      <c r="D236" s="4" t="s">
        <v>11</v>
      </c>
      <c r="E236" s="4" t="s">
        <v>6</v>
      </c>
      <c r="F236" s="4" t="s">
        <v>7</v>
      </c>
      <c r="G236" s="5">
        <v>7722</v>
      </c>
      <c r="H236" s="4">
        <f>--AND(OR(Dashboard!$A$10="All",A236=Dashboard!$A$10),OR(Dashboard!$A$14="All",D236=Dashboard!$A$14),OR(Dashboard!$A$18="All",E236=Dashboard!$A$18),OR(Dashboard!$A$22="All",F236=Dashboard!$A$22))</f>
        <v>1</v>
      </c>
    </row>
    <row r="237" spans="1:8" ht="15.75" customHeight="1">
      <c r="A237" s="4">
        <v>2024</v>
      </c>
      <c r="B237" s="4">
        <v>7</v>
      </c>
      <c r="C237" s="4" t="s">
        <v>63</v>
      </c>
      <c r="D237" s="4" t="s">
        <v>11</v>
      </c>
      <c r="E237" s="4" t="s">
        <v>6</v>
      </c>
      <c r="F237" s="4" t="s">
        <v>10</v>
      </c>
      <c r="G237" s="5">
        <v>5096.5200000000004</v>
      </c>
      <c r="H237" s="4">
        <f>--AND(OR(Dashboard!$A$10="All",A237=Dashboard!$A$10),OR(Dashboard!$A$14="All",D237=Dashboard!$A$14),OR(Dashboard!$A$18="All",E237=Dashboard!$A$18),OR(Dashboard!$A$22="All",F237=Dashboard!$A$22))</f>
        <v>1</v>
      </c>
    </row>
    <row r="238" spans="1:8" ht="15.75" customHeight="1">
      <c r="A238" s="4">
        <v>2024</v>
      </c>
      <c r="B238" s="4">
        <v>7</v>
      </c>
      <c r="C238" s="4" t="s">
        <v>63</v>
      </c>
      <c r="D238" s="4" t="s">
        <v>11</v>
      </c>
      <c r="E238" s="4" t="s">
        <v>6</v>
      </c>
      <c r="F238" s="4" t="s">
        <v>13</v>
      </c>
      <c r="G238" s="5">
        <v>3088.8</v>
      </c>
      <c r="H238" s="4">
        <f>--AND(OR(Dashboard!$A$10="All",A238=Dashboard!$A$10),OR(Dashboard!$A$14="All",D238=Dashboard!$A$14),OR(Dashboard!$A$18="All",E238=Dashboard!$A$18),OR(Dashboard!$A$22="All",F238=Dashboard!$A$22))</f>
        <v>1</v>
      </c>
    </row>
    <row r="239" spans="1:8" ht="15.75" customHeight="1">
      <c r="A239" s="4">
        <v>2024</v>
      </c>
      <c r="B239" s="4">
        <v>7</v>
      </c>
      <c r="C239" s="4" t="s">
        <v>63</v>
      </c>
      <c r="D239" s="4" t="s">
        <v>11</v>
      </c>
      <c r="E239" s="4" t="s">
        <v>9</v>
      </c>
      <c r="F239" s="4" t="s">
        <v>7</v>
      </c>
      <c r="G239" s="5">
        <v>4942.08</v>
      </c>
      <c r="H239" s="4">
        <f>--AND(OR(Dashboard!$A$10="All",A239=Dashboard!$A$10),OR(Dashboard!$A$14="All",D239=Dashboard!$A$14),OR(Dashboard!$A$18="All",E239=Dashboard!$A$18),OR(Dashboard!$A$22="All",F239=Dashboard!$A$22))</f>
        <v>1</v>
      </c>
    </row>
    <row r="240" spans="1:8" ht="15.75" customHeight="1">
      <c r="A240" s="4">
        <v>2024</v>
      </c>
      <c r="B240" s="4">
        <v>7</v>
      </c>
      <c r="C240" s="4" t="s">
        <v>63</v>
      </c>
      <c r="D240" s="4" t="s">
        <v>11</v>
      </c>
      <c r="E240" s="4" t="s">
        <v>9</v>
      </c>
      <c r="F240" s="4" t="s">
        <v>10</v>
      </c>
      <c r="G240" s="5">
        <v>3261.77</v>
      </c>
      <c r="H240" s="4">
        <f>--AND(OR(Dashboard!$A$10="All",A240=Dashboard!$A$10),OR(Dashboard!$A$14="All",D240=Dashboard!$A$14),OR(Dashboard!$A$18="All",E240=Dashboard!$A$18),OR(Dashboard!$A$22="All",F240=Dashboard!$A$22))</f>
        <v>1</v>
      </c>
    </row>
    <row r="241" spans="1:8" ht="15.75" customHeight="1">
      <c r="A241" s="4">
        <v>2024</v>
      </c>
      <c r="B241" s="4">
        <v>7</v>
      </c>
      <c r="C241" s="4" t="s">
        <v>63</v>
      </c>
      <c r="D241" s="4" t="s">
        <v>11</v>
      </c>
      <c r="E241" s="4" t="s">
        <v>9</v>
      </c>
      <c r="F241" s="4" t="s">
        <v>13</v>
      </c>
      <c r="G241" s="5">
        <v>1976.83</v>
      </c>
      <c r="H241" s="4">
        <f>--AND(OR(Dashboard!$A$10="All",A241=Dashboard!$A$10),OR(Dashboard!$A$14="All",D241=Dashboard!$A$14),OR(Dashboard!$A$18="All",E241=Dashboard!$A$18),OR(Dashboard!$A$22="All",F241=Dashboard!$A$22))</f>
        <v>1</v>
      </c>
    </row>
    <row r="242" spans="1:8" ht="15.75" customHeight="1">
      <c r="A242" s="4">
        <v>2024</v>
      </c>
      <c r="B242" s="4">
        <v>7</v>
      </c>
      <c r="C242" s="4" t="s">
        <v>63</v>
      </c>
      <c r="D242" s="4" t="s">
        <v>11</v>
      </c>
      <c r="E242" s="4" t="s">
        <v>12</v>
      </c>
      <c r="F242" s="4" t="s">
        <v>7</v>
      </c>
      <c r="G242" s="5">
        <v>6795.36</v>
      </c>
      <c r="H242" s="4">
        <f>--AND(OR(Dashboard!$A$10="All",A242=Dashboard!$A$10),OR(Dashboard!$A$14="All",D242=Dashboard!$A$14),OR(Dashboard!$A$18="All",E242=Dashboard!$A$18),OR(Dashboard!$A$22="All",F242=Dashboard!$A$22))</f>
        <v>1</v>
      </c>
    </row>
    <row r="243" spans="1:8" ht="15.75" customHeight="1">
      <c r="A243" s="4">
        <v>2024</v>
      </c>
      <c r="B243" s="4">
        <v>7</v>
      </c>
      <c r="C243" s="4" t="s">
        <v>63</v>
      </c>
      <c r="D243" s="4" t="s">
        <v>11</v>
      </c>
      <c r="E243" s="4" t="s">
        <v>12</v>
      </c>
      <c r="F243" s="4" t="s">
        <v>10</v>
      </c>
      <c r="G243" s="5">
        <v>4484.9399999999996</v>
      </c>
      <c r="H243" s="4">
        <f>--AND(OR(Dashboard!$A$10="All",A243=Dashboard!$A$10),OR(Dashboard!$A$14="All",D243=Dashboard!$A$14),OR(Dashboard!$A$18="All",E243=Dashboard!$A$18),OR(Dashboard!$A$22="All",F243=Dashboard!$A$22))</f>
        <v>1</v>
      </c>
    </row>
    <row r="244" spans="1:8" ht="15.75" customHeight="1">
      <c r="A244" s="4">
        <v>2024</v>
      </c>
      <c r="B244" s="4">
        <v>7</v>
      </c>
      <c r="C244" s="4" t="s">
        <v>63</v>
      </c>
      <c r="D244" s="4" t="s">
        <v>11</v>
      </c>
      <c r="E244" s="4" t="s">
        <v>12</v>
      </c>
      <c r="F244" s="4" t="s">
        <v>13</v>
      </c>
      <c r="G244" s="5">
        <v>2718.14</v>
      </c>
      <c r="H244" s="4">
        <f>--AND(OR(Dashboard!$A$10="All",A244=Dashboard!$A$10),OR(Dashboard!$A$14="All",D244=Dashboard!$A$14),OR(Dashboard!$A$18="All",E244=Dashboard!$A$18),OR(Dashboard!$A$22="All",F244=Dashboard!$A$22))</f>
        <v>1</v>
      </c>
    </row>
    <row r="245" spans="1:8" ht="15.75" customHeight="1">
      <c r="A245" s="4">
        <v>2024</v>
      </c>
      <c r="B245" s="4">
        <v>7</v>
      </c>
      <c r="C245" s="4" t="s">
        <v>63</v>
      </c>
      <c r="D245" s="4" t="s">
        <v>14</v>
      </c>
      <c r="E245" s="4" t="s">
        <v>6</v>
      </c>
      <c r="F245" s="4" t="s">
        <v>7</v>
      </c>
      <c r="G245" s="5">
        <v>5265</v>
      </c>
      <c r="H245" s="4">
        <f>--AND(OR(Dashboard!$A$10="All",A245=Dashboard!$A$10),OR(Dashboard!$A$14="All",D245=Dashboard!$A$14),OR(Dashboard!$A$18="All",E245=Dashboard!$A$18),OR(Dashboard!$A$22="All",F245=Dashboard!$A$22))</f>
        <v>1</v>
      </c>
    </row>
    <row r="246" spans="1:8" ht="15.75" customHeight="1">
      <c r="A246" s="4">
        <v>2024</v>
      </c>
      <c r="B246" s="4">
        <v>7</v>
      </c>
      <c r="C246" s="4" t="s">
        <v>63</v>
      </c>
      <c r="D246" s="4" t="s">
        <v>14</v>
      </c>
      <c r="E246" s="4" t="s">
        <v>6</v>
      </c>
      <c r="F246" s="4" t="s">
        <v>10</v>
      </c>
      <c r="G246" s="5">
        <v>3474.9</v>
      </c>
      <c r="H246" s="4">
        <f>--AND(OR(Dashboard!$A$10="All",A246=Dashboard!$A$10),OR(Dashboard!$A$14="All",D246=Dashboard!$A$14),OR(Dashboard!$A$18="All",E246=Dashboard!$A$18),OR(Dashboard!$A$22="All",F246=Dashboard!$A$22))</f>
        <v>1</v>
      </c>
    </row>
    <row r="247" spans="1:8" ht="15.75" customHeight="1">
      <c r="A247" s="4">
        <v>2024</v>
      </c>
      <c r="B247" s="4">
        <v>7</v>
      </c>
      <c r="C247" s="4" t="s">
        <v>63</v>
      </c>
      <c r="D247" s="4" t="s">
        <v>14</v>
      </c>
      <c r="E247" s="4" t="s">
        <v>6</v>
      </c>
      <c r="F247" s="4" t="s">
        <v>13</v>
      </c>
      <c r="G247" s="5">
        <v>2106</v>
      </c>
      <c r="H247" s="4">
        <f>--AND(OR(Dashboard!$A$10="All",A247=Dashboard!$A$10),OR(Dashboard!$A$14="All",D247=Dashboard!$A$14),OR(Dashboard!$A$18="All",E247=Dashboard!$A$18),OR(Dashboard!$A$22="All",F247=Dashboard!$A$22))</f>
        <v>1</v>
      </c>
    </row>
    <row r="248" spans="1:8" ht="15.75" customHeight="1">
      <c r="A248" s="4">
        <v>2024</v>
      </c>
      <c r="B248" s="4">
        <v>7</v>
      </c>
      <c r="C248" s="4" t="s">
        <v>63</v>
      </c>
      <c r="D248" s="4" t="s">
        <v>14</v>
      </c>
      <c r="E248" s="4" t="s">
        <v>9</v>
      </c>
      <c r="F248" s="4" t="s">
        <v>7</v>
      </c>
      <c r="G248" s="5">
        <v>3369.6</v>
      </c>
      <c r="H248" s="4">
        <f>--AND(OR(Dashboard!$A$10="All",A248=Dashboard!$A$10),OR(Dashboard!$A$14="All",D248=Dashboard!$A$14),OR(Dashboard!$A$18="All",E248=Dashboard!$A$18),OR(Dashboard!$A$22="All",F248=Dashboard!$A$22))</f>
        <v>1</v>
      </c>
    </row>
    <row r="249" spans="1:8" ht="15.75" customHeight="1">
      <c r="A249" s="4">
        <v>2024</v>
      </c>
      <c r="B249" s="4">
        <v>7</v>
      </c>
      <c r="C249" s="4" t="s">
        <v>63</v>
      </c>
      <c r="D249" s="4" t="s">
        <v>14</v>
      </c>
      <c r="E249" s="4" t="s">
        <v>9</v>
      </c>
      <c r="F249" s="4" t="s">
        <v>10</v>
      </c>
      <c r="G249" s="5">
        <v>2223.94</v>
      </c>
      <c r="H249" s="4">
        <f>--AND(OR(Dashboard!$A$10="All",A249=Dashboard!$A$10),OR(Dashboard!$A$14="All",D249=Dashboard!$A$14),OR(Dashboard!$A$18="All",E249=Dashboard!$A$18),OR(Dashboard!$A$22="All",F249=Dashboard!$A$22))</f>
        <v>1</v>
      </c>
    </row>
    <row r="250" spans="1:8" ht="15.75" customHeight="1">
      <c r="A250" s="4">
        <v>2024</v>
      </c>
      <c r="B250" s="4">
        <v>7</v>
      </c>
      <c r="C250" s="4" t="s">
        <v>63</v>
      </c>
      <c r="D250" s="4" t="s">
        <v>14</v>
      </c>
      <c r="E250" s="4" t="s">
        <v>9</v>
      </c>
      <c r="F250" s="4" t="s">
        <v>13</v>
      </c>
      <c r="G250" s="5">
        <v>1347.84</v>
      </c>
      <c r="H250" s="4">
        <f>--AND(OR(Dashboard!$A$10="All",A250=Dashboard!$A$10),OR(Dashboard!$A$14="All",D250=Dashboard!$A$14),OR(Dashboard!$A$18="All",E250=Dashboard!$A$18),OR(Dashboard!$A$22="All",F250=Dashboard!$A$22))</f>
        <v>1</v>
      </c>
    </row>
    <row r="251" spans="1:8" ht="15.75" customHeight="1">
      <c r="A251" s="4">
        <v>2024</v>
      </c>
      <c r="B251" s="4">
        <v>7</v>
      </c>
      <c r="C251" s="4" t="s">
        <v>63</v>
      </c>
      <c r="D251" s="4" t="s">
        <v>14</v>
      </c>
      <c r="E251" s="4" t="s">
        <v>12</v>
      </c>
      <c r="F251" s="4" t="s">
        <v>7</v>
      </c>
      <c r="G251" s="5">
        <v>4633.2</v>
      </c>
      <c r="H251" s="4">
        <f>--AND(OR(Dashboard!$A$10="All",A251=Dashboard!$A$10),OR(Dashboard!$A$14="All",D251=Dashboard!$A$14),OR(Dashboard!$A$18="All",E251=Dashboard!$A$18),OR(Dashboard!$A$22="All",F251=Dashboard!$A$22))</f>
        <v>1</v>
      </c>
    </row>
    <row r="252" spans="1:8" ht="15.75" customHeight="1">
      <c r="A252" s="4">
        <v>2024</v>
      </c>
      <c r="B252" s="4">
        <v>7</v>
      </c>
      <c r="C252" s="4" t="s">
        <v>63</v>
      </c>
      <c r="D252" s="4" t="s">
        <v>14</v>
      </c>
      <c r="E252" s="4" t="s">
        <v>12</v>
      </c>
      <c r="F252" s="4" t="s">
        <v>10</v>
      </c>
      <c r="G252" s="5">
        <v>3057.91</v>
      </c>
      <c r="H252" s="4">
        <f>--AND(OR(Dashboard!$A$10="All",A252=Dashboard!$A$10),OR(Dashboard!$A$14="All",D252=Dashboard!$A$14),OR(Dashboard!$A$18="All",E252=Dashboard!$A$18),OR(Dashboard!$A$22="All",F252=Dashboard!$A$22))</f>
        <v>1</v>
      </c>
    </row>
    <row r="253" spans="1:8" ht="15.75" customHeight="1">
      <c r="A253" s="4">
        <v>2024</v>
      </c>
      <c r="B253" s="4">
        <v>7</v>
      </c>
      <c r="C253" s="4" t="s">
        <v>63</v>
      </c>
      <c r="D253" s="4" t="s">
        <v>14</v>
      </c>
      <c r="E253" s="4" t="s">
        <v>12</v>
      </c>
      <c r="F253" s="4" t="s">
        <v>13</v>
      </c>
      <c r="G253" s="5">
        <v>1853.28</v>
      </c>
      <c r="H253" s="4">
        <f>--AND(OR(Dashboard!$A$10="All",A253=Dashboard!$A$10),OR(Dashboard!$A$14="All",D253=Dashboard!$A$14),OR(Dashboard!$A$18="All",E253=Dashboard!$A$18),OR(Dashboard!$A$22="All",F253=Dashboard!$A$22))</f>
        <v>1</v>
      </c>
    </row>
    <row r="254" spans="1:8" ht="15.75" customHeight="1">
      <c r="A254" s="4">
        <v>2024</v>
      </c>
      <c r="B254" s="4">
        <v>8</v>
      </c>
      <c r="C254" s="4" t="s">
        <v>67</v>
      </c>
      <c r="D254" s="4" t="s">
        <v>5</v>
      </c>
      <c r="E254" s="4" t="s">
        <v>6</v>
      </c>
      <c r="F254" s="4" t="s">
        <v>7</v>
      </c>
      <c r="G254" s="5">
        <v>17550</v>
      </c>
      <c r="H254" s="4">
        <f>--AND(OR(Dashboard!$A$10="All",A254=Dashboard!$A$10),OR(Dashboard!$A$14="All",D254=Dashboard!$A$14),OR(Dashboard!$A$18="All",E254=Dashboard!$A$18),OR(Dashboard!$A$22="All",F254=Dashboard!$A$22))</f>
        <v>1</v>
      </c>
    </row>
    <row r="255" spans="1:8" ht="15.75" customHeight="1">
      <c r="A255" s="4">
        <v>2024</v>
      </c>
      <c r="B255" s="4">
        <v>8</v>
      </c>
      <c r="C255" s="4" t="s">
        <v>67</v>
      </c>
      <c r="D255" s="4" t="s">
        <v>5</v>
      </c>
      <c r="E255" s="4" t="s">
        <v>6</v>
      </c>
      <c r="F255" s="4" t="s">
        <v>10</v>
      </c>
      <c r="G255" s="5">
        <v>11583</v>
      </c>
      <c r="H255" s="4">
        <f>--AND(OR(Dashboard!$A$10="All",A255=Dashboard!$A$10),OR(Dashboard!$A$14="All",D255=Dashboard!$A$14),OR(Dashboard!$A$18="All",E255=Dashboard!$A$18),OR(Dashboard!$A$22="All",F255=Dashboard!$A$22))</f>
        <v>1</v>
      </c>
    </row>
    <row r="256" spans="1:8" ht="15.75" customHeight="1">
      <c r="A256" s="4">
        <v>2024</v>
      </c>
      <c r="B256" s="4">
        <v>8</v>
      </c>
      <c r="C256" s="4" t="s">
        <v>67</v>
      </c>
      <c r="D256" s="4" t="s">
        <v>5</v>
      </c>
      <c r="E256" s="4" t="s">
        <v>6</v>
      </c>
      <c r="F256" s="4" t="s">
        <v>13</v>
      </c>
      <c r="G256" s="5">
        <v>7020</v>
      </c>
      <c r="H256" s="4">
        <f>--AND(OR(Dashboard!$A$10="All",A256=Dashboard!$A$10),OR(Dashboard!$A$14="All",D256=Dashboard!$A$14),OR(Dashboard!$A$18="All",E256=Dashboard!$A$18),OR(Dashboard!$A$22="All",F256=Dashboard!$A$22))</f>
        <v>1</v>
      </c>
    </row>
    <row r="257" spans="1:8" ht="15.75" customHeight="1">
      <c r="A257" s="4">
        <v>2024</v>
      </c>
      <c r="B257" s="4">
        <v>8</v>
      </c>
      <c r="C257" s="4" t="s">
        <v>67</v>
      </c>
      <c r="D257" s="4" t="s">
        <v>5</v>
      </c>
      <c r="E257" s="4" t="s">
        <v>9</v>
      </c>
      <c r="F257" s="4" t="s">
        <v>7</v>
      </c>
      <c r="G257" s="5">
        <v>11232</v>
      </c>
      <c r="H257" s="4">
        <f>--AND(OR(Dashboard!$A$10="All",A257=Dashboard!$A$10),OR(Dashboard!$A$14="All",D257=Dashboard!$A$14),OR(Dashboard!$A$18="All",E257=Dashboard!$A$18),OR(Dashboard!$A$22="All",F257=Dashboard!$A$22))</f>
        <v>1</v>
      </c>
    </row>
    <row r="258" spans="1:8" ht="15.75" customHeight="1">
      <c r="A258" s="4">
        <v>2024</v>
      </c>
      <c r="B258" s="4">
        <v>8</v>
      </c>
      <c r="C258" s="4" t="s">
        <v>67</v>
      </c>
      <c r="D258" s="4" t="s">
        <v>5</v>
      </c>
      <c r="E258" s="4" t="s">
        <v>9</v>
      </c>
      <c r="F258" s="4" t="s">
        <v>10</v>
      </c>
      <c r="G258" s="5">
        <v>7413.12</v>
      </c>
      <c r="H258" s="4">
        <f>--AND(OR(Dashboard!$A$10="All",A258=Dashboard!$A$10),OR(Dashboard!$A$14="All",D258=Dashboard!$A$14),OR(Dashboard!$A$18="All",E258=Dashboard!$A$18),OR(Dashboard!$A$22="All",F258=Dashboard!$A$22))</f>
        <v>1</v>
      </c>
    </row>
    <row r="259" spans="1:8" ht="15.75" customHeight="1">
      <c r="A259" s="4">
        <v>2024</v>
      </c>
      <c r="B259" s="4">
        <v>8</v>
      </c>
      <c r="C259" s="4" t="s">
        <v>67</v>
      </c>
      <c r="D259" s="4" t="s">
        <v>5</v>
      </c>
      <c r="E259" s="4" t="s">
        <v>9</v>
      </c>
      <c r="F259" s="4" t="s">
        <v>13</v>
      </c>
      <c r="G259" s="5">
        <v>4492.8</v>
      </c>
      <c r="H259" s="4">
        <f>--AND(OR(Dashboard!$A$10="All",A259=Dashboard!$A$10),OR(Dashboard!$A$14="All",D259=Dashboard!$A$14),OR(Dashboard!$A$18="All",E259=Dashboard!$A$18),OR(Dashboard!$A$22="All",F259=Dashboard!$A$22))</f>
        <v>1</v>
      </c>
    </row>
    <row r="260" spans="1:8" ht="15.75" customHeight="1">
      <c r="A260" s="4">
        <v>2024</v>
      </c>
      <c r="B260" s="4">
        <v>8</v>
      </c>
      <c r="C260" s="4" t="s">
        <v>67</v>
      </c>
      <c r="D260" s="4" t="s">
        <v>5</v>
      </c>
      <c r="E260" s="4" t="s">
        <v>12</v>
      </c>
      <c r="F260" s="4" t="s">
        <v>7</v>
      </c>
      <c r="G260" s="5">
        <v>15444</v>
      </c>
      <c r="H260" s="4">
        <f>--AND(OR(Dashboard!$A$10="All",A260=Dashboard!$A$10),OR(Dashboard!$A$14="All",D260=Dashboard!$A$14),OR(Dashboard!$A$18="All",E260=Dashboard!$A$18),OR(Dashboard!$A$22="All",F260=Dashboard!$A$22))</f>
        <v>1</v>
      </c>
    </row>
    <row r="261" spans="1:8" ht="15.75" customHeight="1">
      <c r="A261" s="4">
        <v>2024</v>
      </c>
      <c r="B261" s="4">
        <v>8</v>
      </c>
      <c r="C261" s="4" t="s">
        <v>67</v>
      </c>
      <c r="D261" s="4" t="s">
        <v>5</v>
      </c>
      <c r="E261" s="4" t="s">
        <v>12</v>
      </c>
      <c r="F261" s="4" t="s">
        <v>10</v>
      </c>
      <c r="G261" s="5">
        <v>10193.040000000001</v>
      </c>
      <c r="H261" s="4">
        <f>--AND(OR(Dashboard!$A$10="All",A261=Dashboard!$A$10),OR(Dashboard!$A$14="All",D261=Dashboard!$A$14),OR(Dashboard!$A$18="All",E261=Dashboard!$A$18),OR(Dashboard!$A$22="All",F261=Dashboard!$A$22))</f>
        <v>1</v>
      </c>
    </row>
    <row r="262" spans="1:8" ht="15.75" customHeight="1">
      <c r="A262" s="4">
        <v>2024</v>
      </c>
      <c r="B262" s="4">
        <v>8</v>
      </c>
      <c r="C262" s="4" t="s">
        <v>67</v>
      </c>
      <c r="D262" s="4" t="s">
        <v>5</v>
      </c>
      <c r="E262" s="4" t="s">
        <v>12</v>
      </c>
      <c r="F262" s="4" t="s">
        <v>13</v>
      </c>
      <c r="G262" s="5">
        <v>6177.6</v>
      </c>
      <c r="H262" s="4">
        <f>--AND(OR(Dashboard!$A$10="All",A262=Dashboard!$A$10),OR(Dashboard!$A$14="All",D262=Dashboard!$A$14),OR(Dashboard!$A$18="All",E262=Dashboard!$A$18),OR(Dashboard!$A$22="All",F262=Dashboard!$A$22))</f>
        <v>1</v>
      </c>
    </row>
    <row r="263" spans="1:8" ht="15.75" customHeight="1">
      <c r="A263" s="4">
        <v>2024</v>
      </c>
      <c r="B263" s="4">
        <v>8</v>
      </c>
      <c r="C263" s="4" t="s">
        <v>67</v>
      </c>
      <c r="D263" s="4" t="s">
        <v>8</v>
      </c>
      <c r="E263" s="4" t="s">
        <v>6</v>
      </c>
      <c r="F263" s="4" t="s">
        <v>7</v>
      </c>
      <c r="G263" s="5">
        <v>10881</v>
      </c>
      <c r="H263" s="4">
        <f>--AND(OR(Dashboard!$A$10="All",A263=Dashboard!$A$10),OR(Dashboard!$A$14="All",D263=Dashboard!$A$14),OR(Dashboard!$A$18="All",E263=Dashboard!$A$18),OR(Dashboard!$A$22="All",F263=Dashboard!$A$22))</f>
        <v>1</v>
      </c>
    </row>
    <row r="264" spans="1:8" ht="15.75" customHeight="1">
      <c r="A264" s="4">
        <v>2024</v>
      </c>
      <c r="B264" s="4">
        <v>8</v>
      </c>
      <c r="C264" s="4" t="s">
        <v>67</v>
      </c>
      <c r="D264" s="4" t="s">
        <v>8</v>
      </c>
      <c r="E264" s="4" t="s">
        <v>6</v>
      </c>
      <c r="F264" s="4" t="s">
        <v>10</v>
      </c>
      <c r="G264" s="5">
        <v>7181.46</v>
      </c>
      <c r="H264" s="4">
        <f>--AND(OR(Dashboard!$A$10="All",A264=Dashboard!$A$10),OR(Dashboard!$A$14="All",D264=Dashboard!$A$14),OR(Dashboard!$A$18="All",E264=Dashboard!$A$18),OR(Dashboard!$A$22="All",F264=Dashboard!$A$22))</f>
        <v>1</v>
      </c>
    </row>
    <row r="265" spans="1:8" ht="15.75" customHeight="1">
      <c r="A265" s="4">
        <v>2024</v>
      </c>
      <c r="B265" s="4">
        <v>8</v>
      </c>
      <c r="C265" s="4" t="s">
        <v>67</v>
      </c>
      <c r="D265" s="4" t="s">
        <v>8</v>
      </c>
      <c r="E265" s="4" t="s">
        <v>6</v>
      </c>
      <c r="F265" s="4" t="s">
        <v>13</v>
      </c>
      <c r="G265" s="5">
        <v>4352.3999999999996</v>
      </c>
      <c r="H265" s="4">
        <f>--AND(OR(Dashboard!$A$10="All",A265=Dashboard!$A$10),OR(Dashboard!$A$14="All",D265=Dashboard!$A$14),OR(Dashboard!$A$18="All",E265=Dashboard!$A$18),OR(Dashboard!$A$22="All",F265=Dashboard!$A$22))</f>
        <v>1</v>
      </c>
    </row>
    <row r="266" spans="1:8" ht="15.75" customHeight="1">
      <c r="A266" s="4">
        <v>2024</v>
      </c>
      <c r="B266" s="4">
        <v>8</v>
      </c>
      <c r="C266" s="4" t="s">
        <v>67</v>
      </c>
      <c r="D266" s="4" t="s">
        <v>8</v>
      </c>
      <c r="E266" s="4" t="s">
        <v>9</v>
      </c>
      <c r="F266" s="4" t="s">
        <v>7</v>
      </c>
      <c r="G266" s="5">
        <v>6963.84</v>
      </c>
      <c r="H266" s="4">
        <f>--AND(OR(Dashboard!$A$10="All",A266=Dashboard!$A$10),OR(Dashboard!$A$14="All",D266=Dashboard!$A$14),OR(Dashboard!$A$18="All",E266=Dashboard!$A$18),OR(Dashboard!$A$22="All",F266=Dashboard!$A$22))</f>
        <v>1</v>
      </c>
    </row>
    <row r="267" spans="1:8" ht="15.75" customHeight="1">
      <c r="A267" s="4">
        <v>2024</v>
      </c>
      <c r="B267" s="4">
        <v>8</v>
      </c>
      <c r="C267" s="4" t="s">
        <v>67</v>
      </c>
      <c r="D267" s="4" t="s">
        <v>8</v>
      </c>
      <c r="E267" s="4" t="s">
        <v>9</v>
      </c>
      <c r="F267" s="4" t="s">
        <v>10</v>
      </c>
      <c r="G267" s="5">
        <v>4596.13</v>
      </c>
      <c r="H267" s="4">
        <f>--AND(OR(Dashboard!$A$10="All",A267=Dashboard!$A$10),OR(Dashboard!$A$14="All",D267=Dashboard!$A$14),OR(Dashboard!$A$18="All",E267=Dashboard!$A$18),OR(Dashboard!$A$22="All",F267=Dashboard!$A$22))</f>
        <v>1</v>
      </c>
    </row>
    <row r="268" spans="1:8" ht="15.75" customHeight="1">
      <c r="A268" s="4">
        <v>2024</v>
      </c>
      <c r="B268" s="4">
        <v>8</v>
      </c>
      <c r="C268" s="4" t="s">
        <v>67</v>
      </c>
      <c r="D268" s="4" t="s">
        <v>8</v>
      </c>
      <c r="E268" s="4" t="s">
        <v>9</v>
      </c>
      <c r="F268" s="4" t="s">
        <v>13</v>
      </c>
      <c r="G268" s="5">
        <v>2785.54</v>
      </c>
      <c r="H268" s="4">
        <f>--AND(OR(Dashboard!$A$10="All",A268=Dashboard!$A$10),OR(Dashboard!$A$14="All",D268=Dashboard!$A$14),OR(Dashboard!$A$18="All",E268=Dashboard!$A$18),OR(Dashboard!$A$22="All",F268=Dashboard!$A$22))</f>
        <v>1</v>
      </c>
    </row>
    <row r="269" spans="1:8" ht="15.75" customHeight="1">
      <c r="A269" s="4">
        <v>2024</v>
      </c>
      <c r="B269" s="4">
        <v>8</v>
      </c>
      <c r="C269" s="4" t="s">
        <v>67</v>
      </c>
      <c r="D269" s="4" t="s">
        <v>8</v>
      </c>
      <c r="E269" s="4" t="s">
        <v>12</v>
      </c>
      <c r="F269" s="4" t="s">
        <v>7</v>
      </c>
      <c r="G269" s="5">
        <v>9575.2800000000007</v>
      </c>
      <c r="H269" s="4">
        <f>--AND(OR(Dashboard!$A$10="All",A269=Dashboard!$A$10),OR(Dashboard!$A$14="All",D269=Dashboard!$A$14),OR(Dashboard!$A$18="All",E269=Dashboard!$A$18),OR(Dashboard!$A$22="All",F269=Dashboard!$A$22))</f>
        <v>1</v>
      </c>
    </row>
    <row r="270" spans="1:8" ht="15.75" customHeight="1">
      <c r="A270" s="4">
        <v>2024</v>
      </c>
      <c r="B270" s="4">
        <v>8</v>
      </c>
      <c r="C270" s="4" t="s">
        <v>67</v>
      </c>
      <c r="D270" s="4" t="s">
        <v>8</v>
      </c>
      <c r="E270" s="4" t="s">
        <v>12</v>
      </c>
      <c r="F270" s="4" t="s">
        <v>10</v>
      </c>
      <c r="G270" s="5">
        <v>6319.68</v>
      </c>
      <c r="H270" s="4">
        <f>--AND(OR(Dashboard!$A$10="All",A270=Dashboard!$A$10),OR(Dashboard!$A$14="All",D270=Dashboard!$A$14),OR(Dashboard!$A$18="All",E270=Dashboard!$A$18),OR(Dashboard!$A$22="All",F270=Dashboard!$A$22))</f>
        <v>1</v>
      </c>
    </row>
    <row r="271" spans="1:8" ht="15.75" customHeight="1">
      <c r="A271" s="4">
        <v>2024</v>
      </c>
      <c r="B271" s="4">
        <v>8</v>
      </c>
      <c r="C271" s="4" t="s">
        <v>67</v>
      </c>
      <c r="D271" s="4" t="s">
        <v>8</v>
      </c>
      <c r="E271" s="4" t="s">
        <v>12</v>
      </c>
      <c r="F271" s="4" t="s">
        <v>13</v>
      </c>
      <c r="G271" s="5">
        <v>3830.11</v>
      </c>
      <c r="H271" s="4">
        <f>--AND(OR(Dashboard!$A$10="All",A271=Dashboard!$A$10),OR(Dashboard!$A$14="All",D271=Dashboard!$A$14),OR(Dashboard!$A$18="All",E271=Dashboard!$A$18),OR(Dashboard!$A$22="All",F271=Dashboard!$A$22))</f>
        <v>1</v>
      </c>
    </row>
    <row r="272" spans="1:8" ht="15.75" customHeight="1">
      <c r="A272" s="4">
        <v>2024</v>
      </c>
      <c r="B272" s="4">
        <v>8</v>
      </c>
      <c r="C272" s="4" t="s">
        <v>67</v>
      </c>
      <c r="D272" s="4" t="s">
        <v>11</v>
      </c>
      <c r="E272" s="4" t="s">
        <v>6</v>
      </c>
      <c r="F272" s="4" t="s">
        <v>7</v>
      </c>
      <c r="G272" s="5">
        <v>7722</v>
      </c>
      <c r="H272" s="4">
        <f>--AND(OR(Dashboard!$A$10="All",A272=Dashboard!$A$10),OR(Dashboard!$A$14="All",D272=Dashboard!$A$14),OR(Dashboard!$A$18="All",E272=Dashboard!$A$18),OR(Dashboard!$A$22="All",F272=Dashboard!$A$22))</f>
        <v>1</v>
      </c>
    </row>
    <row r="273" spans="1:8" ht="15.75" customHeight="1">
      <c r="A273" s="4">
        <v>2024</v>
      </c>
      <c r="B273" s="4">
        <v>8</v>
      </c>
      <c r="C273" s="4" t="s">
        <v>67</v>
      </c>
      <c r="D273" s="4" t="s">
        <v>11</v>
      </c>
      <c r="E273" s="4" t="s">
        <v>6</v>
      </c>
      <c r="F273" s="4" t="s">
        <v>10</v>
      </c>
      <c r="G273" s="5">
        <v>5096.5200000000004</v>
      </c>
      <c r="H273" s="4">
        <f>--AND(OR(Dashboard!$A$10="All",A273=Dashboard!$A$10),OR(Dashboard!$A$14="All",D273=Dashboard!$A$14),OR(Dashboard!$A$18="All",E273=Dashboard!$A$18),OR(Dashboard!$A$22="All",F273=Dashboard!$A$22))</f>
        <v>1</v>
      </c>
    </row>
    <row r="274" spans="1:8" ht="15.75" customHeight="1">
      <c r="A274" s="4">
        <v>2024</v>
      </c>
      <c r="B274" s="4">
        <v>8</v>
      </c>
      <c r="C274" s="4" t="s">
        <v>67</v>
      </c>
      <c r="D274" s="4" t="s">
        <v>11</v>
      </c>
      <c r="E274" s="4" t="s">
        <v>6</v>
      </c>
      <c r="F274" s="4" t="s">
        <v>13</v>
      </c>
      <c r="G274" s="5">
        <v>3088.8</v>
      </c>
      <c r="H274" s="4">
        <f>--AND(OR(Dashboard!$A$10="All",A274=Dashboard!$A$10),OR(Dashboard!$A$14="All",D274=Dashboard!$A$14),OR(Dashboard!$A$18="All",E274=Dashboard!$A$18),OR(Dashboard!$A$22="All",F274=Dashboard!$A$22))</f>
        <v>1</v>
      </c>
    </row>
    <row r="275" spans="1:8" ht="15.75" customHeight="1">
      <c r="A275" s="4">
        <v>2024</v>
      </c>
      <c r="B275" s="4">
        <v>8</v>
      </c>
      <c r="C275" s="4" t="s">
        <v>67</v>
      </c>
      <c r="D275" s="4" t="s">
        <v>11</v>
      </c>
      <c r="E275" s="4" t="s">
        <v>9</v>
      </c>
      <c r="F275" s="4" t="s">
        <v>7</v>
      </c>
      <c r="G275" s="5">
        <v>4942.08</v>
      </c>
      <c r="H275" s="4">
        <f>--AND(OR(Dashboard!$A$10="All",A275=Dashboard!$A$10),OR(Dashboard!$A$14="All",D275=Dashboard!$A$14),OR(Dashboard!$A$18="All",E275=Dashboard!$A$18),OR(Dashboard!$A$22="All",F275=Dashboard!$A$22))</f>
        <v>1</v>
      </c>
    </row>
    <row r="276" spans="1:8" ht="15.75" customHeight="1">
      <c r="A276" s="4">
        <v>2024</v>
      </c>
      <c r="B276" s="4">
        <v>8</v>
      </c>
      <c r="C276" s="4" t="s">
        <v>67</v>
      </c>
      <c r="D276" s="4" t="s">
        <v>11</v>
      </c>
      <c r="E276" s="4" t="s">
        <v>9</v>
      </c>
      <c r="F276" s="4" t="s">
        <v>10</v>
      </c>
      <c r="G276" s="5">
        <v>3261.77</v>
      </c>
      <c r="H276" s="4">
        <f>--AND(OR(Dashboard!$A$10="All",A276=Dashboard!$A$10),OR(Dashboard!$A$14="All",D276=Dashboard!$A$14),OR(Dashboard!$A$18="All",E276=Dashboard!$A$18),OR(Dashboard!$A$22="All",F276=Dashboard!$A$22))</f>
        <v>1</v>
      </c>
    </row>
    <row r="277" spans="1:8" ht="15.75" customHeight="1">
      <c r="A277" s="4">
        <v>2024</v>
      </c>
      <c r="B277" s="4">
        <v>8</v>
      </c>
      <c r="C277" s="4" t="s">
        <v>67</v>
      </c>
      <c r="D277" s="4" t="s">
        <v>11</v>
      </c>
      <c r="E277" s="4" t="s">
        <v>9</v>
      </c>
      <c r="F277" s="4" t="s">
        <v>13</v>
      </c>
      <c r="G277" s="5">
        <v>1976.83</v>
      </c>
      <c r="H277" s="4">
        <f>--AND(OR(Dashboard!$A$10="All",A277=Dashboard!$A$10),OR(Dashboard!$A$14="All",D277=Dashboard!$A$14),OR(Dashboard!$A$18="All",E277=Dashboard!$A$18),OR(Dashboard!$A$22="All",F277=Dashboard!$A$22))</f>
        <v>1</v>
      </c>
    </row>
    <row r="278" spans="1:8" ht="15.75" customHeight="1">
      <c r="A278" s="4">
        <v>2024</v>
      </c>
      <c r="B278" s="4">
        <v>8</v>
      </c>
      <c r="C278" s="4" t="s">
        <v>67</v>
      </c>
      <c r="D278" s="4" t="s">
        <v>11</v>
      </c>
      <c r="E278" s="4" t="s">
        <v>12</v>
      </c>
      <c r="F278" s="4" t="s">
        <v>7</v>
      </c>
      <c r="G278" s="5">
        <v>6795.36</v>
      </c>
      <c r="H278" s="4">
        <f>--AND(OR(Dashboard!$A$10="All",A278=Dashboard!$A$10),OR(Dashboard!$A$14="All",D278=Dashboard!$A$14),OR(Dashboard!$A$18="All",E278=Dashboard!$A$18),OR(Dashboard!$A$22="All",F278=Dashboard!$A$22))</f>
        <v>1</v>
      </c>
    </row>
    <row r="279" spans="1:8" ht="15.75" customHeight="1">
      <c r="A279" s="4">
        <v>2024</v>
      </c>
      <c r="B279" s="4">
        <v>8</v>
      </c>
      <c r="C279" s="4" t="s">
        <v>67</v>
      </c>
      <c r="D279" s="4" t="s">
        <v>11</v>
      </c>
      <c r="E279" s="4" t="s">
        <v>12</v>
      </c>
      <c r="F279" s="4" t="s">
        <v>10</v>
      </c>
      <c r="G279" s="5">
        <v>4484.9399999999996</v>
      </c>
      <c r="H279" s="4">
        <f>--AND(OR(Dashboard!$A$10="All",A279=Dashboard!$A$10),OR(Dashboard!$A$14="All",D279=Dashboard!$A$14),OR(Dashboard!$A$18="All",E279=Dashboard!$A$18),OR(Dashboard!$A$22="All",F279=Dashboard!$A$22))</f>
        <v>1</v>
      </c>
    </row>
    <row r="280" spans="1:8" ht="15.75" customHeight="1">
      <c r="A280" s="4">
        <v>2024</v>
      </c>
      <c r="B280" s="4">
        <v>8</v>
      </c>
      <c r="C280" s="4" t="s">
        <v>67</v>
      </c>
      <c r="D280" s="4" t="s">
        <v>11</v>
      </c>
      <c r="E280" s="4" t="s">
        <v>12</v>
      </c>
      <c r="F280" s="4" t="s">
        <v>13</v>
      </c>
      <c r="G280" s="5">
        <v>2718.14</v>
      </c>
      <c r="H280" s="4">
        <f>--AND(OR(Dashboard!$A$10="All",A280=Dashboard!$A$10),OR(Dashboard!$A$14="All",D280=Dashboard!$A$14),OR(Dashboard!$A$18="All",E280=Dashboard!$A$18),OR(Dashboard!$A$22="All",F280=Dashboard!$A$22))</f>
        <v>1</v>
      </c>
    </row>
    <row r="281" spans="1:8" ht="15.75" customHeight="1">
      <c r="A281" s="4">
        <v>2024</v>
      </c>
      <c r="B281" s="4">
        <v>8</v>
      </c>
      <c r="C281" s="4" t="s">
        <v>67</v>
      </c>
      <c r="D281" s="4" t="s">
        <v>14</v>
      </c>
      <c r="E281" s="4" t="s">
        <v>6</v>
      </c>
      <c r="F281" s="4" t="s">
        <v>7</v>
      </c>
      <c r="G281" s="5">
        <v>5265</v>
      </c>
      <c r="H281" s="4">
        <f>--AND(OR(Dashboard!$A$10="All",A281=Dashboard!$A$10),OR(Dashboard!$A$14="All",D281=Dashboard!$A$14),OR(Dashboard!$A$18="All",E281=Dashboard!$A$18),OR(Dashboard!$A$22="All",F281=Dashboard!$A$22))</f>
        <v>1</v>
      </c>
    </row>
    <row r="282" spans="1:8" ht="15.75" customHeight="1">
      <c r="A282" s="4">
        <v>2024</v>
      </c>
      <c r="B282" s="4">
        <v>8</v>
      </c>
      <c r="C282" s="4" t="s">
        <v>67</v>
      </c>
      <c r="D282" s="4" t="s">
        <v>14</v>
      </c>
      <c r="E282" s="4" t="s">
        <v>6</v>
      </c>
      <c r="F282" s="4" t="s">
        <v>10</v>
      </c>
      <c r="G282" s="5">
        <v>3474.9</v>
      </c>
      <c r="H282" s="4">
        <f>--AND(OR(Dashboard!$A$10="All",A282=Dashboard!$A$10),OR(Dashboard!$A$14="All",D282=Dashboard!$A$14),OR(Dashboard!$A$18="All",E282=Dashboard!$A$18),OR(Dashboard!$A$22="All",F282=Dashboard!$A$22))</f>
        <v>1</v>
      </c>
    </row>
    <row r="283" spans="1:8" ht="15.75" customHeight="1">
      <c r="A283" s="4">
        <v>2024</v>
      </c>
      <c r="B283" s="4">
        <v>8</v>
      </c>
      <c r="C283" s="4" t="s">
        <v>67</v>
      </c>
      <c r="D283" s="4" t="s">
        <v>14</v>
      </c>
      <c r="E283" s="4" t="s">
        <v>6</v>
      </c>
      <c r="F283" s="4" t="s">
        <v>13</v>
      </c>
      <c r="G283" s="5">
        <v>2106</v>
      </c>
      <c r="H283" s="4">
        <f>--AND(OR(Dashboard!$A$10="All",A283=Dashboard!$A$10),OR(Dashboard!$A$14="All",D283=Dashboard!$A$14),OR(Dashboard!$A$18="All",E283=Dashboard!$A$18),OR(Dashboard!$A$22="All",F283=Dashboard!$A$22))</f>
        <v>1</v>
      </c>
    </row>
    <row r="284" spans="1:8" ht="15.75" customHeight="1">
      <c r="A284" s="4">
        <v>2024</v>
      </c>
      <c r="B284" s="4">
        <v>8</v>
      </c>
      <c r="C284" s="4" t="s">
        <v>67</v>
      </c>
      <c r="D284" s="4" t="s">
        <v>14</v>
      </c>
      <c r="E284" s="4" t="s">
        <v>9</v>
      </c>
      <c r="F284" s="4" t="s">
        <v>7</v>
      </c>
      <c r="G284" s="5">
        <v>3369.6</v>
      </c>
      <c r="H284" s="4">
        <f>--AND(OR(Dashboard!$A$10="All",A284=Dashboard!$A$10),OR(Dashboard!$A$14="All",D284=Dashboard!$A$14),OR(Dashboard!$A$18="All",E284=Dashboard!$A$18),OR(Dashboard!$A$22="All",F284=Dashboard!$A$22))</f>
        <v>1</v>
      </c>
    </row>
    <row r="285" spans="1:8" ht="15.75" customHeight="1">
      <c r="A285" s="4">
        <v>2024</v>
      </c>
      <c r="B285" s="4">
        <v>8</v>
      </c>
      <c r="C285" s="4" t="s">
        <v>67</v>
      </c>
      <c r="D285" s="4" t="s">
        <v>14</v>
      </c>
      <c r="E285" s="4" t="s">
        <v>9</v>
      </c>
      <c r="F285" s="4" t="s">
        <v>10</v>
      </c>
      <c r="G285" s="5">
        <v>2223.94</v>
      </c>
      <c r="H285" s="4">
        <f>--AND(OR(Dashboard!$A$10="All",A285=Dashboard!$A$10),OR(Dashboard!$A$14="All",D285=Dashboard!$A$14),OR(Dashboard!$A$18="All",E285=Dashboard!$A$18),OR(Dashboard!$A$22="All",F285=Dashboard!$A$22))</f>
        <v>1</v>
      </c>
    </row>
    <row r="286" spans="1:8" ht="15.75" customHeight="1">
      <c r="A286" s="4">
        <v>2024</v>
      </c>
      <c r="B286" s="4">
        <v>8</v>
      </c>
      <c r="C286" s="4" t="s">
        <v>67</v>
      </c>
      <c r="D286" s="4" t="s">
        <v>14</v>
      </c>
      <c r="E286" s="4" t="s">
        <v>9</v>
      </c>
      <c r="F286" s="4" t="s">
        <v>13</v>
      </c>
      <c r="G286" s="5">
        <v>1347.84</v>
      </c>
      <c r="H286" s="4">
        <f>--AND(OR(Dashboard!$A$10="All",A286=Dashboard!$A$10),OR(Dashboard!$A$14="All",D286=Dashboard!$A$14),OR(Dashboard!$A$18="All",E286=Dashboard!$A$18),OR(Dashboard!$A$22="All",F286=Dashboard!$A$22))</f>
        <v>1</v>
      </c>
    </row>
    <row r="287" spans="1:8" ht="15.75" customHeight="1">
      <c r="A287" s="4">
        <v>2024</v>
      </c>
      <c r="B287" s="4">
        <v>8</v>
      </c>
      <c r="C287" s="4" t="s">
        <v>67</v>
      </c>
      <c r="D287" s="4" t="s">
        <v>14</v>
      </c>
      <c r="E287" s="4" t="s">
        <v>12</v>
      </c>
      <c r="F287" s="4" t="s">
        <v>7</v>
      </c>
      <c r="G287" s="5">
        <v>4633.2</v>
      </c>
      <c r="H287" s="4">
        <f>--AND(OR(Dashboard!$A$10="All",A287=Dashboard!$A$10),OR(Dashboard!$A$14="All",D287=Dashboard!$A$14),OR(Dashboard!$A$18="All",E287=Dashboard!$A$18),OR(Dashboard!$A$22="All",F287=Dashboard!$A$22))</f>
        <v>1</v>
      </c>
    </row>
    <row r="288" spans="1:8" ht="15.75" customHeight="1">
      <c r="A288" s="4">
        <v>2024</v>
      </c>
      <c r="B288" s="4">
        <v>8</v>
      </c>
      <c r="C288" s="4" t="s">
        <v>67</v>
      </c>
      <c r="D288" s="4" t="s">
        <v>14</v>
      </c>
      <c r="E288" s="4" t="s">
        <v>12</v>
      </c>
      <c r="F288" s="4" t="s">
        <v>10</v>
      </c>
      <c r="G288" s="5">
        <v>3057.91</v>
      </c>
      <c r="H288" s="4">
        <f>--AND(OR(Dashboard!$A$10="All",A288=Dashboard!$A$10),OR(Dashboard!$A$14="All",D288=Dashboard!$A$14),OR(Dashboard!$A$18="All",E288=Dashboard!$A$18),OR(Dashboard!$A$22="All",F288=Dashboard!$A$22))</f>
        <v>1</v>
      </c>
    </row>
    <row r="289" spans="1:8" ht="15.75" customHeight="1">
      <c r="A289" s="4">
        <v>2024</v>
      </c>
      <c r="B289" s="4">
        <v>8</v>
      </c>
      <c r="C289" s="4" t="s">
        <v>67</v>
      </c>
      <c r="D289" s="4" t="s">
        <v>14</v>
      </c>
      <c r="E289" s="4" t="s">
        <v>12</v>
      </c>
      <c r="F289" s="4" t="s">
        <v>13</v>
      </c>
      <c r="G289" s="5">
        <v>1853.28</v>
      </c>
      <c r="H289" s="4">
        <f>--AND(OR(Dashboard!$A$10="All",A289=Dashboard!$A$10),OR(Dashboard!$A$14="All",D289=Dashboard!$A$14),OR(Dashboard!$A$18="All",E289=Dashboard!$A$18),OR(Dashboard!$A$22="All",F289=Dashboard!$A$22))</f>
        <v>1</v>
      </c>
    </row>
    <row r="290" spans="1:8" ht="15.75" customHeight="1">
      <c r="A290" s="4">
        <v>2024</v>
      </c>
      <c r="B290" s="4">
        <v>9</v>
      </c>
      <c r="C290" s="4" t="s">
        <v>79</v>
      </c>
      <c r="D290" s="4" t="s">
        <v>5</v>
      </c>
      <c r="E290" s="4" t="s">
        <v>6</v>
      </c>
      <c r="F290" s="4" t="s">
        <v>7</v>
      </c>
      <c r="G290" s="5">
        <v>16250</v>
      </c>
      <c r="H290" s="4">
        <f>--AND(OR(Dashboard!$A$10="All",A290=Dashboard!$A$10),OR(Dashboard!$A$14="All",D290=Dashboard!$A$14),OR(Dashboard!$A$18="All",E290=Dashboard!$A$18),OR(Dashboard!$A$22="All",F290=Dashboard!$A$22))</f>
        <v>1</v>
      </c>
    </row>
    <row r="291" spans="1:8" ht="15.75" customHeight="1">
      <c r="A291" s="4">
        <v>2024</v>
      </c>
      <c r="B291" s="4">
        <v>9</v>
      </c>
      <c r="C291" s="4" t="s">
        <v>79</v>
      </c>
      <c r="D291" s="4" t="s">
        <v>5</v>
      </c>
      <c r="E291" s="4" t="s">
        <v>6</v>
      </c>
      <c r="F291" s="4" t="s">
        <v>10</v>
      </c>
      <c r="G291" s="5">
        <v>10725</v>
      </c>
      <c r="H291" s="4">
        <f>--AND(OR(Dashboard!$A$10="All",A291=Dashboard!$A$10),OR(Dashboard!$A$14="All",D291=Dashboard!$A$14),OR(Dashboard!$A$18="All",E291=Dashboard!$A$18),OR(Dashboard!$A$22="All",F291=Dashboard!$A$22))</f>
        <v>1</v>
      </c>
    </row>
    <row r="292" spans="1:8" ht="15.75" customHeight="1">
      <c r="A292" s="4">
        <v>2024</v>
      </c>
      <c r="B292" s="4">
        <v>9</v>
      </c>
      <c r="C292" s="4" t="s">
        <v>79</v>
      </c>
      <c r="D292" s="4" t="s">
        <v>5</v>
      </c>
      <c r="E292" s="4" t="s">
        <v>6</v>
      </c>
      <c r="F292" s="4" t="s">
        <v>13</v>
      </c>
      <c r="G292" s="5">
        <v>6500</v>
      </c>
      <c r="H292" s="4">
        <f>--AND(OR(Dashboard!$A$10="All",A292=Dashboard!$A$10),OR(Dashboard!$A$14="All",D292=Dashboard!$A$14),OR(Dashboard!$A$18="All",E292=Dashboard!$A$18),OR(Dashboard!$A$22="All",F292=Dashboard!$A$22))</f>
        <v>1</v>
      </c>
    </row>
    <row r="293" spans="1:8" ht="15.75" customHeight="1">
      <c r="A293" s="4">
        <v>2024</v>
      </c>
      <c r="B293" s="4">
        <v>9</v>
      </c>
      <c r="C293" s="4" t="s">
        <v>79</v>
      </c>
      <c r="D293" s="4" t="s">
        <v>5</v>
      </c>
      <c r="E293" s="4" t="s">
        <v>9</v>
      </c>
      <c r="F293" s="4" t="s">
        <v>7</v>
      </c>
      <c r="G293" s="5">
        <v>10400</v>
      </c>
      <c r="H293" s="4">
        <f>--AND(OR(Dashboard!$A$10="All",A293=Dashboard!$A$10),OR(Dashboard!$A$14="All",D293=Dashboard!$A$14),OR(Dashboard!$A$18="All",E293=Dashboard!$A$18),OR(Dashboard!$A$22="All",F293=Dashboard!$A$22))</f>
        <v>1</v>
      </c>
    </row>
    <row r="294" spans="1:8" ht="15.75" customHeight="1">
      <c r="A294" s="4">
        <v>2024</v>
      </c>
      <c r="B294" s="4">
        <v>9</v>
      </c>
      <c r="C294" s="4" t="s">
        <v>79</v>
      </c>
      <c r="D294" s="4" t="s">
        <v>5</v>
      </c>
      <c r="E294" s="4" t="s">
        <v>9</v>
      </c>
      <c r="F294" s="4" t="s">
        <v>10</v>
      </c>
      <c r="G294" s="5">
        <v>6864</v>
      </c>
      <c r="H294" s="4">
        <f>--AND(OR(Dashboard!$A$10="All",A294=Dashboard!$A$10),OR(Dashboard!$A$14="All",D294=Dashboard!$A$14),OR(Dashboard!$A$18="All",E294=Dashboard!$A$18),OR(Dashboard!$A$22="All",F294=Dashboard!$A$22))</f>
        <v>1</v>
      </c>
    </row>
    <row r="295" spans="1:8" ht="15.75" customHeight="1">
      <c r="A295" s="4">
        <v>2024</v>
      </c>
      <c r="B295" s="4">
        <v>9</v>
      </c>
      <c r="C295" s="4" t="s">
        <v>79</v>
      </c>
      <c r="D295" s="4" t="s">
        <v>5</v>
      </c>
      <c r="E295" s="4" t="s">
        <v>9</v>
      </c>
      <c r="F295" s="4" t="s">
        <v>13</v>
      </c>
      <c r="G295" s="5">
        <v>4160</v>
      </c>
      <c r="H295" s="4">
        <f>--AND(OR(Dashboard!$A$10="All",A295=Dashboard!$A$10),OR(Dashboard!$A$14="All",D295=Dashboard!$A$14),OR(Dashboard!$A$18="All",E295=Dashboard!$A$18),OR(Dashboard!$A$22="All",F295=Dashboard!$A$22))</f>
        <v>1</v>
      </c>
    </row>
    <row r="296" spans="1:8" ht="15.75" customHeight="1">
      <c r="A296" s="4">
        <v>2024</v>
      </c>
      <c r="B296" s="4">
        <v>9</v>
      </c>
      <c r="C296" s="4" t="s">
        <v>79</v>
      </c>
      <c r="D296" s="4" t="s">
        <v>5</v>
      </c>
      <c r="E296" s="4" t="s">
        <v>12</v>
      </c>
      <c r="F296" s="4" t="s">
        <v>7</v>
      </c>
      <c r="G296" s="5">
        <v>14300</v>
      </c>
      <c r="H296" s="4">
        <f>--AND(OR(Dashboard!$A$10="All",A296=Dashboard!$A$10),OR(Dashboard!$A$14="All",D296=Dashboard!$A$14),OR(Dashboard!$A$18="All",E296=Dashboard!$A$18),OR(Dashboard!$A$22="All",F296=Dashboard!$A$22))</f>
        <v>1</v>
      </c>
    </row>
    <row r="297" spans="1:8" ht="15.75" customHeight="1">
      <c r="A297" s="4">
        <v>2024</v>
      </c>
      <c r="B297" s="4">
        <v>9</v>
      </c>
      <c r="C297" s="4" t="s">
        <v>79</v>
      </c>
      <c r="D297" s="4" t="s">
        <v>5</v>
      </c>
      <c r="E297" s="4" t="s">
        <v>12</v>
      </c>
      <c r="F297" s="4" t="s">
        <v>10</v>
      </c>
      <c r="G297" s="5">
        <v>9438</v>
      </c>
      <c r="H297" s="4">
        <f>--AND(OR(Dashboard!$A$10="All",A297=Dashboard!$A$10),OR(Dashboard!$A$14="All",D297=Dashboard!$A$14),OR(Dashboard!$A$18="All",E297=Dashboard!$A$18),OR(Dashboard!$A$22="All",F297=Dashboard!$A$22))</f>
        <v>1</v>
      </c>
    </row>
    <row r="298" spans="1:8" ht="15.75" customHeight="1">
      <c r="A298" s="4">
        <v>2024</v>
      </c>
      <c r="B298" s="4">
        <v>9</v>
      </c>
      <c r="C298" s="4" t="s">
        <v>79</v>
      </c>
      <c r="D298" s="4" t="s">
        <v>5</v>
      </c>
      <c r="E298" s="4" t="s">
        <v>12</v>
      </c>
      <c r="F298" s="4" t="s">
        <v>13</v>
      </c>
      <c r="G298" s="5">
        <v>5720</v>
      </c>
      <c r="H298" s="4">
        <f>--AND(OR(Dashboard!$A$10="All",A298=Dashboard!$A$10),OR(Dashboard!$A$14="All",D298=Dashboard!$A$14),OR(Dashboard!$A$18="All",E298=Dashboard!$A$18),OR(Dashboard!$A$22="All",F298=Dashboard!$A$22))</f>
        <v>1</v>
      </c>
    </row>
    <row r="299" spans="1:8" ht="15.75" customHeight="1">
      <c r="A299" s="4">
        <v>2024</v>
      </c>
      <c r="B299" s="4">
        <v>9</v>
      </c>
      <c r="C299" s="4" t="s">
        <v>79</v>
      </c>
      <c r="D299" s="4" t="s">
        <v>8</v>
      </c>
      <c r="E299" s="4" t="s">
        <v>6</v>
      </c>
      <c r="F299" s="4" t="s">
        <v>7</v>
      </c>
      <c r="G299" s="5">
        <v>10075</v>
      </c>
      <c r="H299" s="4">
        <f>--AND(OR(Dashboard!$A$10="All",A299=Dashboard!$A$10),OR(Dashboard!$A$14="All",D299=Dashboard!$A$14),OR(Dashboard!$A$18="All",E299=Dashboard!$A$18),OR(Dashboard!$A$22="All",F299=Dashboard!$A$22))</f>
        <v>1</v>
      </c>
    </row>
    <row r="300" spans="1:8" ht="15.75" customHeight="1">
      <c r="A300" s="4">
        <v>2024</v>
      </c>
      <c r="B300" s="4">
        <v>9</v>
      </c>
      <c r="C300" s="4" t="s">
        <v>79</v>
      </c>
      <c r="D300" s="4" t="s">
        <v>8</v>
      </c>
      <c r="E300" s="4" t="s">
        <v>6</v>
      </c>
      <c r="F300" s="4" t="s">
        <v>10</v>
      </c>
      <c r="G300" s="5">
        <v>6649.5</v>
      </c>
      <c r="H300" s="4">
        <f>--AND(OR(Dashboard!$A$10="All",A300=Dashboard!$A$10),OR(Dashboard!$A$14="All",D300=Dashboard!$A$14),OR(Dashboard!$A$18="All",E300=Dashboard!$A$18),OR(Dashboard!$A$22="All",F300=Dashboard!$A$22))</f>
        <v>1</v>
      </c>
    </row>
    <row r="301" spans="1:8" ht="15.75" customHeight="1">
      <c r="A301" s="4">
        <v>2024</v>
      </c>
      <c r="B301" s="4">
        <v>9</v>
      </c>
      <c r="C301" s="4" t="s">
        <v>79</v>
      </c>
      <c r="D301" s="4" t="s">
        <v>8</v>
      </c>
      <c r="E301" s="4" t="s">
        <v>6</v>
      </c>
      <c r="F301" s="4" t="s">
        <v>13</v>
      </c>
      <c r="G301" s="5">
        <v>4030</v>
      </c>
      <c r="H301" s="4">
        <f>--AND(OR(Dashboard!$A$10="All",A301=Dashboard!$A$10),OR(Dashboard!$A$14="All",D301=Dashboard!$A$14),OR(Dashboard!$A$18="All",E301=Dashboard!$A$18),OR(Dashboard!$A$22="All",F301=Dashboard!$A$22))</f>
        <v>1</v>
      </c>
    </row>
    <row r="302" spans="1:8" ht="15.75" customHeight="1">
      <c r="A302" s="4">
        <v>2024</v>
      </c>
      <c r="B302" s="4">
        <v>9</v>
      </c>
      <c r="C302" s="4" t="s">
        <v>79</v>
      </c>
      <c r="D302" s="4" t="s">
        <v>8</v>
      </c>
      <c r="E302" s="4" t="s">
        <v>9</v>
      </c>
      <c r="F302" s="4" t="s">
        <v>7</v>
      </c>
      <c r="G302" s="5">
        <v>6448</v>
      </c>
      <c r="H302" s="4">
        <f>--AND(OR(Dashboard!$A$10="All",A302=Dashboard!$A$10),OR(Dashboard!$A$14="All",D302=Dashboard!$A$14),OR(Dashboard!$A$18="All",E302=Dashboard!$A$18),OR(Dashboard!$A$22="All",F302=Dashboard!$A$22))</f>
        <v>1</v>
      </c>
    </row>
    <row r="303" spans="1:8" ht="15.75" customHeight="1">
      <c r="A303" s="4">
        <v>2024</v>
      </c>
      <c r="B303" s="4">
        <v>9</v>
      </c>
      <c r="C303" s="4" t="s">
        <v>79</v>
      </c>
      <c r="D303" s="4" t="s">
        <v>8</v>
      </c>
      <c r="E303" s="4" t="s">
        <v>9</v>
      </c>
      <c r="F303" s="4" t="s">
        <v>10</v>
      </c>
      <c r="G303" s="5">
        <v>4255.68</v>
      </c>
      <c r="H303" s="4">
        <f>--AND(OR(Dashboard!$A$10="All",A303=Dashboard!$A$10),OR(Dashboard!$A$14="All",D303=Dashboard!$A$14),OR(Dashboard!$A$18="All",E303=Dashboard!$A$18),OR(Dashboard!$A$22="All",F303=Dashboard!$A$22))</f>
        <v>1</v>
      </c>
    </row>
    <row r="304" spans="1:8" ht="15.75" customHeight="1">
      <c r="A304" s="4">
        <v>2024</v>
      </c>
      <c r="B304" s="4">
        <v>9</v>
      </c>
      <c r="C304" s="4" t="s">
        <v>79</v>
      </c>
      <c r="D304" s="4" t="s">
        <v>8</v>
      </c>
      <c r="E304" s="4" t="s">
        <v>9</v>
      </c>
      <c r="F304" s="4" t="s">
        <v>13</v>
      </c>
      <c r="G304" s="5">
        <v>2579.1999999999998</v>
      </c>
      <c r="H304" s="4">
        <f>--AND(OR(Dashboard!$A$10="All",A304=Dashboard!$A$10),OR(Dashboard!$A$14="All",D304=Dashboard!$A$14),OR(Dashboard!$A$18="All",E304=Dashboard!$A$18),OR(Dashboard!$A$22="All",F304=Dashboard!$A$22))</f>
        <v>1</v>
      </c>
    </row>
    <row r="305" spans="1:8" ht="15.75" customHeight="1">
      <c r="A305" s="4">
        <v>2024</v>
      </c>
      <c r="B305" s="4">
        <v>9</v>
      </c>
      <c r="C305" s="4" t="s">
        <v>79</v>
      </c>
      <c r="D305" s="4" t="s">
        <v>8</v>
      </c>
      <c r="E305" s="4" t="s">
        <v>12</v>
      </c>
      <c r="F305" s="4" t="s">
        <v>7</v>
      </c>
      <c r="G305" s="5">
        <v>8866</v>
      </c>
      <c r="H305" s="4">
        <f>--AND(OR(Dashboard!$A$10="All",A305=Dashboard!$A$10),OR(Dashboard!$A$14="All",D305=Dashboard!$A$14),OR(Dashboard!$A$18="All",E305=Dashboard!$A$18),OR(Dashboard!$A$22="All",F305=Dashboard!$A$22))</f>
        <v>1</v>
      </c>
    </row>
    <row r="306" spans="1:8" ht="15.75" customHeight="1">
      <c r="A306" s="4">
        <v>2024</v>
      </c>
      <c r="B306" s="4">
        <v>9</v>
      </c>
      <c r="C306" s="4" t="s">
        <v>79</v>
      </c>
      <c r="D306" s="4" t="s">
        <v>8</v>
      </c>
      <c r="E306" s="4" t="s">
        <v>12</v>
      </c>
      <c r="F306" s="4" t="s">
        <v>10</v>
      </c>
      <c r="G306" s="5">
        <v>5851.56</v>
      </c>
      <c r="H306" s="4">
        <f>--AND(OR(Dashboard!$A$10="All",A306=Dashboard!$A$10),OR(Dashboard!$A$14="All",D306=Dashboard!$A$14),OR(Dashboard!$A$18="All",E306=Dashboard!$A$18),OR(Dashboard!$A$22="All",F306=Dashboard!$A$22))</f>
        <v>1</v>
      </c>
    </row>
    <row r="307" spans="1:8" ht="15.75" customHeight="1">
      <c r="A307" s="4">
        <v>2024</v>
      </c>
      <c r="B307" s="4">
        <v>9</v>
      </c>
      <c r="C307" s="4" t="s">
        <v>79</v>
      </c>
      <c r="D307" s="4" t="s">
        <v>8</v>
      </c>
      <c r="E307" s="4" t="s">
        <v>12</v>
      </c>
      <c r="F307" s="4" t="s">
        <v>13</v>
      </c>
      <c r="G307" s="5">
        <v>3546.4</v>
      </c>
      <c r="H307" s="4">
        <f>--AND(OR(Dashboard!$A$10="All",A307=Dashboard!$A$10),OR(Dashboard!$A$14="All",D307=Dashboard!$A$14),OR(Dashboard!$A$18="All",E307=Dashboard!$A$18),OR(Dashboard!$A$22="All",F307=Dashboard!$A$22))</f>
        <v>1</v>
      </c>
    </row>
    <row r="308" spans="1:8" ht="15.75" customHeight="1">
      <c r="A308" s="4">
        <v>2024</v>
      </c>
      <c r="B308" s="4">
        <v>9</v>
      </c>
      <c r="C308" s="4" t="s">
        <v>79</v>
      </c>
      <c r="D308" s="4" t="s">
        <v>11</v>
      </c>
      <c r="E308" s="4" t="s">
        <v>6</v>
      </c>
      <c r="F308" s="4" t="s">
        <v>7</v>
      </c>
      <c r="G308" s="5">
        <v>7150</v>
      </c>
      <c r="H308" s="4">
        <f>--AND(OR(Dashboard!$A$10="All",A308=Dashboard!$A$10),OR(Dashboard!$A$14="All",D308=Dashboard!$A$14),OR(Dashboard!$A$18="All",E308=Dashboard!$A$18),OR(Dashboard!$A$22="All",F308=Dashboard!$A$22))</f>
        <v>1</v>
      </c>
    </row>
    <row r="309" spans="1:8" ht="15.75" customHeight="1">
      <c r="A309" s="4">
        <v>2024</v>
      </c>
      <c r="B309" s="4">
        <v>9</v>
      </c>
      <c r="C309" s="4" t="s">
        <v>79</v>
      </c>
      <c r="D309" s="4" t="s">
        <v>11</v>
      </c>
      <c r="E309" s="4" t="s">
        <v>6</v>
      </c>
      <c r="F309" s="4" t="s">
        <v>10</v>
      </c>
      <c r="G309" s="5">
        <v>4719</v>
      </c>
      <c r="H309" s="4">
        <f>--AND(OR(Dashboard!$A$10="All",A309=Dashboard!$A$10),OR(Dashboard!$A$14="All",D309=Dashboard!$A$14),OR(Dashboard!$A$18="All",E309=Dashboard!$A$18),OR(Dashboard!$A$22="All",F309=Dashboard!$A$22))</f>
        <v>1</v>
      </c>
    </row>
    <row r="310" spans="1:8" ht="15.75" customHeight="1">
      <c r="A310" s="4">
        <v>2024</v>
      </c>
      <c r="B310" s="4">
        <v>9</v>
      </c>
      <c r="C310" s="4" t="s">
        <v>79</v>
      </c>
      <c r="D310" s="4" t="s">
        <v>11</v>
      </c>
      <c r="E310" s="4" t="s">
        <v>6</v>
      </c>
      <c r="F310" s="4" t="s">
        <v>13</v>
      </c>
      <c r="G310" s="5">
        <v>2860</v>
      </c>
      <c r="H310" s="4">
        <f>--AND(OR(Dashboard!$A$10="All",A310=Dashboard!$A$10),OR(Dashboard!$A$14="All",D310=Dashboard!$A$14),OR(Dashboard!$A$18="All",E310=Dashboard!$A$18),OR(Dashboard!$A$22="All",F310=Dashboard!$A$22))</f>
        <v>1</v>
      </c>
    </row>
    <row r="311" spans="1:8" ht="15.75" customHeight="1">
      <c r="A311" s="4">
        <v>2024</v>
      </c>
      <c r="B311" s="4">
        <v>9</v>
      </c>
      <c r="C311" s="4" t="s">
        <v>79</v>
      </c>
      <c r="D311" s="4" t="s">
        <v>11</v>
      </c>
      <c r="E311" s="4" t="s">
        <v>9</v>
      </c>
      <c r="F311" s="4" t="s">
        <v>7</v>
      </c>
      <c r="G311" s="5">
        <v>4576</v>
      </c>
      <c r="H311" s="4">
        <f>--AND(OR(Dashboard!$A$10="All",A311=Dashboard!$A$10),OR(Dashboard!$A$14="All",D311=Dashboard!$A$14),OR(Dashboard!$A$18="All",E311=Dashboard!$A$18),OR(Dashboard!$A$22="All",F311=Dashboard!$A$22))</f>
        <v>1</v>
      </c>
    </row>
    <row r="312" spans="1:8" ht="15.75" customHeight="1">
      <c r="A312" s="4">
        <v>2024</v>
      </c>
      <c r="B312" s="4">
        <v>9</v>
      </c>
      <c r="C312" s="4" t="s">
        <v>79</v>
      </c>
      <c r="D312" s="4" t="s">
        <v>11</v>
      </c>
      <c r="E312" s="4" t="s">
        <v>9</v>
      </c>
      <c r="F312" s="4" t="s">
        <v>10</v>
      </c>
      <c r="G312" s="5">
        <v>3020.16</v>
      </c>
      <c r="H312" s="4">
        <f>--AND(OR(Dashboard!$A$10="All",A312=Dashboard!$A$10),OR(Dashboard!$A$14="All",D312=Dashboard!$A$14),OR(Dashboard!$A$18="All",E312=Dashboard!$A$18),OR(Dashboard!$A$22="All",F312=Dashboard!$A$22))</f>
        <v>1</v>
      </c>
    </row>
    <row r="313" spans="1:8" ht="15.75" customHeight="1">
      <c r="A313" s="4">
        <v>2024</v>
      </c>
      <c r="B313" s="4">
        <v>9</v>
      </c>
      <c r="C313" s="4" t="s">
        <v>79</v>
      </c>
      <c r="D313" s="4" t="s">
        <v>11</v>
      </c>
      <c r="E313" s="4" t="s">
        <v>9</v>
      </c>
      <c r="F313" s="4" t="s">
        <v>13</v>
      </c>
      <c r="G313" s="5">
        <v>1830.4</v>
      </c>
      <c r="H313" s="4">
        <f>--AND(OR(Dashboard!$A$10="All",A313=Dashboard!$A$10),OR(Dashboard!$A$14="All",D313=Dashboard!$A$14),OR(Dashboard!$A$18="All",E313=Dashboard!$A$18),OR(Dashboard!$A$22="All",F313=Dashboard!$A$22))</f>
        <v>1</v>
      </c>
    </row>
    <row r="314" spans="1:8" ht="15.75" customHeight="1">
      <c r="A314" s="4">
        <v>2024</v>
      </c>
      <c r="B314" s="4">
        <v>9</v>
      </c>
      <c r="C314" s="4" t="s">
        <v>79</v>
      </c>
      <c r="D314" s="4" t="s">
        <v>11</v>
      </c>
      <c r="E314" s="4" t="s">
        <v>12</v>
      </c>
      <c r="F314" s="4" t="s">
        <v>7</v>
      </c>
      <c r="G314" s="5">
        <v>6292</v>
      </c>
      <c r="H314" s="4">
        <f>--AND(OR(Dashboard!$A$10="All",A314=Dashboard!$A$10),OR(Dashboard!$A$14="All",D314=Dashboard!$A$14),OR(Dashboard!$A$18="All",E314=Dashboard!$A$18),OR(Dashboard!$A$22="All",F314=Dashboard!$A$22))</f>
        <v>1</v>
      </c>
    </row>
    <row r="315" spans="1:8" ht="15.75" customHeight="1">
      <c r="A315" s="4">
        <v>2024</v>
      </c>
      <c r="B315" s="4">
        <v>9</v>
      </c>
      <c r="C315" s="4" t="s">
        <v>79</v>
      </c>
      <c r="D315" s="4" t="s">
        <v>11</v>
      </c>
      <c r="E315" s="4" t="s">
        <v>12</v>
      </c>
      <c r="F315" s="4" t="s">
        <v>10</v>
      </c>
      <c r="G315" s="5">
        <v>4152.72</v>
      </c>
      <c r="H315" s="4">
        <f>--AND(OR(Dashboard!$A$10="All",A315=Dashboard!$A$10),OR(Dashboard!$A$14="All",D315=Dashboard!$A$14),OR(Dashboard!$A$18="All",E315=Dashboard!$A$18),OR(Dashboard!$A$22="All",F315=Dashboard!$A$22))</f>
        <v>1</v>
      </c>
    </row>
    <row r="316" spans="1:8" ht="15.75" customHeight="1">
      <c r="A316" s="4">
        <v>2024</v>
      </c>
      <c r="B316" s="4">
        <v>9</v>
      </c>
      <c r="C316" s="4" t="s">
        <v>79</v>
      </c>
      <c r="D316" s="4" t="s">
        <v>11</v>
      </c>
      <c r="E316" s="4" t="s">
        <v>12</v>
      </c>
      <c r="F316" s="4" t="s">
        <v>13</v>
      </c>
      <c r="G316" s="5">
        <v>2516.8000000000002</v>
      </c>
      <c r="H316" s="4">
        <f>--AND(OR(Dashboard!$A$10="All",A316=Dashboard!$A$10),OR(Dashboard!$A$14="All",D316=Dashboard!$A$14),OR(Dashboard!$A$18="All",E316=Dashboard!$A$18),OR(Dashboard!$A$22="All",F316=Dashboard!$A$22))</f>
        <v>1</v>
      </c>
    </row>
    <row r="317" spans="1:8" ht="15.75" customHeight="1">
      <c r="A317" s="4">
        <v>2024</v>
      </c>
      <c r="B317" s="4">
        <v>9</v>
      </c>
      <c r="C317" s="4" t="s">
        <v>79</v>
      </c>
      <c r="D317" s="4" t="s">
        <v>14</v>
      </c>
      <c r="E317" s="4" t="s">
        <v>6</v>
      </c>
      <c r="F317" s="4" t="s">
        <v>7</v>
      </c>
      <c r="G317" s="5">
        <v>4875</v>
      </c>
      <c r="H317" s="4">
        <f>--AND(OR(Dashboard!$A$10="All",A317=Dashboard!$A$10),OR(Dashboard!$A$14="All",D317=Dashboard!$A$14),OR(Dashboard!$A$18="All",E317=Dashboard!$A$18),OR(Dashboard!$A$22="All",F317=Dashboard!$A$22))</f>
        <v>1</v>
      </c>
    </row>
    <row r="318" spans="1:8" ht="15.75" customHeight="1">
      <c r="A318" s="4">
        <v>2024</v>
      </c>
      <c r="B318" s="4">
        <v>9</v>
      </c>
      <c r="C318" s="4" t="s">
        <v>79</v>
      </c>
      <c r="D318" s="4" t="s">
        <v>14</v>
      </c>
      <c r="E318" s="4" t="s">
        <v>6</v>
      </c>
      <c r="F318" s="4" t="s">
        <v>10</v>
      </c>
      <c r="G318" s="5">
        <v>3217.5</v>
      </c>
      <c r="H318" s="4">
        <f>--AND(OR(Dashboard!$A$10="All",A318=Dashboard!$A$10),OR(Dashboard!$A$14="All",D318=Dashboard!$A$14),OR(Dashboard!$A$18="All",E318=Dashboard!$A$18),OR(Dashboard!$A$22="All",F318=Dashboard!$A$22))</f>
        <v>1</v>
      </c>
    </row>
    <row r="319" spans="1:8" ht="15.75" customHeight="1">
      <c r="A319" s="4">
        <v>2024</v>
      </c>
      <c r="B319" s="4">
        <v>9</v>
      </c>
      <c r="C319" s="4" t="s">
        <v>79</v>
      </c>
      <c r="D319" s="4" t="s">
        <v>14</v>
      </c>
      <c r="E319" s="4" t="s">
        <v>6</v>
      </c>
      <c r="F319" s="4" t="s">
        <v>13</v>
      </c>
      <c r="G319" s="5">
        <v>1950</v>
      </c>
      <c r="H319" s="4">
        <f>--AND(OR(Dashboard!$A$10="All",A319=Dashboard!$A$10),OR(Dashboard!$A$14="All",D319=Dashboard!$A$14),OR(Dashboard!$A$18="All",E319=Dashboard!$A$18),OR(Dashboard!$A$22="All",F319=Dashboard!$A$22))</f>
        <v>1</v>
      </c>
    </row>
    <row r="320" spans="1:8" ht="15.75" customHeight="1">
      <c r="A320" s="4">
        <v>2024</v>
      </c>
      <c r="B320" s="4">
        <v>9</v>
      </c>
      <c r="C320" s="4" t="s">
        <v>79</v>
      </c>
      <c r="D320" s="4" t="s">
        <v>14</v>
      </c>
      <c r="E320" s="4" t="s">
        <v>9</v>
      </c>
      <c r="F320" s="4" t="s">
        <v>7</v>
      </c>
      <c r="G320" s="5">
        <v>3120</v>
      </c>
      <c r="H320" s="4">
        <f>--AND(OR(Dashboard!$A$10="All",A320=Dashboard!$A$10),OR(Dashboard!$A$14="All",D320=Dashboard!$A$14),OR(Dashboard!$A$18="All",E320=Dashboard!$A$18),OR(Dashboard!$A$22="All",F320=Dashboard!$A$22))</f>
        <v>1</v>
      </c>
    </row>
    <row r="321" spans="1:8" ht="15.75" customHeight="1">
      <c r="A321" s="4">
        <v>2024</v>
      </c>
      <c r="B321" s="4">
        <v>9</v>
      </c>
      <c r="C321" s="4" t="s">
        <v>79</v>
      </c>
      <c r="D321" s="4" t="s">
        <v>14</v>
      </c>
      <c r="E321" s="4" t="s">
        <v>9</v>
      </c>
      <c r="F321" s="4" t="s">
        <v>10</v>
      </c>
      <c r="G321" s="5">
        <v>2059.1999999999998</v>
      </c>
      <c r="H321" s="4">
        <f>--AND(OR(Dashboard!$A$10="All",A321=Dashboard!$A$10),OR(Dashboard!$A$14="All",D321=Dashboard!$A$14),OR(Dashboard!$A$18="All",E321=Dashboard!$A$18),OR(Dashboard!$A$22="All",F321=Dashboard!$A$22))</f>
        <v>1</v>
      </c>
    </row>
    <row r="322" spans="1:8" ht="15.75" customHeight="1">
      <c r="A322" s="4">
        <v>2024</v>
      </c>
      <c r="B322" s="4">
        <v>9</v>
      </c>
      <c r="C322" s="4" t="s">
        <v>79</v>
      </c>
      <c r="D322" s="4" t="s">
        <v>14</v>
      </c>
      <c r="E322" s="4" t="s">
        <v>9</v>
      </c>
      <c r="F322" s="4" t="s">
        <v>13</v>
      </c>
      <c r="G322" s="5">
        <v>1248</v>
      </c>
      <c r="H322" s="4">
        <f>--AND(OR(Dashboard!$A$10="All",A322=Dashboard!$A$10),OR(Dashboard!$A$14="All",D322=Dashboard!$A$14),OR(Dashboard!$A$18="All",E322=Dashboard!$A$18),OR(Dashboard!$A$22="All",F322=Dashboard!$A$22))</f>
        <v>1</v>
      </c>
    </row>
    <row r="323" spans="1:8" ht="15.75" customHeight="1">
      <c r="A323" s="4">
        <v>2024</v>
      </c>
      <c r="B323" s="4">
        <v>9</v>
      </c>
      <c r="C323" s="4" t="s">
        <v>79</v>
      </c>
      <c r="D323" s="4" t="s">
        <v>14</v>
      </c>
      <c r="E323" s="4" t="s">
        <v>12</v>
      </c>
      <c r="F323" s="4" t="s">
        <v>7</v>
      </c>
      <c r="G323" s="5">
        <v>4290</v>
      </c>
      <c r="H323" s="4">
        <f>--AND(OR(Dashboard!$A$10="All",A323=Dashboard!$A$10),OR(Dashboard!$A$14="All",D323=Dashboard!$A$14),OR(Dashboard!$A$18="All",E323=Dashboard!$A$18),OR(Dashboard!$A$22="All",F323=Dashboard!$A$22))</f>
        <v>1</v>
      </c>
    </row>
    <row r="324" spans="1:8" ht="15.75" customHeight="1">
      <c r="A324" s="4">
        <v>2024</v>
      </c>
      <c r="B324" s="4">
        <v>9</v>
      </c>
      <c r="C324" s="4" t="s">
        <v>79</v>
      </c>
      <c r="D324" s="4" t="s">
        <v>14</v>
      </c>
      <c r="E324" s="4" t="s">
        <v>12</v>
      </c>
      <c r="F324" s="4" t="s">
        <v>10</v>
      </c>
      <c r="G324" s="5">
        <v>2831.4</v>
      </c>
      <c r="H324" s="4">
        <f>--AND(OR(Dashboard!$A$10="All",A324=Dashboard!$A$10),OR(Dashboard!$A$14="All",D324=Dashboard!$A$14),OR(Dashboard!$A$18="All",E324=Dashboard!$A$18),OR(Dashboard!$A$22="All",F324=Dashboard!$A$22))</f>
        <v>1</v>
      </c>
    </row>
    <row r="325" spans="1:8" ht="15.75" customHeight="1">
      <c r="A325" s="4">
        <v>2024</v>
      </c>
      <c r="B325" s="4">
        <v>9</v>
      </c>
      <c r="C325" s="4" t="s">
        <v>79</v>
      </c>
      <c r="D325" s="4" t="s">
        <v>14</v>
      </c>
      <c r="E325" s="4" t="s">
        <v>12</v>
      </c>
      <c r="F325" s="4" t="s">
        <v>13</v>
      </c>
      <c r="G325" s="5">
        <v>1716</v>
      </c>
      <c r="H325" s="4">
        <f>--AND(OR(Dashboard!$A$10="All",A325=Dashboard!$A$10),OR(Dashboard!$A$14="All",D325=Dashboard!$A$14),OR(Dashboard!$A$18="All",E325=Dashboard!$A$18),OR(Dashboard!$A$22="All",F325=Dashboard!$A$22))</f>
        <v>1</v>
      </c>
    </row>
    <row r="326" spans="1:8" ht="15.75" customHeight="1">
      <c r="A326" s="4">
        <v>2024</v>
      </c>
      <c r="B326" s="4">
        <v>10</v>
      </c>
      <c r="C326" s="4" t="s">
        <v>120</v>
      </c>
      <c r="D326" s="4" t="s">
        <v>5</v>
      </c>
      <c r="E326" s="4" t="s">
        <v>6</v>
      </c>
      <c r="F326" s="4" t="s">
        <v>7</v>
      </c>
      <c r="G326" s="5">
        <v>16250</v>
      </c>
      <c r="H326" s="4">
        <f>--AND(OR(Dashboard!$A$10="All",A326=Dashboard!$A$10),OR(Dashboard!$A$14="All",D326=Dashboard!$A$14),OR(Dashboard!$A$18="All",E326=Dashboard!$A$18),OR(Dashboard!$A$22="All",F326=Dashboard!$A$22))</f>
        <v>1</v>
      </c>
    </row>
    <row r="327" spans="1:8" ht="15.75" customHeight="1">
      <c r="A327" s="4">
        <v>2024</v>
      </c>
      <c r="B327" s="4">
        <v>10</v>
      </c>
      <c r="C327" s="4" t="s">
        <v>120</v>
      </c>
      <c r="D327" s="4" t="s">
        <v>5</v>
      </c>
      <c r="E327" s="4" t="s">
        <v>6</v>
      </c>
      <c r="F327" s="4" t="s">
        <v>10</v>
      </c>
      <c r="G327" s="5">
        <v>10725</v>
      </c>
      <c r="H327" s="4">
        <f>--AND(OR(Dashboard!$A$10="All",A327=Dashboard!$A$10),OR(Dashboard!$A$14="All",D327=Dashboard!$A$14),OR(Dashboard!$A$18="All",E327=Dashboard!$A$18),OR(Dashboard!$A$22="All",F327=Dashboard!$A$22))</f>
        <v>1</v>
      </c>
    </row>
    <row r="328" spans="1:8" ht="15.75" customHeight="1">
      <c r="A328" s="4">
        <v>2024</v>
      </c>
      <c r="B328" s="4">
        <v>10</v>
      </c>
      <c r="C328" s="4" t="s">
        <v>120</v>
      </c>
      <c r="D328" s="4" t="s">
        <v>5</v>
      </c>
      <c r="E328" s="4" t="s">
        <v>6</v>
      </c>
      <c r="F328" s="4" t="s">
        <v>13</v>
      </c>
      <c r="G328" s="5">
        <v>6500</v>
      </c>
      <c r="H328" s="4">
        <f>--AND(OR(Dashboard!$A$10="All",A328=Dashboard!$A$10),OR(Dashboard!$A$14="All",D328=Dashboard!$A$14),OR(Dashboard!$A$18="All",E328=Dashboard!$A$18),OR(Dashboard!$A$22="All",F328=Dashboard!$A$22))</f>
        <v>1</v>
      </c>
    </row>
    <row r="329" spans="1:8" ht="15.75" customHeight="1">
      <c r="A329" s="4">
        <v>2024</v>
      </c>
      <c r="B329" s="4">
        <v>10</v>
      </c>
      <c r="C329" s="4" t="s">
        <v>120</v>
      </c>
      <c r="D329" s="4" t="s">
        <v>5</v>
      </c>
      <c r="E329" s="4" t="s">
        <v>9</v>
      </c>
      <c r="F329" s="4" t="s">
        <v>7</v>
      </c>
      <c r="G329" s="5">
        <v>10400</v>
      </c>
      <c r="H329" s="4">
        <f>--AND(OR(Dashboard!$A$10="All",A329=Dashboard!$A$10),OR(Dashboard!$A$14="All",D329=Dashboard!$A$14),OR(Dashboard!$A$18="All",E329=Dashboard!$A$18),OR(Dashboard!$A$22="All",F329=Dashboard!$A$22))</f>
        <v>1</v>
      </c>
    </row>
    <row r="330" spans="1:8" ht="15.75" customHeight="1">
      <c r="A330" s="4">
        <v>2024</v>
      </c>
      <c r="B330" s="4">
        <v>10</v>
      </c>
      <c r="C330" s="4" t="s">
        <v>120</v>
      </c>
      <c r="D330" s="4" t="s">
        <v>5</v>
      </c>
      <c r="E330" s="4" t="s">
        <v>9</v>
      </c>
      <c r="F330" s="4" t="s">
        <v>10</v>
      </c>
      <c r="G330" s="5">
        <v>6864</v>
      </c>
      <c r="H330" s="4">
        <f>--AND(OR(Dashboard!$A$10="All",A330=Dashboard!$A$10),OR(Dashboard!$A$14="All",D330=Dashboard!$A$14),OR(Dashboard!$A$18="All",E330=Dashboard!$A$18),OR(Dashboard!$A$22="All",F330=Dashboard!$A$22))</f>
        <v>1</v>
      </c>
    </row>
    <row r="331" spans="1:8" ht="15.75" customHeight="1">
      <c r="A331" s="4">
        <v>2024</v>
      </c>
      <c r="B331" s="4">
        <v>10</v>
      </c>
      <c r="C331" s="4" t="s">
        <v>120</v>
      </c>
      <c r="D331" s="4" t="s">
        <v>5</v>
      </c>
      <c r="E331" s="4" t="s">
        <v>9</v>
      </c>
      <c r="F331" s="4" t="s">
        <v>13</v>
      </c>
      <c r="G331" s="5">
        <v>4160</v>
      </c>
      <c r="H331" s="4">
        <f>--AND(OR(Dashboard!$A$10="All",A331=Dashboard!$A$10),OR(Dashboard!$A$14="All",D331=Dashboard!$A$14),OR(Dashboard!$A$18="All",E331=Dashboard!$A$18),OR(Dashboard!$A$22="All",F331=Dashboard!$A$22))</f>
        <v>1</v>
      </c>
    </row>
    <row r="332" spans="1:8" ht="15.75" customHeight="1">
      <c r="A332" s="4">
        <v>2024</v>
      </c>
      <c r="B332" s="4">
        <v>10</v>
      </c>
      <c r="C332" s="4" t="s">
        <v>120</v>
      </c>
      <c r="D332" s="4" t="s">
        <v>5</v>
      </c>
      <c r="E332" s="4" t="s">
        <v>12</v>
      </c>
      <c r="F332" s="4" t="s">
        <v>7</v>
      </c>
      <c r="G332" s="5">
        <v>14300</v>
      </c>
      <c r="H332" s="4">
        <f>--AND(OR(Dashboard!$A$10="All",A332=Dashboard!$A$10),OR(Dashboard!$A$14="All",D332=Dashboard!$A$14),OR(Dashboard!$A$18="All",E332=Dashboard!$A$18),OR(Dashboard!$A$22="All",F332=Dashboard!$A$22))</f>
        <v>1</v>
      </c>
    </row>
    <row r="333" spans="1:8" ht="15.75" customHeight="1">
      <c r="A333" s="4">
        <v>2024</v>
      </c>
      <c r="B333" s="4">
        <v>10</v>
      </c>
      <c r="C333" s="4" t="s">
        <v>120</v>
      </c>
      <c r="D333" s="4" t="s">
        <v>5</v>
      </c>
      <c r="E333" s="4" t="s">
        <v>12</v>
      </c>
      <c r="F333" s="4" t="s">
        <v>10</v>
      </c>
      <c r="G333" s="5">
        <v>9438</v>
      </c>
      <c r="H333" s="4">
        <f>--AND(OR(Dashboard!$A$10="All",A333=Dashboard!$A$10),OR(Dashboard!$A$14="All",D333=Dashboard!$A$14),OR(Dashboard!$A$18="All",E333=Dashboard!$A$18),OR(Dashboard!$A$22="All",F333=Dashboard!$A$22))</f>
        <v>1</v>
      </c>
    </row>
    <row r="334" spans="1:8" ht="15.75" customHeight="1">
      <c r="A334" s="4">
        <v>2024</v>
      </c>
      <c r="B334" s="4">
        <v>10</v>
      </c>
      <c r="C334" s="4" t="s">
        <v>120</v>
      </c>
      <c r="D334" s="4" t="s">
        <v>5</v>
      </c>
      <c r="E334" s="4" t="s">
        <v>12</v>
      </c>
      <c r="F334" s="4" t="s">
        <v>13</v>
      </c>
      <c r="G334" s="5">
        <v>5720</v>
      </c>
      <c r="H334" s="4">
        <f>--AND(OR(Dashboard!$A$10="All",A334=Dashboard!$A$10),OR(Dashboard!$A$14="All",D334=Dashboard!$A$14),OR(Dashboard!$A$18="All",E334=Dashboard!$A$18),OR(Dashboard!$A$22="All",F334=Dashboard!$A$22))</f>
        <v>1</v>
      </c>
    </row>
    <row r="335" spans="1:8" ht="15.75" customHeight="1">
      <c r="A335" s="4">
        <v>2024</v>
      </c>
      <c r="B335" s="4">
        <v>10</v>
      </c>
      <c r="C335" s="4" t="s">
        <v>120</v>
      </c>
      <c r="D335" s="4" t="s">
        <v>8</v>
      </c>
      <c r="E335" s="4" t="s">
        <v>6</v>
      </c>
      <c r="F335" s="4" t="s">
        <v>7</v>
      </c>
      <c r="G335" s="5">
        <v>10075</v>
      </c>
      <c r="H335" s="4">
        <f>--AND(OR(Dashboard!$A$10="All",A335=Dashboard!$A$10),OR(Dashboard!$A$14="All",D335=Dashboard!$A$14),OR(Dashboard!$A$18="All",E335=Dashboard!$A$18),OR(Dashboard!$A$22="All",F335=Dashboard!$A$22))</f>
        <v>1</v>
      </c>
    </row>
    <row r="336" spans="1:8" ht="15.75" customHeight="1">
      <c r="A336" s="4">
        <v>2024</v>
      </c>
      <c r="B336" s="4">
        <v>10</v>
      </c>
      <c r="C336" s="4" t="s">
        <v>120</v>
      </c>
      <c r="D336" s="4" t="s">
        <v>8</v>
      </c>
      <c r="E336" s="4" t="s">
        <v>6</v>
      </c>
      <c r="F336" s="4" t="s">
        <v>10</v>
      </c>
      <c r="G336" s="5">
        <v>6649.5</v>
      </c>
      <c r="H336" s="4">
        <f>--AND(OR(Dashboard!$A$10="All",A336=Dashboard!$A$10),OR(Dashboard!$A$14="All",D336=Dashboard!$A$14),OR(Dashboard!$A$18="All",E336=Dashboard!$A$18),OR(Dashboard!$A$22="All",F336=Dashboard!$A$22))</f>
        <v>1</v>
      </c>
    </row>
    <row r="337" spans="1:8" ht="15.75" customHeight="1">
      <c r="A337" s="4">
        <v>2024</v>
      </c>
      <c r="B337" s="4">
        <v>10</v>
      </c>
      <c r="C337" s="4" t="s">
        <v>120</v>
      </c>
      <c r="D337" s="4" t="s">
        <v>8</v>
      </c>
      <c r="E337" s="4" t="s">
        <v>6</v>
      </c>
      <c r="F337" s="4" t="s">
        <v>13</v>
      </c>
      <c r="G337" s="5">
        <v>4030</v>
      </c>
      <c r="H337" s="4">
        <f>--AND(OR(Dashboard!$A$10="All",A337=Dashboard!$A$10),OR(Dashboard!$A$14="All",D337=Dashboard!$A$14),OR(Dashboard!$A$18="All",E337=Dashboard!$A$18),OR(Dashboard!$A$22="All",F337=Dashboard!$A$22))</f>
        <v>1</v>
      </c>
    </row>
    <row r="338" spans="1:8" ht="15.75" customHeight="1">
      <c r="A338" s="4">
        <v>2024</v>
      </c>
      <c r="B338" s="4">
        <v>10</v>
      </c>
      <c r="C338" s="4" t="s">
        <v>120</v>
      </c>
      <c r="D338" s="4" t="s">
        <v>8</v>
      </c>
      <c r="E338" s="4" t="s">
        <v>9</v>
      </c>
      <c r="F338" s="4" t="s">
        <v>7</v>
      </c>
      <c r="G338" s="5">
        <v>6448</v>
      </c>
      <c r="H338" s="4">
        <f>--AND(OR(Dashboard!$A$10="All",A338=Dashboard!$A$10),OR(Dashboard!$A$14="All",D338=Dashboard!$A$14),OR(Dashboard!$A$18="All",E338=Dashboard!$A$18),OR(Dashboard!$A$22="All",F338=Dashboard!$A$22))</f>
        <v>1</v>
      </c>
    </row>
    <row r="339" spans="1:8" ht="15.75" customHeight="1">
      <c r="A339" s="4">
        <v>2024</v>
      </c>
      <c r="B339" s="4">
        <v>10</v>
      </c>
      <c r="C339" s="4" t="s">
        <v>120</v>
      </c>
      <c r="D339" s="4" t="s">
        <v>8</v>
      </c>
      <c r="E339" s="4" t="s">
        <v>9</v>
      </c>
      <c r="F339" s="4" t="s">
        <v>10</v>
      </c>
      <c r="G339" s="5">
        <v>4255.68</v>
      </c>
      <c r="H339" s="4">
        <f>--AND(OR(Dashboard!$A$10="All",A339=Dashboard!$A$10),OR(Dashboard!$A$14="All",D339=Dashboard!$A$14),OR(Dashboard!$A$18="All",E339=Dashboard!$A$18),OR(Dashboard!$A$22="All",F339=Dashboard!$A$22))</f>
        <v>1</v>
      </c>
    </row>
    <row r="340" spans="1:8" ht="15.75" customHeight="1">
      <c r="A340" s="4">
        <v>2024</v>
      </c>
      <c r="B340" s="4">
        <v>10</v>
      </c>
      <c r="C340" s="4" t="s">
        <v>120</v>
      </c>
      <c r="D340" s="4" t="s">
        <v>8</v>
      </c>
      <c r="E340" s="4" t="s">
        <v>9</v>
      </c>
      <c r="F340" s="4" t="s">
        <v>13</v>
      </c>
      <c r="G340" s="5">
        <v>2579.1999999999998</v>
      </c>
      <c r="H340" s="4">
        <f>--AND(OR(Dashboard!$A$10="All",A340=Dashboard!$A$10),OR(Dashboard!$A$14="All",D340=Dashboard!$A$14),OR(Dashboard!$A$18="All",E340=Dashboard!$A$18),OR(Dashboard!$A$22="All",F340=Dashboard!$A$22))</f>
        <v>1</v>
      </c>
    </row>
    <row r="341" spans="1:8" ht="15.75" customHeight="1">
      <c r="A341" s="4">
        <v>2024</v>
      </c>
      <c r="B341" s="4">
        <v>10</v>
      </c>
      <c r="C341" s="4" t="s">
        <v>120</v>
      </c>
      <c r="D341" s="4" t="s">
        <v>8</v>
      </c>
      <c r="E341" s="4" t="s">
        <v>12</v>
      </c>
      <c r="F341" s="4" t="s">
        <v>7</v>
      </c>
      <c r="G341" s="5">
        <v>8866</v>
      </c>
      <c r="H341" s="4">
        <f>--AND(OR(Dashboard!$A$10="All",A341=Dashboard!$A$10),OR(Dashboard!$A$14="All",D341=Dashboard!$A$14),OR(Dashboard!$A$18="All",E341=Dashboard!$A$18),OR(Dashboard!$A$22="All",F341=Dashboard!$A$22))</f>
        <v>1</v>
      </c>
    </row>
    <row r="342" spans="1:8" ht="15.75" customHeight="1">
      <c r="A342" s="4">
        <v>2024</v>
      </c>
      <c r="B342" s="4">
        <v>10</v>
      </c>
      <c r="C342" s="4" t="s">
        <v>120</v>
      </c>
      <c r="D342" s="4" t="s">
        <v>8</v>
      </c>
      <c r="E342" s="4" t="s">
        <v>12</v>
      </c>
      <c r="F342" s="4" t="s">
        <v>10</v>
      </c>
      <c r="G342" s="5">
        <v>5851.56</v>
      </c>
      <c r="H342" s="4">
        <f>--AND(OR(Dashboard!$A$10="All",A342=Dashboard!$A$10),OR(Dashboard!$A$14="All",D342=Dashboard!$A$14),OR(Dashboard!$A$18="All",E342=Dashboard!$A$18),OR(Dashboard!$A$22="All",F342=Dashboard!$A$22))</f>
        <v>1</v>
      </c>
    </row>
    <row r="343" spans="1:8" ht="15.75" customHeight="1">
      <c r="A343" s="4">
        <v>2024</v>
      </c>
      <c r="B343" s="4">
        <v>10</v>
      </c>
      <c r="C343" s="4" t="s">
        <v>120</v>
      </c>
      <c r="D343" s="4" t="s">
        <v>8</v>
      </c>
      <c r="E343" s="4" t="s">
        <v>12</v>
      </c>
      <c r="F343" s="4" t="s">
        <v>13</v>
      </c>
      <c r="G343" s="5">
        <v>3546.4</v>
      </c>
      <c r="H343" s="4">
        <f>--AND(OR(Dashboard!$A$10="All",A343=Dashboard!$A$10),OR(Dashboard!$A$14="All",D343=Dashboard!$A$14),OR(Dashboard!$A$18="All",E343=Dashboard!$A$18),OR(Dashboard!$A$22="All",F343=Dashboard!$A$22))</f>
        <v>1</v>
      </c>
    </row>
    <row r="344" spans="1:8" ht="15.75" customHeight="1">
      <c r="A344" s="4">
        <v>2024</v>
      </c>
      <c r="B344" s="4">
        <v>10</v>
      </c>
      <c r="C344" s="4" t="s">
        <v>120</v>
      </c>
      <c r="D344" s="4" t="s">
        <v>11</v>
      </c>
      <c r="E344" s="4" t="s">
        <v>6</v>
      </c>
      <c r="F344" s="4" t="s">
        <v>7</v>
      </c>
      <c r="G344" s="5">
        <v>7150</v>
      </c>
      <c r="H344" s="4">
        <f>--AND(OR(Dashboard!$A$10="All",A344=Dashboard!$A$10),OR(Dashboard!$A$14="All",D344=Dashboard!$A$14),OR(Dashboard!$A$18="All",E344=Dashboard!$A$18),OR(Dashboard!$A$22="All",F344=Dashboard!$A$22))</f>
        <v>1</v>
      </c>
    </row>
    <row r="345" spans="1:8" ht="15.75" customHeight="1">
      <c r="A345" s="4">
        <v>2024</v>
      </c>
      <c r="B345" s="4">
        <v>10</v>
      </c>
      <c r="C345" s="4" t="s">
        <v>120</v>
      </c>
      <c r="D345" s="4" t="s">
        <v>11</v>
      </c>
      <c r="E345" s="4" t="s">
        <v>6</v>
      </c>
      <c r="F345" s="4" t="s">
        <v>10</v>
      </c>
      <c r="G345" s="5">
        <v>4719</v>
      </c>
      <c r="H345" s="4">
        <f>--AND(OR(Dashboard!$A$10="All",A345=Dashboard!$A$10),OR(Dashboard!$A$14="All",D345=Dashboard!$A$14),OR(Dashboard!$A$18="All",E345=Dashboard!$A$18),OR(Dashboard!$A$22="All",F345=Dashboard!$A$22))</f>
        <v>1</v>
      </c>
    </row>
    <row r="346" spans="1:8" ht="15.75" customHeight="1">
      <c r="A346" s="4">
        <v>2024</v>
      </c>
      <c r="B346" s="4">
        <v>10</v>
      </c>
      <c r="C346" s="4" t="s">
        <v>120</v>
      </c>
      <c r="D346" s="4" t="s">
        <v>11</v>
      </c>
      <c r="E346" s="4" t="s">
        <v>6</v>
      </c>
      <c r="F346" s="4" t="s">
        <v>13</v>
      </c>
      <c r="G346" s="5">
        <v>2860</v>
      </c>
      <c r="H346" s="4">
        <f>--AND(OR(Dashboard!$A$10="All",A346=Dashboard!$A$10),OR(Dashboard!$A$14="All",D346=Dashboard!$A$14),OR(Dashboard!$A$18="All",E346=Dashboard!$A$18),OR(Dashboard!$A$22="All",F346=Dashboard!$A$22))</f>
        <v>1</v>
      </c>
    </row>
    <row r="347" spans="1:8" ht="15.75" customHeight="1">
      <c r="A347" s="4">
        <v>2024</v>
      </c>
      <c r="B347" s="4">
        <v>10</v>
      </c>
      <c r="C347" s="4" t="s">
        <v>120</v>
      </c>
      <c r="D347" s="4" t="s">
        <v>11</v>
      </c>
      <c r="E347" s="4" t="s">
        <v>9</v>
      </c>
      <c r="F347" s="4" t="s">
        <v>7</v>
      </c>
      <c r="G347" s="5">
        <v>4576</v>
      </c>
      <c r="H347" s="4">
        <f>--AND(OR(Dashboard!$A$10="All",A347=Dashboard!$A$10),OR(Dashboard!$A$14="All",D347=Dashboard!$A$14),OR(Dashboard!$A$18="All",E347=Dashboard!$A$18),OR(Dashboard!$A$22="All",F347=Dashboard!$A$22))</f>
        <v>1</v>
      </c>
    </row>
    <row r="348" spans="1:8" ht="15.75" customHeight="1">
      <c r="A348" s="4">
        <v>2024</v>
      </c>
      <c r="B348" s="4">
        <v>10</v>
      </c>
      <c r="C348" s="4" t="s">
        <v>120</v>
      </c>
      <c r="D348" s="4" t="s">
        <v>11</v>
      </c>
      <c r="E348" s="4" t="s">
        <v>9</v>
      </c>
      <c r="F348" s="4" t="s">
        <v>10</v>
      </c>
      <c r="G348" s="5">
        <v>3020.16</v>
      </c>
      <c r="H348" s="4">
        <f>--AND(OR(Dashboard!$A$10="All",A348=Dashboard!$A$10),OR(Dashboard!$A$14="All",D348=Dashboard!$A$14),OR(Dashboard!$A$18="All",E348=Dashboard!$A$18),OR(Dashboard!$A$22="All",F348=Dashboard!$A$22))</f>
        <v>1</v>
      </c>
    </row>
    <row r="349" spans="1:8" ht="15.75" customHeight="1">
      <c r="A349" s="4">
        <v>2024</v>
      </c>
      <c r="B349" s="4">
        <v>10</v>
      </c>
      <c r="C349" s="4" t="s">
        <v>120</v>
      </c>
      <c r="D349" s="4" t="s">
        <v>11</v>
      </c>
      <c r="E349" s="4" t="s">
        <v>9</v>
      </c>
      <c r="F349" s="4" t="s">
        <v>13</v>
      </c>
      <c r="G349" s="5">
        <v>1830.4</v>
      </c>
      <c r="H349" s="4">
        <f>--AND(OR(Dashboard!$A$10="All",A349=Dashboard!$A$10),OR(Dashboard!$A$14="All",D349=Dashboard!$A$14),OR(Dashboard!$A$18="All",E349=Dashboard!$A$18),OR(Dashboard!$A$22="All",F349=Dashboard!$A$22))</f>
        <v>1</v>
      </c>
    </row>
    <row r="350" spans="1:8" ht="15.75" customHeight="1">
      <c r="A350" s="4">
        <v>2024</v>
      </c>
      <c r="B350" s="4">
        <v>10</v>
      </c>
      <c r="C350" s="4" t="s">
        <v>120</v>
      </c>
      <c r="D350" s="4" t="s">
        <v>11</v>
      </c>
      <c r="E350" s="4" t="s">
        <v>12</v>
      </c>
      <c r="F350" s="4" t="s">
        <v>7</v>
      </c>
      <c r="G350" s="5">
        <v>6292</v>
      </c>
      <c r="H350" s="4">
        <f>--AND(OR(Dashboard!$A$10="All",A350=Dashboard!$A$10),OR(Dashboard!$A$14="All",D350=Dashboard!$A$14),OR(Dashboard!$A$18="All",E350=Dashboard!$A$18),OR(Dashboard!$A$22="All",F350=Dashboard!$A$22))</f>
        <v>1</v>
      </c>
    </row>
    <row r="351" spans="1:8" ht="15.75" customHeight="1">
      <c r="A351" s="4">
        <v>2024</v>
      </c>
      <c r="B351" s="4">
        <v>10</v>
      </c>
      <c r="C351" s="4" t="s">
        <v>120</v>
      </c>
      <c r="D351" s="4" t="s">
        <v>11</v>
      </c>
      <c r="E351" s="4" t="s">
        <v>12</v>
      </c>
      <c r="F351" s="4" t="s">
        <v>10</v>
      </c>
      <c r="G351" s="5">
        <v>4152.72</v>
      </c>
      <c r="H351" s="4">
        <f>--AND(OR(Dashboard!$A$10="All",A351=Dashboard!$A$10),OR(Dashboard!$A$14="All",D351=Dashboard!$A$14),OR(Dashboard!$A$18="All",E351=Dashboard!$A$18),OR(Dashboard!$A$22="All",F351=Dashboard!$A$22))</f>
        <v>1</v>
      </c>
    </row>
    <row r="352" spans="1:8" ht="15.75" customHeight="1">
      <c r="A352" s="4">
        <v>2024</v>
      </c>
      <c r="B352" s="4">
        <v>10</v>
      </c>
      <c r="C352" s="4" t="s">
        <v>120</v>
      </c>
      <c r="D352" s="4" t="s">
        <v>11</v>
      </c>
      <c r="E352" s="4" t="s">
        <v>12</v>
      </c>
      <c r="F352" s="4" t="s">
        <v>13</v>
      </c>
      <c r="G352" s="5">
        <v>2516.8000000000002</v>
      </c>
      <c r="H352" s="4">
        <f>--AND(OR(Dashboard!$A$10="All",A352=Dashboard!$A$10),OR(Dashboard!$A$14="All",D352=Dashboard!$A$14),OR(Dashboard!$A$18="All",E352=Dashboard!$A$18),OR(Dashboard!$A$22="All",F352=Dashboard!$A$22))</f>
        <v>1</v>
      </c>
    </row>
    <row r="353" spans="1:8" ht="15.75" customHeight="1">
      <c r="A353" s="4">
        <v>2024</v>
      </c>
      <c r="B353" s="4">
        <v>10</v>
      </c>
      <c r="C353" s="4" t="s">
        <v>120</v>
      </c>
      <c r="D353" s="4" t="s">
        <v>14</v>
      </c>
      <c r="E353" s="4" t="s">
        <v>6</v>
      </c>
      <c r="F353" s="4" t="s">
        <v>7</v>
      </c>
      <c r="G353" s="5">
        <v>4875</v>
      </c>
      <c r="H353" s="4">
        <f>--AND(OR(Dashboard!$A$10="All",A353=Dashboard!$A$10),OR(Dashboard!$A$14="All",D353=Dashboard!$A$14),OR(Dashboard!$A$18="All",E353=Dashboard!$A$18),OR(Dashboard!$A$22="All",F353=Dashboard!$A$22))</f>
        <v>1</v>
      </c>
    </row>
    <row r="354" spans="1:8" ht="15.75" customHeight="1">
      <c r="A354" s="4">
        <v>2024</v>
      </c>
      <c r="B354" s="4">
        <v>10</v>
      </c>
      <c r="C354" s="4" t="s">
        <v>120</v>
      </c>
      <c r="D354" s="4" t="s">
        <v>14</v>
      </c>
      <c r="E354" s="4" t="s">
        <v>6</v>
      </c>
      <c r="F354" s="4" t="s">
        <v>10</v>
      </c>
      <c r="G354" s="5">
        <v>3217.5</v>
      </c>
      <c r="H354" s="4">
        <f>--AND(OR(Dashboard!$A$10="All",A354=Dashboard!$A$10),OR(Dashboard!$A$14="All",D354=Dashboard!$A$14),OR(Dashboard!$A$18="All",E354=Dashboard!$A$18),OR(Dashboard!$A$22="All",F354=Dashboard!$A$22))</f>
        <v>1</v>
      </c>
    </row>
    <row r="355" spans="1:8" ht="15.75" customHeight="1">
      <c r="A355" s="4">
        <v>2024</v>
      </c>
      <c r="B355" s="4">
        <v>10</v>
      </c>
      <c r="C355" s="4" t="s">
        <v>120</v>
      </c>
      <c r="D355" s="4" t="s">
        <v>14</v>
      </c>
      <c r="E355" s="4" t="s">
        <v>6</v>
      </c>
      <c r="F355" s="4" t="s">
        <v>13</v>
      </c>
      <c r="G355" s="5">
        <v>1950</v>
      </c>
      <c r="H355" s="4">
        <f>--AND(OR(Dashboard!$A$10="All",A355=Dashboard!$A$10),OR(Dashboard!$A$14="All",D355=Dashboard!$A$14),OR(Dashboard!$A$18="All",E355=Dashboard!$A$18),OR(Dashboard!$A$22="All",F355=Dashboard!$A$22))</f>
        <v>1</v>
      </c>
    </row>
    <row r="356" spans="1:8" ht="15.75" customHeight="1">
      <c r="A356" s="4">
        <v>2024</v>
      </c>
      <c r="B356" s="4">
        <v>10</v>
      </c>
      <c r="C356" s="4" t="s">
        <v>120</v>
      </c>
      <c r="D356" s="4" t="s">
        <v>14</v>
      </c>
      <c r="E356" s="4" t="s">
        <v>9</v>
      </c>
      <c r="F356" s="4" t="s">
        <v>7</v>
      </c>
      <c r="G356" s="5">
        <v>3120</v>
      </c>
      <c r="H356" s="4">
        <f>--AND(OR(Dashboard!$A$10="All",A356=Dashboard!$A$10),OR(Dashboard!$A$14="All",D356=Dashboard!$A$14),OR(Dashboard!$A$18="All",E356=Dashboard!$A$18),OR(Dashboard!$A$22="All",F356=Dashboard!$A$22))</f>
        <v>1</v>
      </c>
    </row>
    <row r="357" spans="1:8" ht="15.75" customHeight="1">
      <c r="A357" s="4">
        <v>2024</v>
      </c>
      <c r="B357" s="4">
        <v>10</v>
      </c>
      <c r="C357" s="4" t="s">
        <v>120</v>
      </c>
      <c r="D357" s="4" t="s">
        <v>14</v>
      </c>
      <c r="E357" s="4" t="s">
        <v>9</v>
      </c>
      <c r="F357" s="4" t="s">
        <v>10</v>
      </c>
      <c r="G357" s="5">
        <v>2059.1999999999998</v>
      </c>
      <c r="H357" s="4">
        <f>--AND(OR(Dashboard!$A$10="All",A357=Dashboard!$A$10),OR(Dashboard!$A$14="All",D357=Dashboard!$A$14),OR(Dashboard!$A$18="All",E357=Dashboard!$A$18),OR(Dashboard!$A$22="All",F357=Dashboard!$A$22))</f>
        <v>1</v>
      </c>
    </row>
    <row r="358" spans="1:8" ht="15.75" customHeight="1">
      <c r="A358" s="4">
        <v>2024</v>
      </c>
      <c r="B358" s="4">
        <v>10</v>
      </c>
      <c r="C358" s="4" t="s">
        <v>120</v>
      </c>
      <c r="D358" s="4" t="s">
        <v>14</v>
      </c>
      <c r="E358" s="4" t="s">
        <v>9</v>
      </c>
      <c r="F358" s="4" t="s">
        <v>13</v>
      </c>
      <c r="G358" s="5">
        <v>1248</v>
      </c>
      <c r="H358" s="4">
        <f>--AND(OR(Dashboard!$A$10="All",A358=Dashboard!$A$10),OR(Dashboard!$A$14="All",D358=Dashboard!$A$14),OR(Dashboard!$A$18="All",E358=Dashboard!$A$18),OR(Dashboard!$A$22="All",F358=Dashboard!$A$22))</f>
        <v>1</v>
      </c>
    </row>
    <row r="359" spans="1:8" ht="15.75" customHeight="1">
      <c r="A359" s="4">
        <v>2024</v>
      </c>
      <c r="B359" s="4">
        <v>10</v>
      </c>
      <c r="C359" s="4" t="s">
        <v>120</v>
      </c>
      <c r="D359" s="4" t="s">
        <v>14</v>
      </c>
      <c r="E359" s="4" t="s">
        <v>12</v>
      </c>
      <c r="F359" s="4" t="s">
        <v>7</v>
      </c>
      <c r="G359" s="5">
        <v>4290</v>
      </c>
      <c r="H359" s="4">
        <f>--AND(OR(Dashboard!$A$10="All",A359=Dashboard!$A$10),OR(Dashboard!$A$14="All",D359=Dashboard!$A$14),OR(Dashboard!$A$18="All",E359=Dashboard!$A$18),OR(Dashboard!$A$22="All",F359=Dashboard!$A$22))</f>
        <v>1</v>
      </c>
    </row>
    <row r="360" spans="1:8" ht="15.75" customHeight="1">
      <c r="A360" s="4">
        <v>2024</v>
      </c>
      <c r="B360" s="4">
        <v>10</v>
      </c>
      <c r="C360" s="4" t="s">
        <v>120</v>
      </c>
      <c r="D360" s="4" t="s">
        <v>14</v>
      </c>
      <c r="E360" s="4" t="s">
        <v>12</v>
      </c>
      <c r="F360" s="4" t="s">
        <v>10</v>
      </c>
      <c r="G360" s="5">
        <v>2831.4</v>
      </c>
      <c r="H360" s="4">
        <f>--AND(OR(Dashboard!$A$10="All",A360=Dashboard!$A$10),OR(Dashboard!$A$14="All",D360=Dashboard!$A$14),OR(Dashboard!$A$18="All",E360=Dashboard!$A$18),OR(Dashboard!$A$22="All",F360=Dashboard!$A$22))</f>
        <v>1</v>
      </c>
    </row>
    <row r="361" spans="1:8" ht="15.75" customHeight="1">
      <c r="A361" s="4">
        <v>2024</v>
      </c>
      <c r="B361" s="4">
        <v>10</v>
      </c>
      <c r="C361" s="4" t="s">
        <v>120</v>
      </c>
      <c r="D361" s="4" t="s">
        <v>14</v>
      </c>
      <c r="E361" s="4" t="s">
        <v>12</v>
      </c>
      <c r="F361" s="4" t="s">
        <v>13</v>
      </c>
      <c r="G361" s="5">
        <v>1716</v>
      </c>
      <c r="H361" s="4">
        <f>--AND(OR(Dashboard!$A$10="All",A361=Dashboard!$A$10),OR(Dashboard!$A$14="All",D361=Dashboard!$A$14),OR(Dashboard!$A$18="All",E361=Dashboard!$A$18),OR(Dashboard!$A$22="All",F361=Dashboard!$A$22))</f>
        <v>1</v>
      </c>
    </row>
    <row r="362" spans="1:8" ht="15.75" customHeight="1">
      <c r="A362" s="4">
        <v>2024</v>
      </c>
      <c r="B362" s="4">
        <v>11</v>
      </c>
      <c r="C362" s="4" t="s">
        <v>89</v>
      </c>
      <c r="D362" s="4" t="s">
        <v>5</v>
      </c>
      <c r="E362" s="4" t="s">
        <v>6</v>
      </c>
      <c r="F362" s="4" t="s">
        <v>7</v>
      </c>
      <c r="G362" s="5">
        <v>19500</v>
      </c>
      <c r="H362" s="4">
        <f>--AND(OR(Dashboard!$A$10="All",A362=Dashboard!$A$10),OR(Dashboard!$A$14="All",D362=Dashboard!$A$14),OR(Dashboard!$A$18="All",E362=Dashboard!$A$18),OR(Dashboard!$A$22="All",F362=Dashboard!$A$22))</f>
        <v>1</v>
      </c>
    </row>
    <row r="363" spans="1:8" ht="15.75" customHeight="1">
      <c r="A363" s="4">
        <v>2024</v>
      </c>
      <c r="B363" s="4">
        <v>11</v>
      </c>
      <c r="C363" s="4" t="s">
        <v>89</v>
      </c>
      <c r="D363" s="4" t="s">
        <v>5</v>
      </c>
      <c r="E363" s="4" t="s">
        <v>6</v>
      </c>
      <c r="F363" s="4" t="s">
        <v>10</v>
      </c>
      <c r="G363" s="5">
        <v>12870</v>
      </c>
      <c r="H363" s="4">
        <f>--AND(OR(Dashboard!$A$10="All",A363=Dashboard!$A$10),OR(Dashboard!$A$14="All",D363=Dashboard!$A$14),OR(Dashboard!$A$18="All",E363=Dashboard!$A$18),OR(Dashboard!$A$22="All",F363=Dashboard!$A$22))</f>
        <v>1</v>
      </c>
    </row>
    <row r="364" spans="1:8" ht="15.75" customHeight="1">
      <c r="A364" s="4">
        <v>2024</v>
      </c>
      <c r="B364" s="4">
        <v>11</v>
      </c>
      <c r="C364" s="4" t="s">
        <v>89</v>
      </c>
      <c r="D364" s="4" t="s">
        <v>5</v>
      </c>
      <c r="E364" s="4" t="s">
        <v>6</v>
      </c>
      <c r="F364" s="4" t="s">
        <v>13</v>
      </c>
      <c r="G364" s="5">
        <v>7800</v>
      </c>
      <c r="H364" s="4">
        <f>--AND(OR(Dashboard!$A$10="All",A364=Dashboard!$A$10),OR(Dashboard!$A$14="All",D364=Dashboard!$A$14),OR(Dashboard!$A$18="All",E364=Dashboard!$A$18),OR(Dashboard!$A$22="All",F364=Dashboard!$A$22))</f>
        <v>1</v>
      </c>
    </row>
    <row r="365" spans="1:8" ht="15.75" customHeight="1">
      <c r="A365" s="4">
        <v>2024</v>
      </c>
      <c r="B365" s="4">
        <v>11</v>
      </c>
      <c r="C365" s="4" t="s">
        <v>89</v>
      </c>
      <c r="D365" s="4" t="s">
        <v>5</v>
      </c>
      <c r="E365" s="4" t="s">
        <v>9</v>
      </c>
      <c r="F365" s="4" t="s">
        <v>7</v>
      </c>
      <c r="G365" s="5">
        <v>12480</v>
      </c>
      <c r="H365" s="4">
        <f>--AND(OR(Dashboard!$A$10="All",A365=Dashboard!$A$10),OR(Dashboard!$A$14="All",D365=Dashboard!$A$14),OR(Dashboard!$A$18="All",E365=Dashboard!$A$18),OR(Dashboard!$A$22="All",F365=Dashboard!$A$22))</f>
        <v>1</v>
      </c>
    </row>
    <row r="366" spans="1:8" ht="15.75" customHeight="1">
      <c r="A366" s="4">
        <v>2024</v>
      </c>
      <c r="B366" s="4">
        <v>11</v>
      </c>
      <c r="C366" s="4" t="s">
        <v>89</v>
      </c>
      <c r="D366" s="4" t="s">
        <v>5</v>
      </c>
      <c r="E366" s="4" t="s">
        <v>9</v>
      </c>
      <c r="F366" s="4" t="s">
        <v>10</v>
      </c>
      <c r="G366" s="5">
        <v>8236.7999999999993</v>
      </c>
      <c r="H366" s="4">
        <f>--AND(OR(Dashboard!$A$10="All",A366=Dashboard!$A$10),OR(Dashboard!$A$14="All",D366=Dashboard!$A$14),OR(Dashboard!$A$18="All",E366=Dashboard!$A$18),OR(Dashboard!$A$22="All",F366=Dashboard!$A$22))</f>
        <v>1</v>
      </c>
    </row>
    <row r="367" spans="1:8" ht="15.75" customHeight="1">
      <c r="A367" s="4">
        <v>2024</v>
      </c>
      <c r="B367" s="4">
        <v>11</v>
      </c>
      <c r="C367" s="4" t="s">
        <v>89</v>
      </c>
      <c r="D367" s="4" t="s">
        <v>5</v>
      </c>
      <c r="E367" s="4" t="s">
        <v>9</v>
      </c>
      <c r="F367" s="4" t="s">
        <v>13</v>
      </c>
      <c r="G367" s="5">
        <v>4992</v>
      </c>
      <c r="H367" s="4">
        <f>--AND(OR(Dashboard!$A$10="All",A367=Dashboard!$A$10),OR(Dashboard!$A$14="All",D367=Dashboard!$A$14),OR(Dashboard!$A$18="All",E367=Dashboard!$A$18),OR(Dashboard!$A$22="All",F367=Dashboard!$A$22))</f>
        <v>1</v>
      </c>
    </row>
    <row r="368" spans="1:8" ht="15.75" customHeight="1">
      <c r="A368" s="4">
        <v>2024</v>
      </c>
      <c r="B368" s="4">
        <v>11</v>
      </c>
      <c r="C368" s="4" t="s">
        <v>89</v>
      </c>
      <c r="D368" s="4" t="s">
        <v>5</v>
      </c>
      <c r="E368" s="4" t="s">
        <v>12</v>
      </c>
      <c r="F368" s="4" t="s">
        <v>7</v>
      </c>
      <c r="G368" s="5">
        <v>17160</v>
      </c>
      <c r="H368" s="4">
        <f>--AND(OR(Dashboard!$A$10="All",A368=Dashboard!$A$10),OR(Dashboard!$A$14="All",D368=Dashboard!$A$14),OR(Dashboard!$A$18="All",E368=Dashboard!$A$18),OR(Dashboard!$A$22="All",F368=Dashboard!$A$22))</f>
        <v>1</v>
      </c>
    </row>
    <row r="369" spans="1:8" ht="15.75" customHeight="1">
      <c r="A369" s="4">
        <v>2024</v>
      </c>
      <c r="B369" s="4">
        <v>11</v>
      </c>
      <c r="C369" s="4" t="s">
        <v>89</v>
      </c>
      <c r="D369" s="4" t="s">
        <v>5</v>
      </c>
      <c r="E369" s="4" t="s">
        <v>12</v>
      </c>
      <c r="F369" s="4" t="s">
        <v>10</v>
      </c>
      <c r="G369" s="5">
        <v>11325.6</v>
      </c>
      <c r="H369" s="4">
        <f>--AND(OR(Dashboard!$A$10="All",A369=Dashboard!$A$10),OR(Dashboard!$A$14="All",D369=Dashboard!$A$14),OR(Dashboard!$A$18="All",E369=Dashboard!$A$18),OR(Dashboard!$A$22="All",F369=Dashboard!$A$22))</f>
        <v>1</v>
      </c>
    </row>
    <row r="370" spans="1:8" ht="15.75" customHeight="1">
      <c r="A370" s="4">
        <v>2024</v>
      </c>
      <c r="B370" s="4">
        <v>11</v>
      </c>
      <c r="C370" s="4" t="s">
        <v>89</v>
      </c>
      <c r="D370" s="4" t="s">
        <v>5</v>
      </c>
      <c r="E370" s="4" t="s">
        <v>12</v>
      </c>
      <c r="F370" s="4" t="s">
        <v>13</v>
      </c>
      <c r="G370" s="5">
        <v>6864</v>
      </c>
      <c r="H370" s="4">
        <f>--AND(OR(Dashboard!$A$10="All",A370=Dashboard!$A$10),OR(Dashboard!$A$14="All",D370=Dashboard!$A$14),OR(Dashboard!$A$18="All",E370=Dashboard!$A$18),OR(Dashboard!$A$22="All",F370=Dashboard!$A$22))</f>
        <v>1</v>
      </c>
    </row>
    <row r="371" spans="1:8" ht="15.75" customHeight="1">
      <c r="A371" s="4">
        <v>2024</v>
      </c>
      <c r="B371" s="4">
        <v>11</v>
      </c>
      <c r="C371" s="4" t="s">
        <v>89</v>
      </c>
      <c r="D371" s="4" t="s">
        <v>8</v>
      </c>
      <c r="E371" s="4" t="s">
        <v>6</v>
      </c>
      <c r="F371" s="4" t="s">
        <v>7</v>
      </c>
      <c r="G371" s="5">
        <v>12090</v>
      </c>
      <c r="H371" s="4">
        <f>--AND(OR(Dashboard!$A$10="All",A371=Dashboard!$A$10),OR(Dashboard!$A$14="All",D371=Dashboard!$A$14),OR(Dashboard!$A$18="All",E371=Dashboard!$A$18),OR(Dashboard!$A$22="All",F371=Dashboard!$A$22))</f>
        <v>1</v>
      </c>
    </row>
    <row r="372" spans="1:8" ht="15.75" customHeight="1">
      <c r="A372" s="4">
        <v>2024</v>
      </c>
      <c r="B372" s="4">
        <v>11</v>
      </c>
      <c r="C372" s="4" t="s">
        <v>89</v>
      </c>
      <c r="D372" s="4" t="s">
        <v>8</v>
      </c>
      <c r="E372" s="4" t="s">
        <v>6</v>
      </c>
      <c r="F372" s="4" t="s">
        <v>10</v>
      </c>
      <c r="G372" s="5">
        <v>7979.4</v>
      </c>
      <c r="H372" s="4">
        <f>--AND(OR(Dashboard!$A$10="All",A372=Dashboard!$A$10),OR(Dashboard!$A$14="All",D372=Dashboard!$A$14),OR(Dashboard!$A$18="All",E372=Dashboard!$A$18),OR(Dashboard!$A$22="All",F372=Dashboard!$A$22))</f>
        <v>1</v>
      </c>
    </row>
    <row r="373" spans="1:8" ht="15.75" customHeight="1">
      <c r="A373" s="4">
        <v>2024</v>
      </c>
      <c r="B373" s="4">
        <v>11</v>
      </c>
      <c r="C373" s="4" t="s">
        <v>89</v>
      </c>
      <c r="D373" s="4" t="s">
        <v>8</v>
      </c>
      <c r="E373" s="4" t="s">
        <v>6</v>
      </c>
      <c r="F373" s="4" t="s">
        <v>13</v>
      </c>
      <c r="G373" s="5">
        <v>4836</v>
      </c>
      <c r="H373" s="4">
        <f>--AND(OR(Dashboard!$A$10="All",A373=Dashboard!$A$10),OR(Dashboard!$A$14="All",D373=Dashboard!$A$14),OR(Dashboard!$A$18="All",E373=Dashboard!$A$18),OR(Dashboard!$A$22="All",F373=Dashboard!$A$22))</f>
        <v>1</v>
      </c>
    </row>
    <row r="374" spans="1:8" ht="15.75" customHeight="1">
      <c r="A374" s="4">
        <v>2024</v>
      </c>
      <c r="B374" s="4">
        <v>11</v>
      </c>
      <c r="C374" s="4" t="s">
        <v>89</v>
      </c>
      <c r="D374" s="4" t="s">
        <v>8</v>
      </c>
      <c r="E374" s="4" t="s">
        <v>9</v>
      </c>
      <c r="F374" s="4" t="s">
        <v>7</v>
      </c>
      <c r="G374" s="5">
        <v>7737.6</v>
      </c>
      <c r="H374" s="4">
        <f>--AND(OR(Dashboard!$A$10="All",A374=Dashboard!$A$10),OR(Dashboard!$A$14="All",D374=Dashboard!$A$14),OR(Dashboard!$A$18="All",E374=Dashboard!$A$18),OR(Dashboard!$A$22="All",F374=Dashboard!$A$22))</f>
        <v>1</v>
      </c>
    </row>
    <row r="375" spans="1:8" ht="15.75" customHeight="1">
      <c r="A375" s="4">
        <v>2024</v>
      </c>
      <c r="B375" s="4">
        <v>11</v>
      </c>
      <c r="C375" s="4" t="s">
        <v>89</v>
      </c>
      <c r="D375" s="4" t="s">
        <v>8</v>
      </c>
      <c r="E375" s="4" t="s">
        <v>9</v>
      </c>
      <c r="F375" s="4" t="s">
        <v>10</v>
      </c>
      <c r="G375" s="5">
        <v>5106.82</v>
      </c>
      <c r="H375" s="4">
        <f>--AND(OR(Dashboard!$A$10="All",A375=Dashboard!$A$10),OR(Dashboard!$A$14="All",D375=Dashboard!$A$14),OR(Dashboard!$A$18="All",E375=Dashboard!$A$18),OR(Dashboard!$A$22="All",F375=Dashboard!$A$22))</f>
        <v>1</v>
      </c>
    </row>
    <row r="376" spans="1:8" ht="15.75" customHeight="1">
      <c r="A376" s="4">
        <v>2024</v>
      </c>
      <c r="B376" s="4">
        <v>11</v>
      </c>
      <c r="C376" s="4" t="s">
        <v>89</v>
      </c>
      <c r="D376" s="4" t="s">
        <v>8</v>
      </c>
      <c r="E376" s="4" t="s">
        <v>9</v>
      </c>
      <c r="F376" s="4" t="s">
        <v>13</v>
      </c>
      <c r="G376" s="5">
        <v>3095.04</v>
      </c>
      <c r="H376" s="4">
        <f>--AND(OR(Dashboard!$A$10="All",A376=Dashboard!$A$10),OR(Dashboard!$A$14="All",D376=Dashboard!$A$14),OR(Dashboard!$A$18="All",E376=Dashboard!$A$18),OR(Dashboard!$A$22="All",F376=Dashboard!$A$22))</f>
        <v>1</v>
      </c>
    </row>
    <row r="377" spans="1:8" ht="15.75" customHeight="1">
      <c r="A377" s="4">
        <v>2024</v>
      </c>
      <c r="B377" s="4">
        <v>11</v>
      </c>
      <c r="C377" s="4" t="s">
        <v>89</v>
      </c>
      <c r="D377" s="4" t="s">
        <v>8</v>
      </c>
      <c r="E377" s="4" t="s">
        <v>12</v>
      </c>
      <c r="F377" s="4" t="s">
        <v>7</v>
      </c>
      <c r="G377" s="5">
        <v>10639.2</v>
      </c>
      <c r="H377" s="4">
        <f>--AND(OR(Dashboard!$A$10="All",A377=Dashboard!$A$10),OR(Dashboard!$A$14="All",D377=Dashboard!$A$14),OR(Dashboard!$A$18="All",E377=Dashboard!$A$18),OR(Dashboard!$A$22="All",F377=Dashboard!$A$22))</f>
        <v>1</v>
      </c>
    </row>
    <row r="378" spans="1:8" ht="15.75" customHeight="1">
      <c r="A378" s="4">
        <v>2024</v>
      </c>
      <c r="B378" s="4">
        <v>11</v>
      </c>
      <c r="C378" s="4" t="s">
        <v>89</v>
      </c>
      <c r="D378" s="4" t="s">
        <v>8</v>
      </c>
      <c r="E378" s="4" t="s">
        <v>12</v>
      </c>
      <c r="F378" s="4" t="s">
        <v>10</v>
      </c>
      <c r="G378" s="5">
        <v>7021.87</v>
      </c>
      <c r="H378" s="4">
        <f>--AND(OR(Dashboard!$A$10="All",A378=Dashboard!$A$10),OR(Dashboard!$A$14="All",D378=Dashboard!$A$14),OR(Dashboard!$A$18="All",E378=Dashboard!$A$18),OR(Dashboard!$A$22="All",F378=Dashboard!$A$22))</f>
        <v>1</v>
      </c>
    </row>
    <row r="379" spans="1:8" ht="15.75" customHeight="1">
      <c r="A379" s="4">
        <v>2024</v>
      </c>
      <c r="B379" s="4">
        <v>11</v>
      </c>
      <c r="C379" s="4" t="s">
        <v>89</v>
      </c>
      <c r="D379" s="4" t="s">
        <v>8</v>
      </c>
      <c r="E379" s="4" t="s">
        <v>12</v>
      </c>
      <c r="F379" s="4" t="s">
        <v>13</v>
      </c>
      <c r="G379" s="5">
        <v>4255.68</v>
      </c>
      <c r="H379" s="4">
        <f>--AND(OR(Dashboard!$A$10="All",A379=Dashboard!$A$10),OR(Dashboard!$A$14="All",D379=Dashboard!$A$14),OR(Dashboard!$A$18="All",E379=Dashboard!$A$18),OR(Dashboard!$A$22="All",F379=Dashboard!$A$22))</f>
        <v>1</v>
      </c>
    </row>
    <row r="380" spans="1:8" ht="15.75" customHeight="1">
      <c r="A380" s="4">
        <v>2024</v>
      </c>
      <c r="B380" s="4">
        <v>11</v>
      </c>
      <c r="C380" s="4" t="s">
        <v>89</v>
      </c>
      <c r="D380" s="4" t="s">
        <v>11</v>
      </c>
      <c r="E380" s="4" t="s">
        <v>6</v>
      </c>
      <c r="F380" s="4" t="s">
        <v>7</v>
      </c>
      <c r="G380" s="5">
        <v>8580</v>
      </c>
      <c r="H380" s="4">
        <f>--AND(OR(Dashboard!$A$10="All",A380=Dashboard!$A$10),OR(Dashboard!$A$14="All",D380=Dashboard!$A$14),OR(Dashboard!$A$18="All",E380=Dashboard!$A$18),OR(Dashboard!$A$22="All",F380=Dashboard!$A$22))</f>
        <v>1</v>
      </c>
    </row>
    <row r="381" spans="1:8" ht="15.75" customHeight="1">
      <c r="A381" s="4">
        <v>2024</v>
      </c>
      <c r="B381" s="4">
        <v>11</v>
      </c>
      <c r="C381" s="4" t="s">
        <v>89</v>
      </c>
      <c r="D381" s="4" t="s">
        <v>11</v>
      </c>
      <c r="E381" s="4" t="s">
        <v>6</v>
      </c>
      <c r="F381" s="4" t="s">
        <v>10</v>
      </c>
      <c r="G381" s="5">
        <v>5662.8</v>
      </c>
      <c r="H381" s="4">
        <f>--AND(OR(Dashboard!$A$10="All",A381=Dashboard!$A$10),OR(Dashboard!$A$14="All",D381=Dashboard!$A$14),OR(Dashboard!$A$18="All",E381=Dashboard!$A$18),OR(Dashboard!$A$22="All",F381=Dashboard!$A$22))</f>
        <v>1</v>
      </c>
    </row>
    <row r="382" spans="1:8" ht="15.75" customHeight="1">
      <c r="A382" s="4">
        <v>2024</v>
      </c>
      <c r="B382" s="4">
        <v>11</v>
      </c>
      <c r="C382" s="4" t="s">
        <v>89</v>
      </c>
      <c r="D382" s="4" t="s">
        <v>11</v>
      </c>
      <c r="E382" s="4" t="s">
        <v>6</v>
      </c>
      <c r="F382" s="4" t="s">
        <v>13</v>
      </c>
      <c r="G382" s="5">
        <v>3432</v>
      </c>
      <c r="H382" s="4">
        <f>--AND(OR(Dashboard!$A$10="All",A382=Dashboard!$A$10),OR(Dashboard!$A$14="All",D382=Dashboard!$A$14),OR(Dashboard!$A$18="All",E382=Dashboard!$A$18),OR(Dashboard!$A$22="All",F382=Dashboard!$A$22))</f>
        <v>1</v>
      </c>
    </row>
    <row r="383" spans="1:8" ht="15.75" customHeight="1">
      <c r="A383" s="4">
        <v>2024</v>
      </c>
      <c r="B383" s="4">
        <v>11</v>
      </c>
      <c r="C383" s="4" t="s">
        <v>89</v>
      </c>
      <c r="D383" s="4" t="s">
        <v>11</v>
      </c>
      <c r="E383" s="4" t="s">
        <v>9</v>
      </c>
      <c r="F383" s="4" t="s">
        <v>7</v>
      </c>
      <c r="G383" s="5">
        <v>5491.2</v>
      </c>
      <c r="H383" s="4">
        <f>--AND(OR(Dashboard!$A$10="All",A383=Dashboard!$A$10),OR(Dashboard!$A$14="All",D383=Dashboard!$A$14),OR(Dashboard!$A$18="All",E383=Dashboard!$A$18),OR(Dashboard!$A$22="All",F383=Dashboard!$A$22))</f>
        <v>1</v>
      </c>
    </row>
    <row r="384" spans="1:8" ht="15.75" customHeight="1">
      <c r="A384" s="4">
        <v>2024</v>
      </c>
      <c r="B384" s="4">
        <v>11</v>
      </c>
      <c r="C384" s="4" t="s">
        <v>89</v>
      </c>
      <c r="D384" s="4" t="s">
        <v>11</v>
      </c>
      <c r="E384" s="4" t="s">
        <v>9</v>
      </c>
      <c r="F384" s="4" t="s">
        <v>10</v>
      </c>
      <c r="G384" s="5">
        <v>3624.19</v>
      </c>
      <c r="H384" s="4">
        <f>--AND(OR(Dashboard!$A$10="All",A384=Dashboard!$A$10),OR(Dashboard!$A$14="All",D384=Dashboard!$A$14),OR(Dashboard!$A$18="All",E384=Dashboard!$A$18),OR(Dashboard!$A$22="All",F384=Dashboard!$A$22))</f>
        <v>1</v>
      </c>
    </row>
    <row r="385" spans="1:8" ht="15.75" customHeight="1">
      <c r="A385" s="4">
        <v>2024</v>
      </c>
      <c r="B385" s="4">
        <v>11</v>
      </c>
      <c r="C385" s="4" t="s">
        <v>89</v>
      </c>
      <c r="D385" s="4" t="s">
        <v>11</v>
      </c>
      <c r="E385" s="4" t="s">
        <v>9</v>
      </c>
      <c r="F385" s="4" t="s">
        <v>13</v>
      </c>
      <c r="G385" s="5">
        <v>2196.48</v>
      </c>
      <c r="H385" s="4">
        <f>--AND(OR(Dashboard!$A$10="All",A385=Dashboard!$A$10),OR(Dashboard!$A$14="All",D385=Dashboard!$A$14),OR(Dashboard!$A$18="All",E385=Dashboard!$A$18),OR(Dashboard!$A$22="All",F385=Dashboard!$A$22))</f>
        <v>1</v>
      </c>
    </row>
    <row r="386" spans="1:8" ht="15.75" customHeight="1">
      <c r="A386" s="4">
        <v>2024</v>
      </c>
      <c r="B386" s="4">
        <v>11</v>
      </c>
      <c r="C386" s="4" t="s">
        <v>89</v>
      </c>
      <c r="D386" s="4" t="s">
        <v>11</v>
      </c>
      <c r="E386" s="4" t="s">
        <v>12</v>
      </c>
      <c r="F386" s="4" t="s">
        <v>7</v>
      </c>
      <c r="G386" s="5">
        <v>7550.4</v>
      </c>
      <c r="H386" s="4">
        <f>--AND(OR(Dashboard!$A$10="All",A386=Dashboard!$A$10),OR(Dashboard!$A$14="All",D386=Dashboard!$A$14),OR(Dashboard!$A$18="All",E386=Dashboard!$A$18),OR(Dashboard!$A$22="All",F386=Dashboard!$A$22))</f>
        <v>1</v>
      </c>
    </row>
    <row r="387" spans="1:8" ht="15.75" customHeight="1">
      <c r="A387" s="4">
        <v>2024</v>
      </c>
      <c r="B387" s="4">
        <v>11</v>
      </c>
      <c r="C387" s="4" t="s">
        <v>89</v>
      </c>
      <c r="D387" s="4" t="s">
        <v>11</v>
      </c>
      <c r="E387" s="4" t="s">
        <v>12</v>
      </c>
      <c r="F387" s="4" t="s">
        <v>10</v>
      </c>
      <c r="G387" s="5">
        <v>4983.26</v>
      </c>
      <c r="H387" s="4">
        <f>--AND(OR(Dashboard!$A$10="All",A387=Dashboard!$A$10),OR(Dashboard!$A$14="All",D387=Dashboard!$A$14),OR(Dashboard!$A$18="All",E387=Dashboard!$A$18),OR(Dashboard!$A$22="All",F387=Dashboard!$A$22))</f>
        <v>1</v>
      </c>
    </row>
    <row r="388" spans="1:8" ht="15.75" customHeight="1">
      <c r="A388" s="4">
        <v>2024</v>
      </c>
      <c r="B388" s="4">
        <v>11</v>
      </c>
      <c r="C388" s="4" t="s">
        <v>89</v>
      </c>
      <c r="D388" s="4" t="s">
        <v>11</v>
      </c>
      <c r="E388" s="4" t="s">
        <v>12</v>
      </c>
      <c r="F388" s="4" t="s">
        <v>13</v>
      </c>
      <c r="G388" s="5">
        <v>3020.16</v>
      </c>
      <c r="H388" s="4">
        <f>--AND(OR(Dashboard!$A$10="All",A388=Dashboard!$A$10),OR(Dashboard!$A$14="All",D388=Dashboard!$A$14),OR(Dashboard!$A$18="All",E388=Dashboard!$A$18),OR(Dashboard!$A$22="All",F388=Dashboard!$A$22))</f>
        <v>1</v>
      </c>
    </row>
    <row r="389" spans="1:8" ht="15.75" customHeight="1">
      <c r="A389" s="4">
        <v>2024</v>
      </c>
      <c r="B389" s="4">
        <v>11</v>
      </c>
      <c r="C389" s="4" t="s">
        <v>89</v>
      </c>
      <c r="D389" s="4" t="s">
        <v>14</v>
      </c>
      <c r="E389" s="4" t="s">
        <v>6</v>
      </c>
      <c r="F389" s="4" t="s">
        <v>7</v>
      </c>
      <c r="G389" s="5">
        <v>5850</v>
      </c>
      <c r="H389" s="4">
        <f>--AND(OR(Dashboard!$A$10="All",A389=Dashboard!$A$10),OR(Dashboard!$A$14="All",D389=Dashboard!$A$14),OR(Dashboard!$A$18="All",E389=Dashboard!$A$18),OR(Dashboard!$A$22="All",F389=Dashboard!$A$22))</f>
        <v>1</v>
      </c>
    </row>
    <row r="390" spans="1:8" ht="15.75" customHeight="1">
      <c r="A390" s="4">
        <v>2024</v>
      </c>
      <c r="B390" s="4">
        <v>11</v>
      </c>
      <c r="C390" s="4" t="s">
        <v>89</v>
      </c>
      <c r="D390" s="4" t="s">
        <v>14</v>
      </c>
      <c r="E390" s="4" t="s">
        <v>6</v>
      </c>
      <c r="F390" s="4" t="s">
        <v>10</v>
      </c>
      <c r="G390" s="5">
        <v>3861</v>
      </c>
      <c r="H390" s="4">
        <f>--AND(OR(Dashboard!$A$10="All",A390=Dashboard!$A$10),OR(Dashboard!$A$14="All",D390=Dashboard!$A$14),OR(Dashboard!$A$18="All",E390=Dashboard!$A$18),OR(Dashboard!$A$22="All",F390=Dashboard!$A$22))</f>
        <v>1</v>
      </c>
    </row>
    <row r="391" spans="1:8" ht="15.75" customHeight="1">
      <c r="A391" s="4">
        <v>2024</v>
      </c>
      <c r="B391" s="4">
        <v>11</v>
      </c>
      <c r="C391" s="4" t="s">
        <v>89</v>
      </c>
      <c r="D391" s="4" t="s">
        <v>14</v>
      </c>
      <c r="E391" s="4" t="s">
        <v>6</v>
      </c>
      <c r="F391" s="4" t="s">
        <v>13</v>
      </c>
      <c r="G391" s="5">
        <v>2340</v>
      </c>
      <c r="H391" s="4">
        <f>--AND(OR(Dashboard!$A$10="All",A391=Dashboard!$A$10),OR(Dashboard!$A$14="All",D391=Dashboard!$A$14),OR(Dashboard!$A$18="All",E391=Dashboard!$A$18),OR(Dashboard!$A$22="All",F391=Dashboard!$A$22))</f>
        <v>1</v>
      </c>
    </row>
    <row r="392" spans="1:8" ht="15.75" customHeight="1">
      <c r="A392" s="4">
        <v>2024</v>
      </c>
      <c r="B392" s="4">
        <v>11</v>
      </c>
      <c r="C392" s="4" t="s">
        <v>89</v>
      </c>
      <c r="D392" s="4" t="s">
        <v>14</v>
      </c>
      <c r="E392" s="4" t="s">
        <v>9</v>
      </c>
      <c r="F392" s="4" t="s">
        <v>7</v>
      </c>
      <c r="G392" s="5">
        <v>3744</v>
      </c>
      <c r="H392" s="4">
        <f>--AND(OR(Dashboard!$A$10="All",A392=Dashboard!$A$10),OR(Dashboard!$A$14="All",D392=Dashboard!$A$14),OR(Dashboard!$A$18="All",E392=Dashboard!$A$18),OR(Dashboard!$A$22="All",F392=Dashboard!$A$22))</f>
        <v>1</v>
      </c>
    </row>
    <row r="393" spans="1:8" ht="15.75" customHeight="1">
      <c r="A393" s="4">
        <v>2024</v>
      </c>
      <c r="B393" s="4">
        <v>11</v>
      </c>
      <c r="C393" s="4" t="s">
        <v>89</v>
      </c>
      <c r="D393" s="4" t="s">
        <v>14</v>
      </c>
      <c r="E393" s="4" t="s">
        <v>9</v>
      </c>
      <c r="F393" s="4" t="s">
        <v>10</v>
      </c>
      <c r="G393" s="5">
        <v>2471.04</v>
      </c>
      <c r="H393" s="4">
        <f>--AND(OR(Dashboard!$A$10="All",A393=Dashboard!$A$10),OR(Dashboard!$A$14="All",D393=Dashboard!$A$14),OR(Dashboard!$A$18="All",E393=Dashboard!$A$18),OR(Dashboard!$A$22="All",F393=Dashboard!$A$22))</f>
        <v>1</v>
      </c>
    </row>
    <row r="394" spans="1:8" ht="15.75" customHeight="1">
      <c r="A394" s="4">
        <v>2024</v>
      </c>
      <c r="B394" s="4">
        <v>11</v>
      </c>
      <c r="C394" s="4" t="s">
        <v>89</v>
      </c>
      <c r="D394" s="4" t="s">
        <v>14</v>
      </c>
      <c r="E394" s="4" t="s">
        <v>9</v>
      </c>
      <c r="F394" s="4" t="s">
        <v>13</v>
      </c>
      <c r="G394" s="5">
        <v>1497.6</v>
      </c>
      <c r="H394" s="4">
        <f>--AND(OR(Dashboard!$A$10="All",A394=Dashboard!$A$10),OR(Dashboard!$A$14="All",D394=Dashboard!$A$14),OR(Dashboard!$A$18="All",E394=Dashboard!$A$18),OR(Dashboard!$A$22="All",F394=Dashboard!$A$22))</f>
        <v>1</v>
      </c>
    </row>
    <row r="395" spans="1:8" ht="15.75" customHeight="1">
      <c r="A395" s="4">
        <v>2024</v>
      </c>
      <c r="B395" s="4">
        <v>11</v>
      </c>
      <c r="C395" s="4" t="s">
        <v>89</v>
      </c>
      <c r="D395" s="4" t="s">
        <v>14</v>
      </c>
      <c r="E395" s="4" t="s">
        <v>12</v>
      </c>
      <c r="F395" s="4" t="s">
        <v>7</v>
      </c>
      <c r="G395" s="5">
        <v>5148</v>
      </c>
      <c r="H395" s="4">
        <f>--AND(OR(Dashboard!$A$10="All",A395=Dashboard!$A$10),OR(Dashboard!$A$14="All",D395=Dashboard!$A$14),OR(Dashboard!$A$18="All",E395=Dashboard!$A$18),OR(Dashboard!$A$22="All",F395=Dashboard!$A$22))</f>
        <v>1</v>
      </c>
    </row>
    <row r="396" spans="1:8" ht="15.75" customHeight="1">
      <c r="A396" s="4">
        <v>2024</v>
      </c>
      <c r="B396" s="4">
        <v>11</v>
      </c>
      <c r="C396" s="4" t="s">
        <v>89</v>
      </c>
      <c r="D396" s="4" t="s">
        <v>14</v>
      </c>
      <c r="E396" s="4" t="s">
        <v>12</v>
      </c>
      <c r="F396" s="4" t="s">
        <v>10</v>
      </c>
      <c r="G396" s="5">
        <v>3397.68</v>
      </c>
      <c r="H396" s="4">
        <f>--AND(OR(Dashboard!$A$10="All",A396=Dashboard!$A$10),OR(Dashboard!$A$14="All",D396=Dashboard!$A$14),OR(Dashboard!$A$18="All",E396=Dashboard!$A$18),OR(Dashboard!$A$22="All",F396=Dashboard!$A$22))</f>
        <v>1</v>
      </c>
    </row>
    <row r="397" spans="1:8" ht="15.75" customHeight="1">
      <c r="A397" s="4">
        <v>2024</v>
      </c>
      <c r="B397" s="4">
        <v>11</v>
      </c>
      <c r="C397" s="4" t="s">
        <v>89</v>
      </c>
      <c r="D397" s="4" t="s">
        <v>14</v>
      </c>
      <c r="E397" s="4" t="s">
        <v>12</v>
      </c>
      <c r="F397" s="4" t="s">
        <v>13</v>
      </c>
      <c r="G397" s="5">
        <v>2059.1999999999998</v>
      </c>
      <c r="H397" s="4">
        <f>--AND(OR(Dashboard!$A$10="All",A397=Dashboard!$A$10),OR(Dashboard!$A$14="All",D397=Dashboard!$A$14),OR(Dashboard!$A$18="All",E397=Dashboard!$A$18),OR(Dashboard!$A$22="All",F397=Dashboard!$A$22))</f>
        <v>1</v>
      </c>
    </row>
    <row r="398" spans="1:8" ht="15.75" customHeight="1">
      <c r="A398" s="4">
        <v>2024</v>
      </c>
      <c r="B398" s="4">
        <v>12</v>
      </c>
      <c r="C398" s="4" t="s">
        <v>57</v>
      </c>
      <c r="D398" s="4" t="s">
        <v>5</v>
      </c>
      <c r="E398" s="4" t="s">
        <v>6</v>
      </c>
      <c r="F398" s="4" t="s">
        <v>7</v>
      </c>
      <c r="G398" s="5">
        <v>19500</v>
      </c>
      <c r="H398" s="4">
        <f>--AND(OR(Dashboard!$A$10="All",A398=Dashboard!$A$10),OR(Dashboard!$A$14="All",D398=Dashboard!$A$14),OR(Dashboard!$A$18="All",E398=Dashboard!$A$18),OR(Dashboard!$A$22="All",F398=Dashboard!$A$22))</f>
        <v>1</v>
      </c>
    </row>
    <row r="399" spans="1:8" ht="15.75" customHeight="1">
      <c r="A399" s="4">
        <v>2024</v>
      </c>
      <c r="B399" s="4">
        <v>12</v>
      </c>
      <c r="C399" s="4" t="s">
        <v>57</v>
      </c>
      <c r="D399" s="4" t="s">
        <v>5</v>
      </c>
      <c r="E399" s="4" t="s">
        <v>6</v>
      </c>
      <c r="F399" s="4" t="s">
        <v>10</v>
      </c>
      <c r="G399" s="5">
        <v>12870</v>
      </c>
      <c r="H399" s="4">
        <f>--AND(OR(Dashboard!$A$10="All",A399=Dashboard!$A$10),OR(Dashboard!$A$14="All",D399=Dashboard!$A$14),OR(Dashboard!$A$18="All",E399=Dashboard!$A$18),OR(Dashboard!$A$22="All",F399=Dashboard!$A$22))</f>
        <v>1</v>
      </c>
    </row>
    <row r="400" spans="1:8" ht="15.75" customHeight="1">
      <c r="A400" s="4">
        <v>2024</v>
      </c>
      <c r="B400" s="4">
        <v>12</v>
      </c>
      <c r="C400" s="4" t="s">
        <v>57</v>
      </c>
      <c r="D400" s="4" t="s">
        <v>5</v>
      </c>
      <c r="E400" s="4" t="s">
        <v>6</v>
      </c>
      <c r="F400" s="4" t="s">
        <v>13</v>
      </c>
      <c r="G400" s="5">
        <v>7800</v>
      </c>
      <c r="H400" s="4">
        <f>--AND(OR(Dashboard!$A$10="All",A400=Dashboard!$A$10),OR(Dashboard!$A$14="All",D400=Dashboard!$A$14),OR(Dashboard!$A$18="All",E400=Dashboard!$A$18),OR(Dashboard!$A$22="All",F400=Dashboard!$A$22))</f>
        <v>1</v>
      </c>
    </row>
    <row r="401" spans="1:8" ht="15.75" customHeight="1">
      <c r="A401" s="4">
        <v>2024</v>
      </c>
      <c r="B401" s="4">
        <v>12</v>
      </c>
      <c r="C401" s="4" t="s">
        <v>57</v>
      </c>
      <c r="D401" s="4" t="s">
        <v>5</v>
      </c>
      <c r="E401" s="4" t="s">
        <v>9</v>
      </c>
      <c r="F401" s="4" t="s">
        <v>7</v>
      </c>
      <c r="G401" s="5">
        <v>12480</v>
      </c>
      <c r="H401" s="4">
        <f>--AND(OR(Dashboard!$A$10="All",A401=Dashboard!$A$10),OR(Dashboard!$A$14="All",D401=Dashboard!$A$14),OR(Dashboard!$A$18="All",E401=Dashboard!$A$18),OR(Dashboard!$A$22="All",F401=Dashboard!$A$22))</f>
        <v>1</v>
      </c>
    </row>
    <row r="402" spans="1:8" ht="15.75" customHeight="1">
      <c r="A402" s="4">
        <v>2024</v>
      </c>
      <c r="B402" s="4">
        <v>12</v>
      </c>
      <c r="C402" s="4" t="s">
        <v>57</v>
      </c>
      <c r="D402" s="4" t="s">
        <v>5</v>
      </c>
      <c r="E402" s="4" t="s">
        <v>9</v>
      </c>
      <c r="F402" s="4" t="s">
        <v>10</v>
      </c>
      <c r="G402" s="5">
        <v>8236.7999999999993</v>
      </c>
      <c r="H402" s="4">
        <f>--AND(OR(Dashboard!$A$10="All",A402=Dashboard!$A$10),OR(Dashboard!$A$14="All",D402=Dashboard!$A$14),OR(Dashboard!$A$18="All",E402=Dashboard!$A$18),OR(Dashboard!$A$22="All",F402=Dashboard!$A$22))</f>
        <v>1</v>
      </c>
    </row>
    <row r="403" spans="1:8" ht="15.75" customHeight="1">
      <c r="A403" s="4">
        <v>2024</v>
      </c>
      <c r="B403" s="4">
        <v>12</v>
      </c>
      <c r="C403" s="4" t="s">
        <v>57</v>
      </c>
      <c r="D403" s="4" t="s">
        <v>5</v>
      </c>
      <c r="E403" s="4" t="s">
        <v>9</v>
      </c>
      <c r="F403" s="4" t="s">
        <v>13</v>
      </c>
      <c r="G403" s="5">
        <v>4992</v>
      </c>
      <c r="H403" s="4">
        <f>--AND(OR(Dashboard!$A$10="All",A403=Dashboard!$A$10),OR(Dashboard!$A$14="All",D403=Dashboard!$A$14),OR(Dashboard!$A$18="All",E403=Dashboard!$A$18),OR(Dashboard!$A$22="All",F403=Dashboard!$A$22))</f>
        <v>1</v>
      </c>
    </row>
    <row r="404" spans="1:8" ht="15.75" customHeight="1">
      <c r="A404" s="4">
        <v>2024</v>
      </c>
      <c r="B404" s="4">
        <v>12</v>
      </c>
      <c r="C404" s="4" t="s">
        <v>57</v>
      </c>
      <c r="D404" s="4" t="s">
        <v>5</v>
      </c>
      <c r="E404" s="4" t="s">
        <v>12</v>
      </c>
      <c r="F404" s="4" t="s">
        <v>7</v>
      </c>
      <c r="G404" s="5">
        <v>17160</v>
      </c>
      <c r="H404" s="4">
        <f>--AND(OR(Dashboard!$A$10="All",A404=Dashboard!$A$10),OR(Dashboard!$A$14="All",D404=Dashboard!$A$14),OR(Dashboard!$A$18="All",E404=Dashboard!$A$18),OR(Dashboard!$A$22="All",F404=Dashboard!$A$22))</f>
        <v>1</v>
      </c>
    </row>
    <row r="405" spans="1:8" ht="15.75" customHeight="1">
      <c r="A405" s="4">
        <v>2024</v>
      </c>
      <c r="B405" s="4">
        <v>12</v>
      </c>
      <c r="C405" s="4" t="s">
        <v>57</v>
      </c>
      <c r="D405" s="4" t="s">
        <v>5</v>
      </c>
      <c r="E405" s="4" t="s">
        <v>12</v>
      </c>
      <c r="F405" s="4" t="s">
        <v>10</v>
      </c>
      <c r="G405" s="5">
        <v>11325.6</v>
      </c>
      <c r="H405" s="4">
        <f>--AND(OR(Dashboard!$A$10="All",A405=Dashboard!$A$10),OR(Dashboard!$A$14="All",D405=Dashboard!$A$14),OR(Dashboard!$A$18="All",E405=Dashboard!$A$18),OR(Dashboard!$A$22="All",F405=Dashboard!$A$22))</f>
        <v>1</v>
      </c>
    </row>
    <row r="406" spans="1:8" ht="15.75" customHeight="1">
      <c r="A406" s="4">
        <v>2024</v>
      </c>
      <c r="B406" s="4">
        <v>12</v>
      </c>
      <c r="C406" s="4" t="s">
        <v>57</v>
      </c>
      <c r="D406" s="4" t="s">
        <v>5</v>
      </c>
      <c r="E406" s="4" t="s">
        <v>12</v>
      </c>
      <c r="F406" s="4" t="s">
        <v>13</v>
      </c>
      <c r="G406" s="5">
        <v>6864</v>
      </c>
      <c r="H406" s="4">
        <f>--AND(OR(Dashboard!$A$10="All",A406=Dashboard!$A$10),OR(Dashboard!$A$14="All",D406=Dashboard!$A$14),OR(Dashboard!$A$18="All",E406=Dashboard!$A$18),OR(Dashboard!$A$22="All",F406=Dashboard!$A$22))</f>
        <v>1</v>
      </c>
    </row>
    <row r="407" spans="1:8" ht="15.75" customHeight="1">
      <c r="A407" s="4">
        <v>2024</v>
      </c>
      <c r="B407" s="4">
        <v>12</v>
      </c>
      <c r="C407" s="4" t="s">
        <v>57</v>
      </c>
      <c r="D407" s="4" t="s">
        <v>8</v>
      </c>
      <c r="E407" s="4" t="s">
        <v>6</v>
      </c>
      <c r="F407" s="4" t="s">
        <v>7</v>
      </c>
      <c r="G407" s="5">
        <v>12090</v>
      </c>
      <c r="H407" s="4">
        <f>--AND(OR(Dashboard!$A$10="All",A407=Dashboard!$A$10),OR(Dashboard!$A$14="All",D407=Dashboard!$A$14),OR(Dashboard!$A$18="All",E407=Dashboard!$A$18),OR(Dashboard!$A$22="All",F407=Dashboard!$A$22))</f>
        <v>1</v>
      </c>
    </row>
    <row r="408" spans="1:8" ht="15.75" customHeight="1">
      <c r="A408" s="4">
        <v>2024</v>
      </c>
      <c r="B408" s="4">
        <v>12</v>
      </c>
      <c r="C408" s="4" t="s">
        <v>57</v>
      </c>
      <c r="D408" s="4" t="s">
        <v>8</v>
      </c>
      <c r="E408" s="4" t="s">
        <v>6</v>
      </c>
      <c r="F408" s="4" t="s">
        <v>10</v>
      </c>
      <c r="G408" s="5">
        <v>7979.4</v>
      </c>
      <c r="H408" s="4">
        <f>--AND(OR(Dashboard!$A$10="All",A408=Dashboard!$A$10),OR(Dashboard!$A$14="All",D408=Dashboard!$A$14),OR(Dashboard!$A$18="All",E408=Dashboard!$A$18),OR(Dashboard!$A$22="All",F408=Dashboard!$A$22))</f>
        <v>1</v>
      </c>
    </row>
    <row r="409" spans="1:8" ht="15.75" customHeight="1">
      <c r="A409" s="4">
        <v>2024</v>
      </c>
      <c r="B409" s="4">
        <v>12</v>
      </c>
      <c r="C409" s="4" t="s">
        <v>57</v>
      </c>
      <c r="D409" s="4" t="s">
        <v>8</v>
      </c>
      <c r="E409" s="4" t="s">
        <v>6</v>
      </c>
      <c r="F409" s="4" t="s">
        <v>13</v>
      </c>
      <c r="G409" s="5">
        <v>4836</v>
      </c>
      <c r="H409" s="4">
        <f>--AND(OR(Dashboard!$A$10="All",A409=Dashboard!$A$10),OR(Dashboard!$A$14="All",D409=Dashboard!$A$14),OR(Dashboard!$A$18="All",E409=Dashboard!$A$18),OR(Dashboard!$A$22="All",F409=Dashboard!$A$22))</f>
        <v>1</v>
      </c>
    </row>
    <row r="410" spans="1:8" ht="15.75" customHeight="1">
      <c r="A410" s="4">
        <v>2024</v>
      </c>
      <c r="B410" s="4">
        <v>12</v>
      </c>
      <c r="C410" s="4" t="s">
        <v>57</v>
      </c>
      <c r="D410" s="4" t="s">
        <v>8</v>
      </c>
      <c r="E410" s="4" t="s">
        <v>9</v>
      </c>
      <c r="F410" s="4" t="s">
        <v>7</v>
      </c>
      <c r="G410" s="5">
        <v>7737.6</v>
      </c>
      <c r="H410" s="4">
        <f>--AND(OR(Dashboard!$A$10="All",A410=Dashboard!$A$10),OR(Dashboard!$A$14="All",D410=Dashboard!$A$14),OR(Dashboard!$A$18="All",E410=Dashboard!$A$18),OR(Dashboard!$A$22="All",F410=Dashboard!$A$22))</f>
        <v>1</v>
      </c>
    </row>
    <row r="411" spans="1:8" ht="15.75" customHeight="1">
      <c r="A411" s="4">
        <v>2024</v>
      </c>
      <c r="B411" s="4">
        <v>12</v>
      </c>
      <c r="C411" s="4" t="s">
        <v>57</v>
      </c>
      <c r="D411" s="4" t="s">
        <v>8</v>
      </c>
      <c r="E411" s="4" t="s">
        <v>9</v>
      </c>
      <c r="F411" s="4" t="s">
        <v>10</v>
      </c>
      <c r="G411" s="5">
        <v>5106.82</v>
      </c>
      <c r="H411" s="4">
        <f>--AND(OR(Dashboard!$A$10="All",A411=Dashboard!$A$10),OR(Dashboard!$A$14="All",D411=Dashboard!$A$14),OR(Dashboard!$A$18="All",E411=Dashboard!$A$18),OR(Dashboard!$A$22="All",F411=Dashboard!$A$22))</f>
        <v>1</v>
      </c>
    </row>
    <row r="412" spans="1:8" ht="15.75" customHeight="1">
      <c r="A412" s="4">
        <v>2024</v>
      </c>
      <c r="B412" s="4">
        <v>12</v>
      </c>
      <c r="C412" s="4" t="s">
        <v>57</v>
      </c>
      <c r="D412" s="4" t="s">
        <v>8</v>
      </c>
      <c r="E412" s="4" t="s">
        <v>9</v>
      </c>
      <c r="F412" s="4" t="s">
        <v>13</v>
      </c>
      <c r="G412" s="5">
        <v>3095.04</v>
      </c>
      <c r="H412" s="4">
        <f>--AND(OR(Dashboard!$A$10="All",A412=Dashboard!$A$10),OR(Dashboard!$A$14="All",D412=Dashboard!$A$14),OR(Dashboard!$A$18="All",E412=Dashboard!$A$18),OR(Dashboard!$A$22="All",F412=Dashboard!$A$22))</f>
        <v>1</v>
      </c>
    </row>
    <row r="413" spans="1:8" ht="15.75" customHeight="1">
      <c r="A413" s="4">
        <v>2024</v>
      </c>
      <c r="B413" s="4">
        <v>12</v>
      </c>
      <c r="C413" s="4" t="s">
        <v>57</v>
      </c>
      <c r="D413" s="4" t="s">
        <v>8</v>
      </c>
      <c r="E413" s="4" t="s">
        <v>12</v>
      </c>
      <c r="F413" s="4" t="s">
        <v>7</v>
      </c>
      <c r="G413" s="5">
        <v>10639.2</v>
      </c>
      <c r="H413" s="4">
        <f>--AND(OR(Dashboard!$A$10="All",A413=Dashboard!$A$10),OR(Dashboard!$A$14="All",D413=Dashboard!$A$14),OR(Dashboard!$A$18="All",E413=Dashboard!$A$18),OR(Dashboard!$A$22="All",F413=Dashboard!$A$22))</f>
        <v>1</v>
      </c>
    </row>
    <row r="414" spans="1:8" ht="15.75" customHeight="1">
      <c r="A414" s="4">
        <v>2024</v>
      </c>
      <c r="B414" s="4">
        <v>12</v>
      </c>
      <c r="C414" s="4" t="s">
        <v>57</v>
      </c>
      <c r="D414" s="4" t="s">
        <v>8</v>
      </c>
      <c r="E414" s="4" t="s">
        <v>12</v>
      </c>
      <c r="F414" s="4" t="s">
        <v>10</v>
      </c>
      <c r="G414" s="5">
        <v>7021.87</v>
      </c>
      <c r="H414" s="4">
        <f>--AND(OR(Dashboard!$A$10="All",A414=Dashboard!$A$10),OR(Dashboard!$A$14="All",D414=Dashboard!$A$14),OR(Dashboard!$A$18="All",E414=Dashboard!$A$18),OR(Dashboard!$A$22="All",F414=Dashboard!$A$22))</f>
        <v>1</v>
      </c>
    </row>
    <row r="415" spans="1:8" ht="15.75" customHeight="1">
      <c r="A415" s="4">
        <v>2024</v>
      </c>
      <c r="B415" s="4">
        <v>12</v>
      </c>
      <c r="C415" s="4" t="s">
        <v>57</v>
      </c>
      <c r="D415" s="4" t="s">
        <v>8</v>
      </c>
      <c r="E415" s="4" t="s">
        <v>12</v>
      </c>
      <c r="F415" s="4" t="s">
        <v>13</v>
      </c>
      <c r="G415" s="5">
        <v>4255.68</v>
      </c>
      <c r="H415" s="4">
        <f>--AND(OR(Dashboard!$A$10="All",A415=Dashboard!$A$10),OR(Dashboard!$A$14="All",D415=Dashboard!$A$14),OR(Dashboard!$A$18="All",E415=Dashboard!$A$18),OR(Dashboard!$A$22="All",F415=Dashboard!$A$22))</f>
        <v>1</v>
      </c>
    </row>
    <row r="416" spans="1:8" ht="15.75" customHeight="1">
      <c r="A416" s="4">
        <v>2024</v>
      </c>
      <c r="B416" s="4">
        <v>12</v>
      </c>
      <c r="C416" s="4" t="s">
        <v>57</v>
      </c>
      <c r="D416" s="4" t="s">
        <v>11</v>
      </c>
      <c r="E416" s="4" t="s">
        <v>6</v>
      </c>
      <c r="F416" s="4" t="s">
        <v>7</v>
      </c>
      <c r="G416" s="5">
        <v>8580</v>
      </c>
      <c r="H416" s="4">
        <f>--AND(OR(Dashboard!$A$10="All",A416=Dashboard!$A$10),OR(Dashboard!$A$14="All",D416=Dashboard!$A$14),OR(Dashboard!$A$18="All",E416=Dashboard!$A$18),OR(Dashboard!$A$22="All",F416=Dashboard!$A$22))</f>
        <v>1</v>
      </c>
    </row>
    <row r="417" spans="1:8" ht="15.75" customHeight="1">
      <c r="A417" s="4">
        <v>2024</v>
      </c>
      <c r="B417" s="4">
        <v>12</v>
      </c>
      <c r="C417" s="4" t="s">
        <v>57</v>
      </c>
      <c r="D417" s="4" t="s">
        <v>11</v>
      </c>
      <c r="E417" s="4" t="s">
        <v>6</v>
      </c>
      <c r="F417" s="4" t="s">
        <v>10</v>
      </c>
      <c r="G417" s="5">
        <v>5662.8</v>
      </c>
      <c r="H417" s="4">
        <f>--AND(OR(Dashboard!$A$10="All",A417=Dashboard!$A$10),OR(Dashboard!$A$14="All",D417=Dashboard!$A$14),OR(Dashboard!$A$18="All",E417=Dashboard!$A$18),OR(Dashboard!$A$22="All",F417=Dashboard!$A$22))</f>
        <v>1</v>
      </c>
    </row>
    <row r="418" spans="1:8" ht="15.75" customHeight="1">
      <c r="A418" s="4">
        <v>2024</v>
      </c>
      <c r="B418" s="4">
        <v>12</v>
      </c>
      <c r="C418" s="4" t="s">
        <v>57</v>
      </c>
      <c r="D418" s="4" t="s">
        <v>11</v>
      </c>
      <c r="E418" s="4" t="s">
        <v>6</v>
      </c>
      <c r="F418" s="4" t="s">
        <v>13</v>
      </c>
      <c r="G418" s="5">
        <v>3432</v>
      </c>
      <c r="H418" s="4">
        <f>--AND(OR(Dashboard!$A$10="All",A418=Dashboard!$A$10),OR(Dashboard!$A$14="All",D418=Dashboard!$A$14),OR(Dashboard!$A$18="All",E418=Dashboard!$A$18),OR(Dashboard!$A$22="All",F418=Dashboard!$A$22))</f>
        <v>1</v>
      </c>
    </row>
    <row r="419" spans="1:8" ht="15.75" customHeight="1">
      <c r="A419" s="4">
        <v>2024</v>
      </c>
      <c r="B419" s="4">
        <v>12</v>
      </c>
      <c r="C419" s="4" t="s">
        <v>57</v>
      </c>
      <c r="D419" s="4" t="s">
        <v>11</v>
      </c>
      <c r="E419" s="4" t="s">
        <v>9</v>
      </c>
      <c r="F419" s="4" t="s">
        <v>7</v>
      </c>
      <c r="G419" s="5">
        <v>5491.2</v>
      </c>
      <c r="H419" s="4">
        <f>--AND(OR(Dashboard!$A$10="All",A419=Dashboard!$A$10),OR(Dashboard!$A$14="All",D419=Dashboard!$A$14),OR(Dashboard!$A$18="All",E419=Dashboard!$A$18),OR(Dashboard!$A$22="All",F419=Dashboard!$A$22))</f>
        <v>1</v>
      </c>
    </row>
    <row r="420" spans="1:8" ht="15.75" customHeight="1">
      <c r="A420" s="4">
        <v>2024</v>
      </c>
      <c r="B420" s="4">
        <v>12</v>
      </c>
      <c r="C420" s="4" t="s">
        <v>57</v>
      </c>
      <c r="D420" s="4" t="s">
        <v>11</v>
      </c>
      <c r="E420" s="4" t="s">
        <v>9</v>
      </c>
      <c r="F420" s="4" t="s">
        <v>10</v>
      </c>
      <c r="G420" s="5">
        <v>3624.19</v>
      </c>
      <c r="H420" s="4">
        <f>--AND(OR(Dashboard!$A$10="All",A420=Dashboard!$A$10),OR(Dashboard!$A$14="All",D420=Dashboard!$A$14),OR(Dashboard!$A$18="All",E420=Dashboard!$A$18),OR(Dashboard!$A$22="All",F420=Dashboard!$A$22))</f>
        <v>1</v>
      </c>
    </row>
    <row r="421" spans="1:8" ht="15.75" customHeight="1">
      <c r="A421" s="4">
        <v>2024</v>
      </c>
      <c r="B421" s="4">
        <v>12</v>
      </c>
      <c r="C421" s="4" t="s">
        <v>57</v>
      </c>
      <c r="D421" s="4" t="s">
        <v>11</v>
      </c>
      <c r="E421" s="4" t="s">
        <v>9</v>
      </c>
      <c r="F421" s="4" t="s">
        <v>13</v>
      </c>
      <c r="G421" s="5">
        <v>2196.48</v>
      </c>
      <c r="H421" s="4">
        <f>--AND(OR(Dashboard!$A$10="All",A421=Dashboard!$A$10),OR(Dashboard!$A$14="All",D421=Dashboard!$A$14),OR(Dashboard!$A$18="All",E421=Dashboard!$A$18),OR(Dashboard!$A$22="All",F421=Dashboard!$A$22))</f>
        <v>1</v>
      </c>
    </row>
    <row r="422" spans="1:8" ht="15.75" customHeight="1">
      <c r="A422" s="4">
        <v>2024</v>
      </c>
      <c r="B422" s="4">
        <v>12</v>
      </c>
      <c r="C422" s="4" t="s">
        <v>57</v>
      </c>
      <c r="D422" s="4" t="s">
        <v>11</v>
      </c>
      <c r="E422" s="4" t="s">
        <v>12</v>
      </c>
      <c r="F422" s="4" t="s">
        <v>7</v>
      </c>
      <c r="G422" s="5">
        <v>7550.4</v>
      </c>
      <c r="H422" s="4">
        <f>--AND(OR(Dashboard!$A$10="All",A422=Dashboard!$A$10),OR(Dashboard!$A$14="All",D422=Dashboard!$A$14),OR(Dashboard!$A$18="All",E422=Dashboard!$A$18),OR(Dashboard!$A$22="All",F422=Dashboard!$A$22))</f>
        <v>1</v>
      </c>
    </row>
    <row r="423" spans="1:8" ht="15.75" customHeight="1">
      <c r="A423" s="4">
        <v>2024</v>
      </c>
      <c r="B423" s="4">
        <v>12</v>
      </c>
      <c r="C423" s="4" t="s">
        <v>57</v>
      </c>
      <c r="D423" s="4" t="s">
        <v>11</v>
      </c>
      <c r="E423" s="4" t="s">
        <v>12</v>
      </c>
      <c r="F423" s="4" t="s">
        <v>10</v>
      </c>
      <c r="G423" s="5">
        <v>4983.26</v>
      </c>
      <c r="H423" s="4">
        <f>--AND(OR(Dashboard!$A$10="All",A423=Dashboard!$A$10),OR(Dashboard!$A$14="All",D423=Dashboard!$A$14),OR(Dashboard!$A$18="All",E423=Dashboard!$A$18),OR(Dashboard!$A$22="All",F423=Dashboard!$A$22))</f>
        <v>1</v>
      </c>
    </row>
    <row r="424" spans="1:8" ht="15.75" customHeight="1">
      <c r="A424" s="4">
        <v>2024</v>
      </c>
      <c r="B424" s="4">
        <v>12</v>
      </c>
      <c r="C424" s="4" t="s">
        <v>57</v>
      </c>
      <c r="D424" s="4" t="s">
        <v>11</v>
      </c>
      <c r="E424" s="4" t="s">
        <v>12</v>
      </c>
      <c r="F424" s="4" t="s">
        <v>13</v>
      </c>
      <c r="G424" s="5">
        <v>3020.16</v>
      </c>
      <c r="H424" s="4">
        <f>--AND(OR(Dashboard!$A$10="All",A424=Dashboard!$A$10),OR(Dashboard!$A$14="All",D424=Dashboard!$A$14),OR(Dashboard!$A$18="All",E424=Dashboard!$A$18),OR(Dashboard!$A$22="All",F424=Dashboard!$A$22))</f>
        <v>1</v>
      </c>
    </row>
    <row r="425" spans="1:8" ht="15.75" customHeight="1">
      <c r="A425" s="4">
        <v>2024</v>
      </c>
      <c r="B425" s="4">
        <v>12</v>
      </c>
      <c r="C425" s="4" t="s">
        <v>57</v>
      </c>
      <c r="D425" s="4" t="s">
        <v>14</v>
      </c>
      <c r="E425" s="4" t="s">
        <v>6</v>
      </c>
      <c r="F425" s="4" t="s">
        <v>7</v>
      </c>
      <c r="G425" s="5">
        <v>5850</v>
      </c>
      <c r="H425" s="4">
        <f>--AND(OR(Dashboard!$A$10="All",A425=Dashboard!$A$10),OR(Dashboard!$A$14="All",D425=Dashboard!$A$14),OR(Dashboard!$A$18="All",E425=Dashboard!$A$18),OR(Dashboard!$A$22="All",F425=Dashboard!$A$22))</f>
        <v>1</v>
      </c>
    </row>
    <row r="426" spans="1:8" ht="15.75" customHeight="1">
      <c r="A426" s="4">
        <v>2024</v>
      </c>
      <c r="B426" s="4">
        <v>12</v>
      </c>
      <c r="C426" s="4" t="s">
        <v>57</v>
      </c>
      <c r="D426" s="4" t="s">
        <v>14</v>
      </c>
      <c r="E426" s="4" t="s">
        <v>6</v>
      </c>
      <c r="F426" s="4" t="s">
        <v>10</v>
      </c>
      <c r="G426" s="5">
        <v>3861</v>
      </c>
      <c r="H426" s="4">
        <f>--AND(OR(Dashboard!$A$10="All",A426=Dashboard!$A$10),OR(Dashboard!$A$14="All",D426=Dashboard!$A$14),OR(Dashboard!$A$18="All",E426=Dashboard!$A$18),OR(Dashboard!$A$22="All",F426=Dashboard!$A$22))</f>
        <v>1</v>
      </c>
    </row>
    <row r="427" spans="1:8" ht="15.75" customHeight="1">
      <c r="A427" s="4">
        <v>2024</v>
      </c>
      <c r="B427" s="4">
        <v>12</v>
      </c>
      <c r="C427" s="4" t="s">
        <v>57</v>
      </c>
      <c r="D427" s="4" t="s">
        <v>14</v>
      </c>
      <c r="E427" s="4" t="s">
        <v>6</v>
      </c>
      <c r="F427" s="4" t="s">
        <v>13</v>
      </c>
      <c r="G427" s="5">
        <v>2340</v>
      </c>
      <c r="H427" s="4">
        <f>--AND(OR(Dashboard!$A$10="All",A427=Dashboard!$A$10),OR(Dashboard!$A$14="All",D427=Dashboard!$A$14),OR(Dashboard!$A$18="All",E427=Dashboard!$A$18),OR(Dashboard!$A$22="All",F427=Dashboard!$A$22))</f>
        <v>1</v>
      </c>
    </row>
    <row r="428" spans="1:8" ht="15.75" customHeight="1">
      <c r="A428" s="4">
        <v>2024</v>
      </c>
      <c r="B428" s="4">
        <v>12</v>
      </c>
      <c r="C428" s="4" t="s">
        <v>57</v>
      </c>
      <c r="D428" s="4" t="s">
        <v>14</v>
      </c>
      <c r="E428" s="4" t="s">
        <v>9</v>
      </c>
      <c r="F428" s="4" t="s">
        <v>7</v>
      </c>
      <c r="G428" s="5">
        <v>3744</v>
      </c>
      <c r="H428" s="4">
        <f>--AND(OR(Dashboard!$A$10="All",A428=Dashboard!$A$10),OR(Dashboard!$A$14="All",D428=Dashboard!$A$14),OR(Dashboard!$A$18="All",E428=Dashboard!$A$18),OR(Dashboard!$A$22="All",F428=Dashboard!$A$22))</f>
        <v>1</v>
      </c>
    </row>
    <row r="429" spans="1:8" ht="15.75" customHeight="1">
      <c r="A429" s="4">
        <v>2024</v>
      </c>
      <c r="B429" s="4">
        <v>12</v>
      </c>
      <c r="C429" s="4" t="s">
        <v>57</v>
      </c>
      <c r="D429" s="4" t="s">
        <v>14</v>
      </c>
      <c r="E429" s="4" t="s">
        <v>9</v>
      </c>
      <c r="F429" s="4" t="s">
        <v>10</v>
      </c>
      <c r="G429" s="5">
        <v>2471.04</v>
      </c>
      <c r="H429" s="4">
        <f>--AND(OR(Dashboard!$A$10="All",A429=Dashboard!$A$10),OR(Dashboard!$A$14="All",D429=Dashboard!$A$14),OR(Dashboard!$A$18="All",E429=Dashboard!$A$18),OR(Dashboard!$A$22="All",F429=Dashboard!$A$22))</f>
        <v>1</v>
      </c>
    </row>
    <row r="430" spans="1:8" ht="15.75" customHeight="1">
      <c r="A430" s="4">
        <v>2024</v>
      </c>
      <c r="B430" s="4">
        <v>12</v>
      </c>
      <c r="C430" s="4" t="s">
        <v>57</v>
      </c>
      <c r="D430" s="4" t="s">
        <v>14</v>
      </c>
      <c r="E430" s="4" t="s">
        <v>9</v>
      </c>
      <c r="F430" s="4" t="s">
        <v>13</v>
      </c>
      <c r="G430" s="5">
        <v>1497.6</v>
      </c>
      <c r="H430" s="4">
        <f>--AND(OR(Dashboard!$A$10="All",A430=Dashboard!$A$10),OR(Dashboard!$A$14="All",D430=Dashboard!$A$14),OR(Dashboard!$A$18="All",E430=Dashboard!$A$18),OR(Dashboard!$A$22="All",F430=Dashboard!$A$22))</f>
        <v>1</v>
      </c>
    </row>
    <row r="431" spans="1:8" ht="15.75" customHeight="1">
      <c r="A431" s="4">
        <v>2024</v>
      </c>
      <c r="B431" s="4">
        <v>12</v>
      </c>
      <c r="C431" s="4" t="s">
        <v>57</v>
      </c>
      <c r="D431" s="4" t="s">
        <v>14</v>
      </c>
      <c r="E431" s="4" t="s">
        <v>12</v>
      </c>
      <c r="F431" s="4" t="s">
        <v>7</v>
      </c>
      <c r="G431" s="5">
        <v>5148</v>
      </c>
      <c r="H431" s="4">
        <f>--AND(OR(Dashboard!$A$10="All",A431=Dashboard!$A$10),OR(Dashboard!$A$14="All",D431=Dashboard!$A$14),OR(Dashboard!$A$18="All",E431=Dashboard!$A$18),OR(Dashboard!$A$22="All",F431=Dashboard!$A$22))</f>
        <v>1</v>
      </c>
    </row>
    <row r="432" spans="1:8" ht="15.75" customHeight="1">
      <c r="A432" s="4">
        <v>2024</v>
      </c>
      <c r="B432" s="4">
        <v>12</v>
      </c>
      <c r="C432" s="4" t="s">
        <v>57</v>
      </c>
      <c r="D432" s="4" t="s">
        <v>14</v>
      </c>
      <c r="E432" s="4" t="s">
        <v>12</v>
      </c>
      <c r="F432" s="4" t="s">
        <v>10</v>
      </c>
      <c r="G432" s="5">
        <v>3397.68</v>
      </c>
      <c r="H432" s="4">
        <f>--AND(OR(Dashboard!$A$10="All",A432=Dashboard!$A$10),OR(Dashboard!$A$14="All",D432=Dashboard!$A$14),OR(Dashboard!$A$18="All",E432=Dashboard!$A$18),OR(Dashboard!$A$22="All",F432=Dashboard!$A$22))</f>
        <v>1</v>
      </c>
    </row>
    <row r="433" spans="1:8" ht="15.75" customHeight="1">
      <c r="A433" s="4">
        <v>2024</v>
      </c>
      <c r="B433" s="4">
        <v>12</v>
      </c>
      <c r="C433" s="4" t="s">
        <v>57</v>
      </c>
      <c r="D433" s="4" t="s">
        <v>14</v>
      </c>
      <c r="E433" s="4" t="s">
        <v>12</v>
      </c>
      <c r="F433" s="4" t="s">
        <v>13</v>
      </c>
      <c r="G433" s="5">
        <v>2059.1999999999998</v>
      </c>
      <c r="H433" s="4">
        <f>--AND(OR(Dashboard!$A$10="All",A433=Dashboard!$A$10),OR(Dashboard!$A$14="All",D433=Dashboard!$A$14),OR(Dashboard!$A$18="All",E433=Dashboard!$A$18),OR(Dashboard!$A$22="All",F433=Dashboard!$A$22))</f>
        <v>1</v>
      </c>
    </row>
    <row r="434" spans="1:8" ht="15.75" customHeight="1">
      <c r="A434" s="4">
        <v>2025</v>
      </c>
      <c r="B434" s="4">
        <v>1</v>
      </c>
      <c r="C434" s="4" t="s">
        <v>30</v>
      </c>
      <c r="D434" s="4" t="s">
        <v>5</v>
      </c>
      <c r="E434" s="4" t="s">
        <v>6</v>
      </c>
      <c r="F434" s="4" t="s">
        <v>7</v>
      </c>
      <c r="G434" s="5">
        <v>17062.5</v>
      </c>
      <c r="H434" s="4">
        <f>--AND(OR(Dashboard!$A$10="All",A434=Dashboard!$A$10),OR(Dashboard!$A$14="All",D434=Dashboard!$A$14),OR(Dashboard!$A$18="All",E434=Dashboard!$A$18),OR(Dashboard!$A$22="All",F434=Dashboard!$A$22))</f>
        <v>1</v>
      </c>
    </row>
    <row r="435" spans="1:8" ht="15.75" customHeight="1">
      <c r="A435" s="4">
        <v>2025</v>
      </c>
      <c r="B435" s="4">
        <v>1</v>
      </c>
      <c r="C435" s="4" t="s">
        <v>30</v>
      </c>
      <c r="D435" s="4" t="s">
        <v>5</v>
      </c>
      <c r="E435" s="4" t="s">
        <v>6</v>
      </c>
      <c r="F435" s="4" t="s">
        <v>10</v>
      </c>
      <c r="G435" s="5">
        <v>11261.25</v>
      </c>
      <c r="H435" s="4">
        <f>--AND(OR(Dashboard!$A$10="All",A435=Dashboard!$A$10),OR(Dashboard!$A$14="All",D435=Dashboard!$A$14),OR(Dashboard!$A$18="All",E435=Dashboard!$A$18),OR(Dashboard!$A$22="All",F435=Dashboard!$A$22))</f>
        <v>1</v>
      </c>
    </row>
    <row r="436" spans="1:8" ht="15.75" customHeight="1">
      <c r="A436" s="4">
        <v>2025</v>
      </c>
      <c r="B436" s="4">
        <v>1</v>
      </c>
      <c r="C436" s="4" t="s">
        <v>30</v>
      </c>
      <c r="D436" s="4" t="s">
        <v>5</v>
      </c>
      <c r="E436" s="4" t="s">
        <v>6</v>
      </c>
      <c r="F436" s="4" t="s">
        <v>13</v>
      </c>
      <c r="G436" s="5">
        <v>6825</v>
      </c>
      <c r="H436" s="4">
        <f>--AND(OR(Dashboard!$A$10="All",A436=Dashboard!$A$10),OR(Dashboard!$A$14="All",D436=Dashboard!$A$14),OR(Dashboard!$A$18="All",E436=Dashboard!$A$18),OR(Dashboard!$A$22="All",F436=Dashboard!$A$22))</f>
        <v>1</v>
      </c>
    </row>
    <row r="437" spans="1:8" ht="15.75" customHeight="1">
      <c r="A437" s="4">
        <v>2025</v>
      </c>
      <c r="B437" s="4">
        <v>1</v>
      </c>
      <c r="C437" s="4" t="s">
        <v>30</v>
      </c>
      <c r="D437" s="4" t="s">
        <v>5</v>
      </c>
      <c r="E437" s="4" t="s">
        <v>9</v>
      </c>
      <c r="F437" s="4" t="s">
        <v>7</v>
      </c>
      <c r="G437" s="5">
        <v>10920</v>
      </c>
      <c r="H437" s="4">
        <f>--AND(OR(Dashboard!$A$10="All",A437=Dashboard!$A$10),OR(Dashboard!$A$14="All",D437=Dashboard!$A$14),OR(Dashboard!$A$18="All",E437=Dashboard!$A$18),OR(Dashboard!$A$22="All",F437=Dashboard!$A$22))</f>
        <v>1</v>
      </c>
    </row>
    <row r="438" spans="1:8" ht="15.75" customHeight="1">
      <c r="A438" s="4">
        <v>2025</v>
      </c>
      <c r="B438" s="4">
        <v>1</v>
      </c>
      <c r="C438" s="4" t="s">
        <v>30</v>
      </c>
      <c r="D438" s="4" t="s">
        <v>5</v>
      </c>
      <c r="E438" s="4" t="s">
        <v>9</v>
      </c>
      <c r="F438" s="4" t="s">
        <v>10</v>
      </c>
      <c r="G438" s="5">
        <v>7207.2</v>
      </c>
      <c r="H438" s="4">
        <f>--AND(OR(Dashboard!$A$10="All",A438=Dashboard!$A$10),OR(Dashboard!$A$14="All",D438=Dashboard!$A$14),OR(Dashboard!$A$18="All",E438=Dashboard!$A$18),OR(Dashboard!$A$22="All",F438=Dashboard!$A$22))</f>
        <v>1</v>
      </c>
    </row>
    <row r="439" spans="1:8" ht="15.75" customHeight="1">
      <c r="A439" s="4">
        <v>2025</v>
      </c>
      <c r="B439" s="4">
        <v>1</v>
      </c>
      <c r="C439" s="4" t="s">
        <v>30</v>
      </c>
      <c r="D439" s="4" t="s">
        <v>5</v>
      </c>
      <c r="E439" s="4" t="s">
        <v>9</v>
      </c>
      <c r="F439" s="4" t="s">
        <v>13</v>
      </c>
      <c r="G439" s="5">
        <v>4368</v>
      </c>
      <c r="H439" s="4">
        <f>--AND(OR(Dashboard!$A$10="All",A439=Dashboard!$A$10),OR(Dashboard!$A$14="All",D439=Dashboard!$A$14),OR(Dashboard!$A$18="All",E439=Dashboard!$A$18),OR(Dashboard!$A$22="All",F439=Dashboard!$A$22))</f>
        <v>1</v>
      </c>
    </row>
    <row r="440" spans="1:8" ht="15.75" customHeight="1">
      <c r="A440" s="4">
        <v>2025</v>
      </c>
      <c r="B440" s="4">
        <v>1</v>
      </c>
      <c r="C440" s="4" t="s">
        <v>30</v>
      </c>
      <c r="D440" s="4" t="s">
        <v>5</v>
      </c>
      <c r="E440" s="4" t="s">
        <v>12</v>
      </c>
      <c r="F440" s="4" t="s">
        <v>7</v>
      </c>
      <c r="G440" s="5">
        <v>15015</v>
      </c>
      <c r="H440" s="4">
        <f>--AND(OR(Dashboard!$A$10="All",A440=Dashboard!$A$10),OR(Dashboard!$A$14="All",D440=Dashboard!$A$14),OR(Dashboard!$A$18="All",E440=Dashboard!$A$18),OR(Dashboard!$A$22="All",F440=Dashboard!$A$22))</f>
        <v>1</v>
      </c>
    </row>
    <row r="441" spans="1:8" ht="15.75" customHeight="1">
      <c r="A441" s="4">
        <v>2025</v>
      </c>
      <c r="B441" s="4">
        <v>1</v>
      </c>
      <c r="C441" s="4" t="s">
        <v>30</v>
      </c>
      <c r="D441" s="4" t="s">
        <v>5</v>
      </c>
      <c r="E441" s="4" t="s">
        <v>12</v>
      </c>
      <c r="F441" s="4" t="s">
        <v>10</v>
      </c>
      <c r="G441" s="5">
        <v>9909.9</v>
      </c>
      <c r="H441" s="4">
        <f>--AND(OR(Dashboard!$A$10="All",A441=Dashboard!$A$10),OR(Dashboard!$A$14="All",D441=Dashboard!$A$14),OR(Dashboard!$A$18="All",E441=Dashboard!$A$18),OR(Dashboard!$A$22="All",F441=Dashboard!$A$22))</f>
        <v>1</v>
      </c>
    </row>
    <row r="442" spans="1:8" ht="15.75" customHeight="1">
      <c r="A442" s="4">
        <v>2025</v>
      </c>
      <c r="B442" s="4">
        <v>1</v>
      </c>
      <c r="C442" s="4" t="s">
        <v>30</v>
      </c>
      <c r="D442" s="4" t="s">
        <v>5</v>
      </c>
      <c r="E442" s="4" t="s">
        <v>12</v>
      </c>
      <c r="F442" s="4" t="s">
        <v>13</v>
      </c>
      <c r="G442" s="5">
        <v>6006</v>
      </c>
      <c r="H442" s="4">
        <f>--AND(OR(Dashboard!$A$10="All",A442=Dashboard!$A$10),OR(Dashboard!$A$14="All",D442=Dashboard!$A$14),OR(Dashboard!$A$18="All",E442=Dashboard!$A$18),OR(Dashboard!$A$22="All",F442=Dashboard!$A$22))</f>
        <v>1</v>
      </c>
    </row>
    <row r="443" spans="1:8" ht="15.75" customHeight="1">
      <c r="A443" s="4">
        <v>2025</v>
      </c>
      <c r="B443" s="4">
        <v>1</v>
      </c>
      <c r="C443" s="4" t="s">
        <v>30</v>
      </c>
      <c r="D443" s="4" t="s">
        <v>8</v>
      </c>
      <c r="E443" s="4" t="s">
        <v>6</v>
      </c>
      <c r="F443" s="4" t="s">
        <v>7</v>
      </c>
      <c r="G443" s="5">
        <v>10578.75</v>
      </c>
      <c r="H443" s="4">
        <f>--AND(OR(Dashboard!$A$10="All",A443=Dashboard!$A$10),OR(Dashboard!$A$14="All",D443=Dashboard!$A$14),OR(Dashboard!$A$18="All",E443=Dashboard!$A$18),OR(Dashboard!$A$22="All",F443=Dashboard!$A$22))</f>
        <v>1</v>
      </c>
    </row>
    <row r="444" spans="1:8" ht="15.75" customHeight="1">
      <c r="A444" s="4">
        <v>2025</v>
      </c>
      <c r="B444" s="4">
        <v>1</v>
      </c>
      <c r="C444" s="4" t="s">
        <v>30</v>
      </c>
      <c r="D444" s="4" t="s">
        <v>8</v>
      </c>
      <c r="E444" s="4" t="s">
        <v>6</v>
      </c>
      <c r="F444" s="4" t="s">
        <v>10</v>
      </c>
      <c r="G444" s="5">
        <v>6981.98</v>
      </c>
      <c r="H444" s="4">
        <f>--AND(OR(Dashboard!$A$10="All",A444=Dashboard!$A$10),OR(Dashboard!$A$14="All",D444=Dashboard!$A$14),OR(Dashboard!$A$18="All",E444=Dashboard!$A$18),OR(Dashboard!$A$22="All",F444=Dashboard!$A$22))</f>
        <v>1</v>
      </c>
    </row>
    <row r="445" spans="1:8" ht="15.75" customHeight="1">
      <c r="A445" s="4">
        <v>2025</v>
      </c>
      <c r="B445" s="4">
        <v>1</v>
      </c>
      <c r="C445" s="4" t="s">
        <v>30</v>
      </c>
      <c r="D445" s="4" t="s">
        <v>8</v>
      </c>
      <c r="E445" s="4" t="s">
        <v>6</v>
      </c>
      <c r="F445" s="4" t="s">
        <v>13</v>
      </c>
      <c r="G445" s="5">
        <v>4231.5</v>
      </c>
      <c r="H445" s="4">
        <f>--AND(OR(Dashboard!$A$10="All",A445=Dashboard!$A$10),OR(Dashboard!$A$14="All",D445=Dashboard!$A$14),OR(Dashboard!$A$18="All",E445=Dashboard!$A$18),OR(Dashboard!$A$22="All",F445=Dashboard!$A$22))</f>
        <v>1</v>
      </c>
    </row>
    <row r="446" spans="1:8" ht="15.75" customHeight="1">
      <c r="A446" s="4">
        <v>2025</v>
      </c>
      <c r="B446" s="4">
        <v>1</v>
      </c>
      <c r="C446" s="4" t="s">
        <v>30</v>
      </c>
      <c r="D446" s="4" t="s">
        <v>8</v>
      </c>
      <c r="E446" s="4" t="s">
        <v>9</v>
      </c>
      <c r="F446" s="4" t="s">
        <v>7</v>
      </c>
      <c r="G446" s="5">
        <v>6770.4</v>
      </c>
      <c r="H446" s="4">
        <f>--AND(OR(Dashboard!$A$10="All",A446=Dashboard!$A$10),OR(Dashboard!$A$14="All",D446=Dashboard!$A$14),OR(Dashboard!$A$18="All",E446=Dashboard!$A$18),OR(Dashboard!$A$22="All",F446=Dashboard!$A$22))</f>
        <v>1</v>
      </c>
    </row>
    <row r="447" spans="1:8" ht="15.75" customHeight="1">
      <c r="A447" s="4">
        <v>2025</v>
      </c>
      <c r="B447" s="4">
        <v>1</v>
      </c>
      <c r="C447" s="4" t="s">
        <v>30</v>
      </c>
      <c r="D447" s="4" t="s">
        <v>8</v>
      </c>
      <c r="E447" s="4" t="s">
        <v>9</v>
      </c>
      <c r="F447" s="4" t="s">
        <v>10</v>
      </c>
      <c r="G447" s="5">
        <v>4468.46</v>
      </c>
      <c r="H447" s="4">
        <f>--AND(OR(Dashboard!$A$10="All",A447=Dashboard!$A$10),OR(Dashboard!$A$14="All",D447=Dashboard!$A$14),OR(Dashboard!$A$18="All",E447=Dashboard!$A$18),OR(Dashboard!$A$22="All",F447=Dashboard!$A$22))</f>
        <v>1</v>
      </c>
    </row>
    <row r="448" spans="1:8" ht="15.75" customHeight="1">
      <c r="A448" s="4">
        <v>2025</v>
      </c>
      <c r="B448" s="4">
        <v>1</v>
      </c>
      <c r="C448" s="4" t="s">
        <v>30</v>
      </c>
      <c r="D448" s="4" t="s">
        <v>8</v>
      </c>
      <c r="E448" s="4" t="s">
        <v>9</v>
      </c>
      <c r="F448" s="4" t="s">
        <v>13</v>
      </c>
      <c r="G448" s="5">
        <v>2708.16</v>
      </c>
      <c r="H448" s="4">
        <f>--AND(OR(Dashboard!$A$10="All",A448=Dashboard!$A$10),OR(Dashboard!$A$14="All",D448=Dashboard!$A$14),OR(Dashboard!$A$18="All",E448=Dashboard!$A$18),OR(Dashboard!$A$22="All",F448=Dashboard!$A$22))</f>
        <v>1</v>
      </c>
    </row>
    <row r="449" spans="1:8" ht="15.75" customHeight="1">
      <c r="A449" s="4">
        <v>2025</v>
      </c>
      <c r="B449" s="4">
        <v>1</v>
      </c>
      <c r="C449" s="4" t="s">
        <v>30</v>
      </c>
      <c r="D449" s="4" t="s">
        <v>8</v>
      </c>
      <c r="E449" s="4" t="s">
        <v>12</v>
      </c>
      <c r="F449" s="4" t="s">
        <v>7</v>
      </c>
      <c r="G449" s="5">
        <v>9309.2999999999993</v>
      </c>
      <c r="H449" s="4">
        <f>--AND(OR(Dashboard!$A$10="All",A449=Dashboard!$A$10),OR(Dashboard!$A$14="All",D449=Dashboard!$A$14),OR(Dashboard!$A$18="All",E449=Dashboard!$A$18),OR(Dashboard!$A$22="All",F449=Dashboard!$A$22))</f>
        <v>1</v>
      </c>
    </row>
    <row r="450" spans="1:8" ht="15.75" customHeight="1">
      <c r="A450" s="4">
        <v>2025</v>
      </c>
      <c r="B450" s="4">
        <v>1</v>
      </c>
      <c r="C450" s="4" t="s">
        <v>30</v>
      </c>
      <c r="D450" s="4" t="s">
        <v>8</v>
      </c>
      <c r="E450" s="4" t="s">
        <v>12</v>
      </c>
      <c r="F450" s="4" t="s">
        <v>10</v>
      </c>
      <c r="G450" s="5">
        <v>6144.14</v>
      </c>
      <c r="H450" s="4">
        <f>--AND(OR(Dashboard!$A$10="All",A450=Dashboard!$A$10),OR(Dashboard!$A$14="All",D450=Dashboard!$A$14),OR(Dashboard!$A$18="All",E450=Dashboard!$A$18),OR(Dashboard!$A$22="All",F450=Dashboard!$A$22))</f>
        <v>1</v>
      </c>
    </row>
    <row r="451" spans="1:8" ht="15.75" customHeight="1">
      <c r="A451" s="4">
        <v>2025</v>
      </c>
      <c r="B451" s="4">
        <v>1</v>
      </c>
      <c r="C451" s="4" t="s">
        <v>30</v>
      </c>
      <c r="D451" s="4" t="s">
        <v>8</v>
      </c>
      <c r="E451" s="4" t="s">
        <v>12</v>
      </c>
      <c r="F451" s="4" t="s">
        <v>13</v>
      </c>
      <c r="G451" s="5">
        <v>3723.72</v>
      </c>
      <c r="H451" s="4">
        <f>--AND(OR(Dashboard!$A$10="All",A451=Dashboard!$A$10),OR(Dashboard!$A$14="All",D451=Dashboard!$A$14),OR(Dashboard!$A$18="All",E451=Dashboard!$A$18),OR(Dashboard!$A$22="All",F451=Dashboard!$A$22))</f>
        <v>1</v>
      </c>
    </row>
    <row r="452" spans="1:8" ht="15.75" customHeight="1">
      <c r="A452" s="4">
        <v>2025</v>
      </c>
      <c r="B452" s="4">
        <v>1</v>
      </c>
      <c r="C452" s="4" t="s">
        <v>30</v>
      </c>
      <c r="D452" s="4" t="s">
        <v>11</v>
      </c>
      <c r="E452" s="4" t="s">
        <v>6</v>
      </c>
      <c r="F452" s="4" t="s">
        <v>7</v>
      </c>
      <c r="G452" s="5">
        <v>7507.5</v>
      </c>
      <c r="H452" s="4">
        <f>--AND(OR(Dashboard!$A$10="All",A452=Dashboard!$A$10),OR(Dashboard!$A$14="All",D452=Dashboard!$A$14),OR(Dashboard!$A$18="All",E452=Dashboard!$A$18),OR(Dashboard!$A$22="All",F452=Dashboard!$A$22))</f>
        <v>1</v>
      </c>
    </row>
    <row r="453" spans="1:8" ht="15.75" customHeight="1">
      <c r="A453" s="4">
        <v>2025</v>
      </c>
      <c r="B453" s="4">
        <v>1</v>
      </c>
      <c r="C453" s="4" t="s">
        <v>30</v>
      </c>
      <c r="D453" s="4" t="s">
        <v>11</v>
      </c>
      <c r="E453" s="4" t="s">
        <v>6</v>
      </c>
      <c r="F453" s="4" t="s">
        <v>10</v>
      </c>
      <c r="G453" s="5">
        <v>4954.95</v>
      </c>
      <c r="H453" s="4">
        <f>--AND(OR(Dashboard!$A$10="All",A453=Dashboard!$A$10),OR(Dashboard!$A$14="All",D453=Dashboard!$A$14),OR(Dashboard!$A$18="All",E453=Dashboard!$A$18),OR(Dashboard!$A$22="All",F453=Dashboard!$A$22))</f>
        <v>1</v>
      </c>
    </row>
    <row r="454" spans="1:8" ht="15.75" customHeight="1">
      <c r="A454" s="4">
        <v>2025</v>
      </c>
      <c r="B454" s="4">
        <v>1</v>
      </c>
      <c r="C454" s="4" t="s">
        <v>30</v>
      </c>
      <c r="D454" s="4" t="s">
        <v>11</v>
      </c>
      <c r="E454" s="4" t="s">
        <v>6</v>
      </c>
      <c r="F454" s="4" t="s">
        <v>13</v>
      </c>
      <c r="G454" s="5">
        <v>3003</v>
      </c>
      <c r="H454" s="4">
        <f>--AND(OR(Dashboard!$A$10="All",A454=Dashboard!$A$10),OR(Dashboard!$A$14="All",D454=Dashboard!$A$14),OR(Dashboard!$A$18="All",E454=Dashboard!$A$18),OR(Dashboard!$A$22="All",F454=Dashboard!$A$22))</f>
        <v>1</v>
      </c>
    </row>
    <row r="455" spans="1:8" ht="15.75" customHeight="1">
      <c r="A455" s="4">
        <v>2025</v>
      </c>
      <c r="B455" s="4">
        <v>1</v>
      </c>
      <c r="C455" s="4" t="s">
        <v>30</v>
      </c>
      <c r="D455" s="4" t="s">
        <v>11</v>
      </c>
      <c r="E455" s="4" t="s">
        <v>9</v>
      </c>
      <c r="F455" s="4" t="s">
        <v>7</v>
      </c>
      <c r="G455" s="5">
        <v>4804.8</v>
      </c>
      <c r="H455" s="4">
        <f>--AND(OR(Dashboard!$A$10="All",A455=Dashboard!$A$10),OR(Dashboard!$A$14="All",D455=Dashboard!$A$14),OR(Dashboard!$A$18="All",E455=Dashboard!$A$18),OR(Dashboard!$A$22="All",F455=Dashboard!$A$22))</f>
        <v>1</v>
      </c>
    </row>
    <row r="456" spans="1:8" ht="15.75" customHeight="1">
      <c r="A456" s="4">
        <v>2025</v>
      </c>
      <c r="B456" s="4">
        <v>1</v>
      </c>
      <c r="C456" s="4" t="s">
        <v>30</v>
      </c>
      <c r="D456" s="4" t="s">
        <v>11</v>
      </c>
      <c r="E456" s="4" t="s">
        <v>9</v>
      </c>
      <c r="F456" s="4" t="s">
        <v>10</v>
      </c>
      <c r="G456" s="5">
        <v>3171.17</v>
      </c>
      <c r="H456" s="4">
        <f>--AND(OR(Dashboard!$A$10="All",A456=Dashboard!$A$10),OR(Dashboard!$A$14="All",D456=Dashboard!$A$14),OR(Dashboard!$A$18="All",E456=Dashboard!$A$18),OR(Dashboard!$A$22="All",F456=Dashboard!$A$22))</f>
        <v>1</v>
      </c>
    </row>
    <row r="457" spans="1:8" ht="15.75" customHeight="1">
      <c r="A457" s="4">
        <v>2025</v>
      </c>
      <c r="B457" s="4">
        <v>1</v>
      </c>
      <c r="C457" s="4" t="s">
        <v>30</v>
      </c>
      <c r="D457" s="4" t="s">
        <v>11</v>
      </c>
      <c r="E457" s="4" t="s">
        <v>9</v>
      </c>
      <c r="F457" s="4" t="s">
        <v>13</v>
      </c>
      <c r="G457" s="5">
        <v>1921.92</v>
      </c>
      <c r="H457" s="4">
        <f>--AND(OR(Dashboard!$A$10="All",A457=Dashboard!$A$10),OR(Dashboard!$A$14="All",D457=Dashboard!$A$14),OR(Dashboard!$A$18="All",E457=Dashboard!$A$18),OR(Dashboard!$A$22="All",F457=Dashboard!$A$22))</f>
        <v>1</v>
      </c>
    </row>
    <row r="458" spans="1:8" ht="15.75" customHeight="1">
      <c r="A458" s="4">
        <v>2025</v>
      </c>
      <c r="B458" s="4">
        <v>1</v>
      </c>
      <c r="C458" s="4" t="s">
        <v>30</v>
      </c>
      <c r="D458" s="4" t="s">
        <v>11</v>
      </c>
      <c r="E458" s="4" t="s">
        <v>12</v>
      </c>
      <c r="F458" s="4" t="s">
        <v>7</v>
      </c>
      <c r="G458" s="5">
        <v>6606.6</v>
      </c>
      <c r="H458" s="4">
        <f>--AND(OR(Dashboard!$A$10="All",A458=Dashboard!$A$10),OR(Dashboard!$A$14="All",D458=Dashboard!$A$14),OR(Dashboard!$A$18="All",E458=Dashboard!$A$18),OR(Dashboard!$A$22="All",F458=Dashboard!$A$22))</f>
        <v>1</v>
      </c>
    </row>
    <row r="459" spans="1:8" ht="15.75" customHeight="1">
      <c r="A459" s="4">
        <v>2025</v>
      </c>
      <c r="B459" s="4">
        <v>1</v>
      </c>
      <c r="C459" s="4" t="s">
        <v>30</v>
      </c>
      <c r="D459" s="4" t="s">
        <v>11</v>
      </c>
      <c r="E459" s="4" t="s">
        <v>12</v>
      </c>
      <c r="F459" s="4" t="s">
        <v>10</v>
      </c>
      <c r="G459" s="5">
        <v>4360.3599999999997</v>
      </c>
      <c r="H459" s="4">
        <f>--AND(OR(Dashboard!$A$10="All",A459=Dashboard!$A$10),OR(Dashboard!$A$14="All",D459=Dashboard!$A$14),OR(Dashboard!$A$18="All",E459=Dashboard!$A$18),OR(Dashboard!$A$22="All",F459=Dashboard!$A$22))</f>
        <v>1</v>
      </c>
    </row>
    <row r="460" spans="1:8" ht="15.75" customHeight="1">
      <c r="A460" s="4">
        <v>2025</v>
      </c>
      <c r="B460" s="4">
        <v>1</v>
      </c>
      <c r="C460" s="4" t="s">
        <v>30</v>
      </c>
      <c r="D460" s="4" t="s">
        <v>11</v>
      </c>
      <c r="E460" s="4" t="s">
        <v>12</v>
      </c>
      <c r="F460" s="4" t="s">
        <v>13</v>
      </c>
      <c r="G460" s="5">
        <v>2642.64</v>
      </c>
      <c r="H460" s="4">
        <f>--AND(OR(Dashboard!$A$10="All",A460=Dashboard!$A$10),OR(Dashboard!$A$14="All",D460=Dashboard!$A$14),OR(Dashboard!$A$18="All",E460=Dashboard!$A$18),OR(Dashboard!$A$22="All",F460=Dashboard!$A$22))</f>
        <v>1</v>
      </c>
    </row>
    <row r="461" spans="1:8" ht="15.75" customHeight="1">
      <c r="A461" s="4">
        <v>2025</v>
      </c>
      <c r="B461" s="4">
        <v>1</v>
      </c>
      <c r="C461" s="4" t="s">
        <v>30</v>
      </c>
      <c r="D461" s="4" t="s">
        <v>14</v>
      </c>
      <c r="E461" s="4" t="s">
        <v>6</v>
      </c>
      <c r="F461" s="4" t="s">
        <v>7</v>
      </c>
      <c r="G461" s="5">
        <v>5118.75</v>
      </c>
      <c r="H461" s="4">
        <f>--AND(OR(Dashboard!$A$10="All",A461=Dashboard!$A$10),OR(Dashboard!$A$14="All",D461=Dashboard!$A$14),OR(Dashboard!$A$18="All",E461=Dashboard!$A$18),OR(Dashboard!$A$22="All",F461=Dashboard!$A$22))</f>
        <v>1</v>
      </c>
    </row>
    <row r="462" spans="1:8" ht="15.75" customHeight="1">
      <c r="A462" s="4">
        <v>2025</v>
      </c>
      <c r="B462" s="4">
        <v>1</v>
      </c>
      <c r="C462" s="4" t="s">
        <v>30</v>
      </c>
      <c r="D462" s="4" t="s">
        <v>14</v>
      </c>
      <c r="E462" s="4" t="s">
        <v>6</v>
      </c>
      <c r="F462" s="4" t="s">
        <v>10</v>
      </c>
      <c r="G462" s="5">
        <v>3378.38</v>
      </c>
      <c r="H462" s="4">
        <f>--AND(OR(Dashboard!$A$10="All",A462=Dashboard!$A$10),OR(Dashboard!$A$14="All",D462=Dashboard!$A$14),OR(Dashboard!$A$18="All",E462=Dashboard!$A$18),OR(Dashboard!$A$22="All",F462=Dashboard!$A$22))</f>
        <v>1</v>
      </c>
    </row>
    <row r="463" spans="1:8" ht="15.75" customHeight="1">
      <c r="A463" s="4">
        <v>2025</v>
      </c>
      <c r="B463" s="4">
        <v>1</v>
      </c>
      <c r="C463" s="4" t="s">
        <v>30</v>
      </c>
      <c r="D463" s="4" t="s">
        <v>14</v>
      </c>
      <c r="E463" s="4" t="s">
        <v>6</v>
      </c>
      <c r="F463" s="4" t="s">
        <v>13</v>
      </c>
      <c r="G463" s="5">
        <v>2047.5</v>
      </c>
      <c r="H463" s="4">
        <f>--AND(OR(Dashboard!$A$10="All",A463=Dashboard!$A$10),OR(Dashboard!$A$14="All",D463=Dashboard!$A$14),OR(Dashboard!$A$18="All",E463=Dashboard!$A$18),OR(Dashboard!$A$22="All",F463=Dashboard!$A$22))</f>
        <v>1</v>
      </c>
    </row>
    <row r="464" spans="1:8" ht="15.75" customHeight="1">
      <c r="A464" s="4">
        <v>2025</v>
      </c>
      <c r="B464" s="4">
        <v>1</v>
      </c>
      <c r="C464" s="4" t="s">
        <v>30</v>
      </c>
      <c r="D464" s="4" t="s">
        <v>14</v>
      </c>
      <c r="E464" s="4" t="s">
        <v>9</v>
      </c>
      <c r="F464" s="4" t="s">
        <v>7</v>
      </c>
      <c r="G464" s="5">
        <v>3276</v>
      </c>
      <c r="H464" s="4">
        <f>--AND(OR(Dashboard!$A$10="All",A464=Dashboard!$A$10),OR(Dashboard!$A$14="All",D464=Dashboard!$A$14),OR(Dashboard!$A$18="All",E464=Dashboard!$A$18),OR(Dashboard!$A$22="All",F464=Dashboard!$A$22))</f>
        <v>1</v>
      </c>
    </row>
    <row r="465" spans="1:8" ht="15.75" customHeight="1">
      <c r="A465" s="4">
        <v>2025</v>
      </c>
      <c r="B465" s="4">
        <v>1</v>
      </c>
      <c r="C465" s="4" t="s">
        <v>30</v>
      </c>
      <c r="D465" s="4" t="s">
        <v>14</v>
      </c>
      <c r="E465" s="4" t="s">
        <v>9</v>
      </c>
      <c r="F465" s="4" t="s">
        <v>10</v>
      </c>
      <c r="G465" s="5">
        <v>2162.16</v>
      </c>
      <c r="H465" s="4">
        <f>--AND(OR(Dashboard!$A$10="All",A465=Dashboard!$A$10),OR(Dashboard!$A$14="All",D465=Dashboard!$A$14),OR(Dashboard!$A$18="All",E465=Dashboard!$A$18),OR(Dashboard!$A$22="All",F465=Dashboard!$A$22))</f>
        <v>1</v>
      </c>
    </row>
    <row r="466" spans="1:8" ht="15.75" customHeight="1">
      <c r="A466" s="4">
        <v>2025</v>
      </c>
      <c r="B466" s="4">
        <v>1</v>
      </c>
      <c r="C466" s="4" t="s">
        <v>30</v>
      </c>
      <c r="D466" s="4" t="s">
        <v>14</v>
      </c>
      <c r="E466" s="4" t="s">
        <v>9</v>
      </c>
      <c r="F466" s="4" t="s">
        <v>13</v>
      </c>
      <c r="G466" s="5">
        <v>1310.4000000000001</v>
      </c>
      <c r="H466" s="4">
        <f>--AND(OR(Dashboard!$A$10="All",A466=Dashboard!$A$10),OR(Dashboard!$A$14="All",D466=Dashboard!$A$14),OR(Dashboard!$A$18="All",E466=Dashboard!$A$18),OR(Dashboard!$A$22="All",F466=Dashboard!$A$22))</f>
        <v>1</v>
      </c>
    </row>
    <row r="467" spans="1:8" ht="15.75" customHeight="1">
      <c r="A467" s="4">
        <v>2025</v>
      </c>
      <c r="B467" s="4">
        <v>1</v>
      </c>
      <c r="C467" s="4" t="s">
        <v>30</v>
      </c>
      <c r="D467" s="4" t="s">
        <v>14</v>
      </c>
      <c r="E467" s="4" t="s">
        <v>12</v>
      </c>
      <c r="F467" s="4" t="s">
        <v>7</v>
      </c>
      <c r="G467" s="5">
        <v>4504.5</v>
      </c>
      <c r="H467" s="4">
        <f>--AND(OR(Dashboard!$A$10="All",A467=Dashboard!$A$10),OR(Dashboard!$A$14="All",D467=Dashboard!$A$14),OR(Dashboard!$A$18="All",E467=Dashboard!$A$18),OR(Dashboard!$A$22="All",F467=Dashboard!$A$22))</f>
        <v>1</v>
      </c>
    </row>
    <row r="468" spans="1:8" ht="15.75" customHeight="1">
      <c r="A468" s="4">
        <v>2025</v>
      </c>
      <c r="B468" s="4">
        <v>1</v>
      </c>
      <c r="C468" s="4" t="s">
        <v>30</v>
      </c>
      <c r="D468" s="4" t="s">
        <v>14</v>
      </c>
      <c r="E468" s="4" t="s">
        <v>12</v>
      </c>
      <c r="F468" s="4" t="s">
        <v>10</v>
      </c>
      <c r="G468" s="5">
        <v>2972.97</v>
      </c>
      <c r="H468" s="4">
        <f>--AND(OR(Dashboard!$A$10="All",A468=Dashboard!$A$10),OR(Dashboard!$A$14="All",D468=Dashboard!$A$14),OR(Dashboard!$A$18="All",E468=Dashboard!$A$18),OR(Dashboard!$A$22="All",F468=Dashboard!$A$22))</f>
        <v>1</v>
      </c>
    </row>
    <row r="469" spans="1:8" ht="15.75" customHeight="1">
      <c r="A469" s="4">
        <v>2025</v>
      </c>
      <c r="B469" s="4">
        <v>1</v>
      </c>
      <c r="C469" s="4" t="s">
        <v>30</v>
      </c>
      <c r="D469" s="4" t="s">
        <v>14</v>
      </c>
      <c r="E469" s="4" t="s">
        <v>12</v>
      </c>
      <c r="F469" s="4" t="s">
        <v>13</v>
      </c>
      <c r="G469" s="5">
        <v>1801.8</v>
      </c>
      <c r="H469" s="4">
        <f>--AND(OR(Dashboard!$A$10="All",A469=Dashboard!$A$10),OR(Dashboard!$A$14="All",D469=Dashboard!$A$14),OR(Dashboard!$A$18="All",E469=Dashboard!$A$18),OR(Dashboard!$A$22="All",F469=Dashboard!$A$22))</f>
        <v>1</v>
      </c>
    </row>
    <row r="470" spans="1:8" ht="15.75" customHeight="1">
      <c r="A470" s="4">
        <v>2025</v>
      </c>
      <c r="B470" s="4">
        <v>2</v>
      </c>
      <c r="C470" s="4" t="s">
        <v>70</v>
      </c>
      <c r="D470" s="4" t="s">
        <v>5</v>
      </c>
      <c r="E470" s="4" t="s">
        <v>6</v>
      </c>
      <c r="F470" s="4" t="s">
        <v>7</v>
      </c>
      <c r="G470" s="5">
        <v>17062.5</v>
      </c>
      <c r="H470" s="4">
        <f>--AND(OR(Dashboard!$A$10="All",A470=Dashboard!$A$10),OR(Dashboard!$A$14="All",D470=Dashboard!$A$14),OR(Dashboard!$A$18="All",E470=Dashboard!$A$18),OR(Dashboard!$A$22="All",F470=Dashboard!$A$22))</f>
        <v>1</v>
      </c>
    </row>
    <row r="471" spans="1:8" ht="15.75" customHeight="1">
      <c r="A471" s="4">
        <v>2025</v>
      </c>
      <c r="B471" s="4">
        <v>2</v>
      </c>
      <c r="C471" s="4" t="s">
        <v>70</v>
      </c>
      <c r="D471" s="4" t="s">
        <v>5</v>
      </c>
      <c r="E471" s="4" t="s">
        <v>6</v>
      </c>
      <c r="F471" s="4" t="s">
        <v>10</v>
      </c>
      <c r="G471" s="5">
        <v>11261.25</v>
      </c>
      <c r="H471" s="4">
        <f>--AND(OR(Dashboard!$A$10="All",A471=Dashboard!$A$10),OR(Dashboard!$A$14="All",D471=Dashboard!$A$14),OR(Dashboard!$A$18="All",E471=Dashboard!$A$18),OR(Dashboard!$A$22="All",F471=Dashboard!$A$22))</f>
        <v>1</v>
      </c>
    </row>
    <row r="472" spans="1:8" ht="15.75" customHeight="1">
      <c r="A472" s="4">
        <v>2025</v>
      </c>
      <c r="B472" s="4">
        <v>2</v>
      </c>
      <c r="C472" s="4" t="s">
        <v>70</v>
      </c>
      <c r="D472" s="4" t="s">
        <v>5</v>
      </c>
      <c r="E472" s="4" t="s">
        <v>6</v>
      </c>
      <c r="F472" s="4" t="s">
        <v>13</v>
      </c>
      <c r="G472" s="5">
        <v>6825</v>
      </c>
      <c r="H472" s="4">
        <f>--AND(OR(Dashboard!$A$10="All",A472=Dashboard!$A$10),OR(Dashboard!$A$14="All",D472=Dashboard!$A$14),OR(Dashboard!$A$18="All",E472=Dashboard!$A$18),OR(Dashboard!$A$22="All",F472=Dashboard!$A$22))</f>
        <v>1</v>
      </c>
    </row>
    <row r="473" spans="1:8" ht="15.75" customHeight="1">
      <c r="A473" s="4">
        <v>2025</v>
      </c>
      <c r="B473" s="4">
        <v>2</v>
      </c>
      <c r="C473" s="4" t="s">
        <v>70</v>
      </c>
      <c r="D473" s="4" t="s">
        <v>5</v>
      </c>
      <c r="E473" s="4" t="s">
        <v>9</v>
      </c>
      <c r="F473" s="4" t="s">
        <v>7</v>
      </c>
      <c r="G473" s="5">
        <v>10920</v>
      </c>
      <c r="H473" s="4">
        <f>--AND(OR(Dashboard!$A$10="All",A473=Dashboard!$A$10),OR(Dashboard!$A$14="All",D473=Dashboard!$A$14),OR(Dashboard!$A$18="All",E473=Dashboard!$A$18),OR(Dashboard!$A$22="All",F473=Dashboard!$A$22))</f>
        <v>1</v>
      </c>
    </row>
    <row r="474" spans="1:8" ht="15.75" customHeight="1">
      <c r="A474" s="4">
        <v>2025</v>
      </c>
      <c r="B474" s="4">
        <v>2</v>
      </c>
      <c r="C474" s="4" t="s">
        <v>70</v>
      </c>
      <c r="D474" s="4" t="s">
        <v>5</v>
      </c>
      <c r="E474" s="4" t="s">
        <v>9</v>
      </c>
      <c r="F474" s="4" t="s">
        <v>10</v>
      </c>
      <c r="G474" s="5">
        <v>7207.2</v>
      </c>
      <c r="H474" s="4">
        <f>--AND(OR(Dashboard!$A$10="All",A474=Dashboard!$A$10),OR(Dashboard!$A$14="All",D474=Dashboard!$A$14),OR(Dashboard!$A$18="All",E474=Dashboard!$A$18),OR(Dashboard!$A$22="All",F474=Dashboard!$A$22))</f>
        <v>1</v>
      </c>
    </row>
    <row r="475" spans="1:8" ht="15.75" customHeight="1">
      <c r="A475" s="4">
        <v>2025</v>
      </c>
      <c r="B475" s="4">
        <v>2</v>
      </c>
      <c r="C475" s="4" t="s">
        <v>70</v>
      </c>
      <c r="D475" s="4" t="s">
        <v>5</v>
      </c>
      <c r="E475" s="4" t="s">
        <v>9</v>
      </c>
      <c r="F475" s="4" t="s">
        <v>13</v>
      </c>
      <c r="G475" s="5">
        <v>4368</v>
      </c>
      <c r="H475" s="4">
        <f>--AND(OR(Dashboard!$A$10="All",A475=Dashboard!$A$10),OR(Dashboard!$A$14="All",D475=Dashboard!$A$14),OR(Dashboard!$A$18="All",E475=Dashboard!$A$18),OR(Dashboard!$A$22="All",F475=Dashboard!$A$22))</f>
        <v>1</v>
      </c>
    </row>
    <row r="476" spans="1:8" ht="15.75" customHeight="1">
      <c r="A476" s="4">
        <v>2025</v>
      </c>
      <c r="B476" s="4">
        <v>2</v>
      </c>
      <c r="C476" s="4" t="s">
        <v>70</v>
      </c>
      <c r="D476" s="4" t="s">
        <v>5</v>
      </c>
      <c r="E476" s="4" t="s">
        <v>12</v>
      </c>
      <c r="F476" s="4" t="s">
        <v>7</v>
      </c>
      <c r="G476" s="5">
        <v>15015</v>
      </c>
      <c r="H476" s="4">
        <f>--AND(OR(Dashboard!$A$10="All",A476=Dashboard!$A$10),OR(Dashboard!$A$14="All",D476=Dashboard!$A$14),OR(Dashboard!$A$18="All",E476=Dashboard!$A$18),OR(Dashboard!$A$22="All",F476=Dashboard!$A$22))</f>
        <v>1</v>
      </c>
    </row>
    <row r="477" spans="1:8" ht="15.75" customHeight="1">
      <c r="A477" s="4">
        <v>2025</v>
      </c>
      <c r="B477" s="4">
        <v>2</v>
      </c>
      <c r="C477" s="4" t="s">
        <v>70</v>
      </c>
      <c r="D477" s="4" t="s">
        <v>5</v>
      </c>
      <c r="E477" s="4" t="s">
        <v>12</v>
      </c>
      <c r="F477" s="4" t="s">
        <v>10</v>
      </c>
      <c r="G477" s="5">
        <v>9909.9</v>
      </c>
      <c r="H477" s="4">
        <f>--AND(OR(Dashboard!$A$10="All",A477=Dashboard!$A$10),OR(Dashboard!$A$14="All",D477=Dashboard!$A$14),OR(Dashboard!$A$18="All",E477=Dashboard!$A$18),OR(Dashboard!$A$22="All",F477=Dashboard!$A$22))</f>
        <v>1</v>
      </c>
    </row>
    <row r="478" spans="1:8" ht="15.75" customHeight="1">
      <c r="A478" s="4">
        <v>2025</v>
      </c>
      <c r="B478" s="4">
        <v>2</v>
      </c>
      <c r="C478" s="4" t="s">
        <v>70</v>
      </c>
      <c r="D478" s="4" t="s">
        <v>5</v>
      </c>
      <c r="E478" s="4" t="s">
        <v>12</v>
      </c>
      <c r="F478" s="4" t="s">
        <v>13</v>
      </c>
      <c r="G478" s="5">
        <v>6006</v>
      </c>
      <c r="H478" s="4">
        <f>--AND(OR(Dashboard!$A$10="All",A478=Dashboard!$A$10),OR(Dashboard!$A$14="All",D478=Dashboard!$A$14),OR(Dashboard!$A$18="All",E478=Dashboard!$A$18),OR(Dashboard!$A$22="All",F478=Dashboard!$A$22))</f>
        <v>1</v>
      </c>
    </row>
    <row r="479" spans="1:8" ht="15.75" customHeight="1">
      <c r="A479" s="4">
        <v>2025</v>
      </c>
      <c r="B479" s="4">
        <v>2</v>
      </c>
      <c r="C479" s="4" t="s">
        <v>70</v>
      </c>
      <c r="D479" s="4" t="s">
        <v>8</v>
      </c>
      <c r="E479" s="4" t="s">
        <v>6</v>
      </c>
      <c r="F479" s="4" t="s">
        <v>7</v>
      </c>
      <c r="G479" s="5">
        <v>10578.75</v>
      </c>
      <c r="H479" s="4">
        <f>--AND(OR(Dashboard!$A$10="All",A479=Dashboard!$A$10),OR(Dashboard!$A$14="All",D479=Dashboard!$A$14),OR(Dashboard!$A$18="All",E479=Dashboard!$A$18),OR(Dashboard!$A$22="All",F479=Dashboard!$A$22))</f>
        <v>1</v>
      </c>
    </row>
    <row r="480" spans="1:8" ht="15.75" customHeight="1">
      <c r="A480" s="4">
        <v>2025</v>
      </c>
      <c r="B480" s="4">
        <v>2</v>
      </c>
      <c r="C480" s="4" t="s">
        <v>70</v>
      </c>
      <c r="D480" s="4" t="s">
        <v>8</v>
      </c>
      <c r="E480" s="4" t="s">
        <v>6</v>
      </c>
      <c r="F480" s="4" t="s">
        <v>10</v>
      </c>
      <c r="G480" s="5">
        <v>6981.98</v>
      </c>
      <c r="H480" s="4">
        <f>--AND(OR(Dashboard!$A$10="All",A480=Dashboard!$A$10),OR(Dashboard!$A$14="All",D480=Dashboard!$A$14),OR(Dashboard!$A$18="All",E480=Dashboard!$A$18),OR(Dashboard!$A$22="All",F480=Dashboard!$A$22))</f>
        <v>1</v>
      </c>
    </row>
    <row r="481" spans="1:8" ht="15.75" customHeight="1">
      <c r="A481" s="4">
        <v>2025</v>
      </c>
      <c r="B481" s="4">
        <v>2</v>
      </c>
      <c r="C481" s="4" t="s">
        <v>70</v>
      </c>
      <c r="D481" s="4" t="s">
        <v>8</v>
      </c>
      <c r="E481" s="4" t="s">
        <v>6</v>
      </c>
      <c r="F481" s="4" t="s">
        <v>13</v>
      </c>
      <c r="G481" s="5">
        <v>4231.5</v>
      </c>
      <c r="H481" s="4">
        <f>--AND(OR(Dashboard!$A$10="All",A481=Dashboard!$A$10),OR(Dashboard!$A$14="All",D481=Dashboard!$A$14),OR(Dashboard!$A$18="All",E481=Dashboard!$A$18),OR(Dashboard!$A$22="All",F481=Dashboard!$A$22))</f>
        <v>1</v>
      </c>
    </row>
    <row r="482" spans="1:8" ht="15.75" customHeight="1">
      <c r="A482" s="4">
        <v>2025</v>
      </c>
      <c r="B482" s="4">
        <v>2</v>
      </c>
      <c r="C482" s="4" t="s">
        <v>70</v>
      </c>
      <c r="D482" s="4" t="s">
        <v>8</v>
      </c>
      <c r="E482" s="4" t="s">
        <v>9</v>
      </c>
      <c r="F482" s="4" t="s">
        <v>7</v>
      </c>
      <c r="G482" s="5">
        <v>6770.4</v>
      </c>
      <c r="H482" s="4">
        <f>--AND(OR(Dashboard!$A$10="All",A482=Dashboard!$A$10),OR(Dashboard!$A$14="All",D482=Dashboard!$A$14),OR(Dashboard!$A$18="All",E482=Dashboard!$A$18),OR(Dashboard!$A$22="All",F482=Dashboard!$A$22))</f>
        <v>1</v>
      </c>
    </row>
    <row r="483" spans="1:8" ht="15.75" customHeight="1">
      <c r="A483" s="4">
        <v>2025</v>
      </c>
      <c r="B483" s="4">
        <v>2</v>
      </c>
      <c r="C483" s="4" t="s">
        <v>70</v>
      </c>
      <c r="D483" s="4" t="s">
        <v>8</v>
      </c>
      <c r="E483" s="4" t="s">
        <v>9</v>
      </c>
      <c r="F483" s="4" t="s">
        <v>10</v>
      </c>
      <c r="G483" s="5">
        <v>4468.46</v>
      </c>
      <c r="H483" s="4">
        <f>--AND(OR(Dashboard!$A$10="All",A483=Dashboard!$A$10),OR(Dashboard!$A$14="All",D483=Dashboard!$A$14),OR(Dashboard!$A$18="All",E483=Dashboard!$A$18),OR(Dashboard!$A$22="All",F483=Dashboard!$A$22))</f>
        <v>1</v>
      </c>
    </row>
    <row r="484" spans="1:8" ht="15.75" customHeight="1">
      <c r="A484" s="4">
        <v>2025</v>
      </c>
      <c r="B484" s="4">
        <v>2</v>
      </c>
      <c r="C484" s="4" t="s">
        <v>70</v>
      </c>
      <c r="D484" s="4" t="s">
        <v>8</v>
      </c>
      <c r="E484" s="4" t="s">
        <v>9</v>
      </c>
      <c r="F484" s="4" t="s">
        <v>13</v>
      </c>
      <c r="G484" s="5">
        <v>2708.16</v>
      </c>
      <c r="H484" s="4">
        <f>--AND(OR(Dashboard!$A$10="All",A484=Dashboard!$A$10),OR(Dashboard!$A$14="All",D484=Dashboard!$A$14),OR(Dashboard!$A$18="All",E484=Dashboard!$A$18),OR(Dashboard!$A$22="All",F484=Dashboard!$A$22))</f>
        <v>1</v>
      </c>
    </row>
    <row r="485" spans="1:8" ht="15.75" customHeight="1">
      <c r="A485" s="4">
        <v>2025</v>
      </c>
      <c r="B485" s="4">
        <v>2</v>
      </c>
      <c r="C485" s="4" t="s">
        <v>70</v>
      </c>
      <c r="D485" s="4" t="s">
        <v>8</v>
      </c>
      <c r="E485" s="4" t="s">
        <v>12</v>
      </c>
      <c r="F485" s="4" t="s">
        <v>7</v>
      </c>
      <c r="G485" s="5">
        <v>9309.2999999999993</v>
      </c>
      <c r="H485" s="4">
        <f>--AND(OR(Dashboard!$A$10="All",A485=Dashboard!$A$10),OR(Dashboard!$A$14="All",D485=Dashboard!$A$14),OR(Dashboard!$A$18="All",E485=Dashboard!$A$18),OR(Dashboard!$A$22="All",F485=Dashboard!$A$22))</f>
        <v>1</v>
      </c>
    </row>
    <row r="486" spans="1:8" ht="15.75" customHeight="1">
      <c r="A486" s="4">
        <v>2025</v>
      </c>
      <c r="B486" s="4">
        <v>2</v>
      </c>
      <c r="C486" s="4" t="s">
        <v>70</v>
      </c>
      <c r="D486" s="4" t="s">
        <v>8</v>
      </c>
      <c r="E486" s="4" t="s">
        <v>12</v>
      </c>
      <c r="F486" s="4" t="s">
        <v>10</v>
      </c>
      <c r="G486" s="5">
        <v>6144.14</v>
      </c>
      <c r="H486" s="4">
        <f>--AND(OR(Dashboard!$A$10="All",A486=Dashboard!$A$10),OR(Dashboard!$A$14="All",D486=Dashboard!$A$14),OR(Dashboard!$A$18="All",E486=Dashboard!$A$18),OR(Dashboard!$A$22="All",F486=Dashboard!$A$22))</f>
        <v>1</v>
      </c>
    </row>
    <row r="487" spans="1:8" ht="15.75" customHeight="1">
      <c r="A487" s="4">
        <v>2025</v>
      </c>
      <c r="B487" s="4">
        <v>2</v>
      </c>
      <c r="C487" s="4" t="s">
        <v>70</v>
      </c>
      <c r="D487" s="4" t="s">
        <v>8</v>
      </c>
      <c r="E487" s="4" t="s">
        <v>12</v>
      </c>
      <c r="F487" s="4" t="s">
        <v>13</v>
      </c>
      <c r="G487" s="5">
        <v>3723.72</v>
      </c>
      <c r="H487" s="4">
        <f>--AND(OR(Dashboard!$A$10="All",A487=Dashboard!$A$10),OR(Dashboard!$A$14="All",D487=Dashboard!$A$14),OR(Dashboard!$A$18="All",E487=Dashboard!$A$18),OR(Dashboard!$A$22="All",F487=Dashboard!$A$22))</f>
        <v>1</v>
      </c>
    </row>
    <row r="488" spans="1:8" ht="15.75" customHeight="1">
      <c r="A488" s="4">
        <v>2025</v>
      </c>
      <c r="B488" s="4">
        <v>2</v>
      </c>
      <c r="C488" s="4" t="s">
        <v>70</v>
      </c>
      <c r="D488" s="4" t="s">
        <v>11</v>
      </c>
      <c r="E488" s="4" t="s">
        <v>6</v>
      </c>
      <c r="F488" s="4" t="s">
        <v>7</v>
      </c>
      <c r="G488" s="5">
        <v>7507.5</v>
      </c>
      <c r="H488" s="4">
        <f>--AND(OR(Dashboard!$A$10="All",A488=Dashboard!$A$10),OR(Dashboard!$A$14="All",D488=Dashboard!$A$14),OR(Dashboard!$A$18="All",E488=Dashboard!$A$18),OR(Dashboard!$A$22="All",F488=Dashboard!$A$22))</f>
        <v>1</v>
      </c>
    </row>
    <row r="489" spans="1:8" ht="15.75" customHeight="1">
      <c r="A489" s="4">
        <v>2025</v>
      </c>
      <c r="B489" s="4">
        <v>2</v>
      </c>
      <c r="C489" s="4" t="s">
        <v>70</v>
      </c>
      <c r="D489" s="4" t="s">
        <v>11</v>
      </c>
      <c r="E489" s="4" t="s">
        <v>6</v>
      </c>
      <c r="F489" s="4" t="s">
        <v>10</v>
      </c>
      <c r="G489" s="5">
        <v>4954.95</v>
      </c>
      <c r="H489" s="4">
        <f>--AND(OR(Dashboard!$A$10="All",A489=Dashboard!$A$10),OR(Dashboard!$A$14="All",D489=Dashboard!$A$14),OR(Dashboard!$A$18="All",E489=Dashboard!$A$18),OR(Dashboard!$A$22="All",F489=Dashboard!$A$22))</f>
        <v>1</v>
      </c>
    </row>
    <row r="490" spans="1:8" ht="15.75" customHeight="1">
      <c r="A490" s="4">
        <v>2025</v>
      </c>
      <c r="B490" s="4">
        <v>2</v>
      </c>
      <c r="C490" s="4" t="s">
        <v>70</v>
      </c>
      <c r="D490" s="4" t="s">
        <v>11</v>
      </c>
      <c r="E490" s="4" t="s">
        <v>6</v>
      </c>
      <c r="F490" s="4" t="s">
        <v>13</v>
      </c>
      <c r="G490" s="5">
        <v>3003</v>
      </c>
      <c r="H490" s="4">
        <f>--AND(OR(Dashboard!$A$10="All",A490=Dashboard!$A$10),OR(Dashboard!$A$14="All",D490=Dashboard!$A$14),OR(Dashboard!$A$18="All",E490=Dashboard!$A$18),OR(Dashboard!$A$22="All",F490=Dashboard!$A$22))</f>
        <v>1</v>
      </c>
    </row>
    <row r="491" spans="1:8" ht="15.75" customHeight="1">
      <c r="A491" s="4">
        <v>2025</v>
      </c>
      <c r="B491" s="4">
        <v>2</v>
      </c>
      <c r="C491" s="4" t="s">
        <v>70</v>
      </c>
      <c r="D491" s="4" t="s">
        <v>11</v>
      </c>
      <c r="E491" s="4" t="s">
        <v>9</v>
      </c>
      <c r="F491" s="4" t="s">
        <v>7</v>
      </c>
      <c r="G491" s="5">
        <v>4804.8</v>
      </c>
      <c r="H491" s="4">
        <f>--AND(OR(Dashboard!$A$10="All",A491=Dashboard!$A$10),OR(Dashboard!$A$14="All",D491=Dashboard!$A$14),OR(Dashboard!$A$18="All",E491=Dashboard!$A$18),OR(Dashboard!$A$22="All",F491=Dashboard!$A$22))</f>
        <v>1</v>
      </c>
    </row>
    <row r="492" spans="1:8" ht="15.75" customHeight="1">
      <c r="A492" s="4">
        <v>2025</v>
      </c>
      <c r="B492" s="4">
        <v>2</v>
      </c>
      <c r="C492" s="4" t="s">
        <v>70</v>
      </c>
      <c r="D492" s="4" t="s">
        <v>11</v>
      </c>
      <c r="E492" s="4" t="s">
        <v>9</v>
      </c>
      <c r="F492" s="4" t="s">
        <v>10</v>
      </c>
      <c r="G492" s="5">
        <v>3171.17</v>
      </c>
      <c r="H492" s="4">
        <f>--AND(OR(Dashboard!$A$10="All",A492=Dashboard!$A$10),OR(Dashboard!$A$14="All",D492=Dashboard!$A$14),OR(Dashboard!$A$18="All",E492=Dashboard!$A$18),OR(Dashboard!$A$22="All",F492=Dashboard!$A$22))</f>
        <v>1</v>
      </c>
    </row>
    <row r="493" spans="1:8" ht="15.75" customHeight="1">
      <c r="A493" s="4">
        <v>2025</v>
      </c>
      <c r="B493" s="4">
        <v>2</v>
      </c>
      <c r="C493" s="4" t="s">
        <v>70</v>
      </c>
      <c r="D493" s="4" t="s">
        <v>11</v>
      </c>
      <c r="E493" s="4" t="s">
        <v>9</v>
      </c>
      <c r="F493" s="4" t="s">
        <v>13</v>
      </c>
      <c r="G493" s="5">
        <v>1921.92</v>
      </c>
      <c r="H493" s="4">
        <f>--AND(OR(Dashboard!$A$10="All",A493=Dashboard!$A$10),OR(Dashboard!$A$14="All",D493=Dashboard!$A$14),OR(Dashboard!$A$18="All",E493=Dashboard!$A$18),OR(Dashboard!$A$22="All",F493=Dashboard!$A$22))</f>
        <v>1</v>
      </c>
    </row>
    <row r="494" spans="1:8" ht="15.75" customHeight="1">
      <c r="A494" s="4">
        <v>2025</v>
      </c>
      <c r="B494" s="4">
        <v>2</v>
      </c>
      <c r="C494" s="4" t="s">
        <v>70</v>
      </c>
      <c r="D494" s="4" t="s">
        <v>11</v>
      </c>
      <c r="E494" s="4" t="s">
        <v>12</v>
      </c>
      <c r="F494" s="4" t="s">
        <v>7</v>
      </c>
      <c r="G494" s="5">
        <v>6606.6</v>
      </c>
      <c r="H494" s="4">
        <f>--AND(OR(Dashboard!$A$10="All",A494=Dashboard!$A$10),OR(Dashboard!$A$14="All",D494=Dashboard!$A$14),OR(Dashboard!$A$18="All",E494=Dashboard!$A$18),OR(Dashboard!$A$22="All",F494=Dashboard!$A$22))</f>
        <v>1</v>
      </c>
    </row>
    <row r="495" spans="1:8" ht="15.75" customHeight="1">
      <c r="A495" s="4">
        <v>2025</v>
      </c>
      <c r="B495" s="4">
        <v>2</v>
      </c>
      <c r="C495" s="4" t="s">
        <v>70</v>
      </c>
      <c r="D495" s="4" t="s">
        <v>11</v>
      </c>
      <c r="E495" s="4" t="s">
        <v>12</v>
      </c>
      <c r="F495" s="4" t="s">
        <v>10</v>
      </c>
      <c r="G495" s="5">
        <v>4360.3599999999997</v>
      </c>
      <c r="H495" s="4">
        <f>--AND(OR(Dashboard!$A$10="All",A495=Dashboard!$A$10),OR(Dashboard!$A$14="All",D495=Dashboard!$A$14),OR(Dashboard!$A$18="All",E495=Dashboard!$A$18),OR(Dashboard!$A$22="All",F495=Dashboard!$A$22))</f>
        <v>1</v>
      </c>
    </row>
    <row r="496" spans="1:8" ht="15.75" customHeight="1">
      <c r="A496" s="4">
        <v>2025</v>
      </c>
      <c r="B496" s="4">
        <v>2</v>
      </c>
      <c r="C496" s="4" t="s">
        <v>70</v>
      </c>
      <c r="D496" s="4" t="s">
        <v>11</v>
      </c>
      <c r="E496" s="4" t="s">
        <v>12</v>
      </c>
      <c r="F496" s="4" t="s">
        <v>13</v>
      </c>
      <c r="G496" s="5">
        <v>2642.64</v>
      </c>
      <c r="H496" s="4">
        <f>--AND(OR(Dashboard!$A$10="All",A496=Dashboard!$A$10),OR(Dashboard!$A$14="All",D496=Dashboard!$A$14),OR(Dashboard!$A$18="All",E496=Dashboard!$A$18),OR(Dashboard!$A$22="All",F496=Dashboard!$A$22))</f>
        <v>1</v>
      </c>
    </row>
    <row r="497" spans="1:8" ht="15.75" customHeight="1">
      <c r="A497" s="4">
        <v>2025</v>
      </c>
      <c r="B497" s="4">
        <v>2</v>
      </c>
      <c r="C497" s="4" t="s">
        <v>70</v>
      </c>
      <c r="D497" s="4" t="s">
        <v>14</v>
      </c>
      <c r="E497" s="4" t="s">
        <v>6</v>
      </c>
      <c r="F497" s="4" t="s">
        <v>7</v>
      </c>
      <c r="G497" s="5">
        <v>5118.75</v>
      </c>
      <c r="H497" s="4">
        <f>--AND(OR(Dashboard!$A$10="All",A497=Dashboard!$A$10),OR(Dashboard!$A$14="All",D497=Dashboard!$A$14),OR(Dashboard!$A$18="All",E497=Dashboard!$A$18),OR(Dashboard!$A$22="All",F497=Dashboard!$A$22))</f>
        <v>1</v>
      </c>
    </row>
    <row r="498" spans="1:8" ht="15.75" customHeight="1">
      <c r="A498" s="4">
        <v>2025</v>
      </c>
      <c r="B498" s="4">
        <v>2</v>
      </c>
      <c r="C498" s="4" t="s">
        <v>70</v>
      </c>
      <c r="D498" s="4" t="s">
        <v>14</v>
      </c>
      <c r="E498" s="4" t="s">
        <v>6</v>
      </c>
      <c r="F498" s="4" t="s">
        <v>10</v>
      </c>
      <c r="G498" s="5">
        <v>3378.38</v>
      </c>
      <c r="H498" s="4">
        <f>--AND(OR(Dashboard!$A$10="All",A498=Dashboard!$A$10),OR(Dashboard!$A$14="All",D498=Dashboard!$A$14),OR(Dashboard!$A$18="All",E498=Dashboard!$A$18),OR(Dashboard!$A$22="All",F498=Dashboard!$A$22))</f>
        <v>1</v>
      </c>
    </row>
    <row r="499" spans="1:8" ht="15.75" customHeight="1">
      <c r="A499" s="4">
        <v>2025</v>
      </c>
      <c r="B499" s="4">
        <v>2</v>
      </c>
      <c r="C499" s="4" t="s">
        <v>70</v>
      </c>
      <c r="D499" s="4" t="s">
        <v>14</v>
      </c>
      <c r="E499" s="4" t="s">
        <v>6</v>
      </c>
      <c r="F499" s="4" t="s">
        <v>13</v>
      </c>
      <c r="G499" s="5">
        <v>2047.5</v>
      </c>
      <c r="H499" s="4">
        <f>--AND(OR(Dashboard!$A$10="All",A499=Dashboard!$A$10),OR(Dashboard!$A$14="All",D499=Dashboard!$A$14),OR(Dashboard!$A$18="All",E499=Dashboard!$A$18),OR(Dashboard!$A$22="All",F499=Dashboard!$A$22))</f>
        <v>1</v>
      </c>
    </row>
    <row r="500" spans="1:8" ht="15.75" customHeight="1">
      <c r="A500" s="4">
        <v>2025</v>
      </c>
      <c r="B500" s="4">
        <v>2</v>
      </c>
      <c r="C500" s="4" t="s">
        <v>70</v>
      </c>
      <c r="D500" s="4" t="s">
        <v>14</v>
      </c>
      <c r="E500" s="4" t="s">
        <v>9</v>
      </c>
      <c r="F500" s="4" t="s">
        <v>7</v>
      </c>
      <c r="G500" s="5">
        <v>3276</v>
      </c>
      <c r="H500" s="4">
        <f>--AND(OR(Dashboard!$A$10="All",A500=Dashboard!$A$10),OR(Dashboard!$A$14="All",D500=Dashboard!$A$14),OR(Dashboard!$A$18="All",E500=Dashboard!$A$18),OR(Dashboard!$A$22="All",F500=Dashboard!$A$22))</f>
        <v>1</v>
      </c>
    </row>
    <row r="501" spans="1:8" ht="15.75" customHeight="1">
      <c r="A501" s="4">
        <v>2025</v>
      </c>
      <c r="B501" s="4">
        <v>2</v>
      </c>
      <c r="C501" s="4" t="s">
        <v>70</v>
      </c>
      <c r="D501" s="4" t="s">
        <v>14</v>
      </c>
      <c r="E501" s="4" t="s">
        <v>9</v>
      </c>
      <c r="F501" s="4" t="s">
        <v>10</v>
      </c>
      <c r="G501" s="5">
        <v>2162.16</v>
      </c>
      <c r="H501" s="4">
        <f>--AND(OR(Dashboard!$A$10="All",A501=Dashboard!$A$10),OR(Dashboard!$A$14="All",D501=Dashboard!$A$14),OR(Dashboard!$A$18="All",E501=Dashboard!$A$18),OR(Dashboard!$A$22="All",F501=Dashboard!$A$22))</f>
        <v>1</v>
      </c>
    </row>
    <row r="502" spans="1:8" ht="15.75" customHeight="1">
      <c r="A502" s="4">
        <v>2025</v>
      </c>
      <c r="B502" s="4">
        <v>2</v>
      </c>
      <c r="C502" s="4" t="s">
        <v>70</v>
      </c>
      <c r="D502" s="4" t="s">
        <v>14</v>
      </c>
      <c r="E502" s="4" t="s">
        <v>9</v>
      </c>
      <c r="F502" s="4" t="s">
        <v>13</v>
      </c>
      <c r="G502" s="5">
        <v>1310.4000000000001</v>
      </c>
      <c r="H502" s="4">
        <f>--AND(OR(Dashboard!$A$10="All",A502=Dashboard!$A$10),OR(Dashboard!$A$14="All",D502=Dashboard!$A$14),OR(Dashboard!$A$18="All",E502=Dashboard!$A$18),OR(Dashboard!$A$22="All",F502=Dashboard!$A$22))</f>
        <v>1</v>
      </c>
    </row>
    <row r="503" spans="1:8" ht="15.75" customHeight="1">
      <c r="A503" s="4">
        <v>2025</v>
      </c>
      <c r="B503" s="4">
        <v>2</v>
      </c>
      <c r="C503" s="4" t="s">
        <v>70</v>
      </c>
      <c r="D503" s="4" t="s">
        <v>14</v>
      </c>
      <c r="E503" s="4" t="s">
        <v>12</v>
      </c>
      <c r="F503" s="4" t="s">
        <v>7</v>
      </c>
      <c r="G503" s="5">
        <v>4504.5</v>
      </c>
      <c r="H503" s="4">
        <f>--AND(OR(Dashboard!$A$10="All",A503=Dashboard!$A$10),OR(Dashboard!$A$14="All",D503=Dashboard!$A$14),OR(Dashboard!$A$18="All",E503=Dashboard!$A$18),OR(Dashboard!$A$22="All",F503=Dashboard!$A$22))</f>
        <v>1</v>
      </c>
    </row>
    <row r="504" spans="1:8" ht="15.75" customHeight="1">
      <c r="A504" s="4">
        <v>2025</v>
      </c>
      <c r="B504" s="4">
        <v>2</v>
      </c>
      <c r="C504" s="4" t="s">
        <v>70</v>
      </c>
      <c r="D504" s="4" t="s">
        <v>14</v>
      </c>
      <c r="E504" s="4" t="s">
        <v>12</v>
      </c>
      <c r="F504" s="4" t="s">
        <v>10</v>
      </c>
      <c r="G504" s="5">
        <v>2972.97</v>
      </c>
      <c r="H504" s="4">
        <f>--AND(OR(Dashboard!$A$10="All",A504=Dashboard!$A$10),OR(Dashboard!$A$14="All",D504=Dashboard!$A$14),OR(Dashboard!$A$18="All",E504=Dashboard!$A$18),OR(Dashboard!$A$22="All",F504=Dashboard!$A$22))</f>
        <v>1</v>
      </c>
    </row>
    <row r="505" spans="1:8" ht="15.75" customHeight="1">
      <c r="A505" s="4">
        <v>2025</v>
      </c>
      <c r="B505" s="4">
        <v>2</v>
      </c>
      <c r="C505" s="4" t="s">
        <v>70</v>
      </c>
      <c r="D505" s="4" t="s">
        <v>14</v>
      </c>
      <c r="E505" s="4" t="s">
        <v>12</v>
      </c>
      <c r="F505" s="4" t="s">
        <v>13</v>
      </c>
      <c r="G505" s="5">
        <v>1801.8</v>
      </c>
      <c r="H505" s="4">
        <f>--AND(OR(Dashboard!$A$10="All",A505=Dashboard!$A$10),OR(Dashboard!$A$14="All",D505=Dashboard!$A$14),OR(Dashboard!$A$18="All",E505=Dashboard!$A$18),OR(Dashboard!$A$22="All",F505=Dashboard!$A$22))</f>
        <v>1</v>
      </c>
    </row>
    <row r="506" spans="1:8" ht="15.75" customHeight="1">
      <c r="A506" s="4">
        <v>2025</v>
      </c>
      <c r="B506" s="4">
        <v>3</v>
      </c>
      <c r="C506" s="4" t="s">
        <v>100</v>
      </c>
      <c r="D506" s="4" t="s">
        <v>5</v>
      </c>
      <c r="E506" s="4" t="s">
        <v>6</v>
      </c>
      <c r="F506" s="4" t="s">
        <v>7</v>
      </c>
      <c r="G506" s="5">
        <v>17062.5</v>
      </c>
      <c r="H506" s="4">
        <f>--AND(OR(Dashboard!$A$10="All",A506=Dashboard!$A$10),OR(Dashboard!$A$14="All",D506=Dashboard!$A$14),OR(Dashboard!$A$18="All",E506=Dashboard!$A$18),OR(Dashboard!$A$22="All",F506=Dashboard!$A$22))</f>
        <v>1</v>
      </c>
    </row>
    <row r="507" spans="1:8" ht="15.75" customHeight="1">
      <c r="A507" s="4">
        <v>2025</v>
      </c>
      <c r="B507" s="4">
        <v>3</v>
      </c>
      <c r="C507" s="4" t="s">
        <v>100</v>
      </c>
      <c r="D507" s="4" t="s">
        <v>5</v>
      </c>
      <c r="E507" s="4" t="s">
        <v>6</v>
      </c>
      <c r="F507" s="4" t="s">
        <v>10</v>
      </c>
      <c r="G507" s="5">
        <v>11261.25</v>
      </c>
      <c r="H507" s="4">
        <f>--AND(OR(Dashboard!$A$10="All",A507=Dashboard!$A$10),OR(Dashboard!$A$14="All",D507=Dashboard!$A$14),OR(Dashboard!$A$18="All",E507=Dashboard!$A$18),OR(Dashboard!$A$22="All",F507=Dashboard!$A$22))</f>
        <v>1</v>
      </c>
    </row>
    <row r="508" spans="1:8" ht="15.75" customHeight="1">
      <c r="A508" s="4">
        <v>2025</v>
      </c>
      <c r="B508" s="4">
        <v>3</v>
      </c>
      <c r="C508" s="4" t="s">
        <v>100</v>
      </c>
      <c r="D508" s="4" t="s">
        <v>5</v>
      </c>
      <c r="E508" s="4" t="s">
        <v>6</v>
      </c>
      <c r="F508" s="4" t="s">
        <v>13</v>
      </c>
      <c r="G508" s="5">
        <v>6825</v>
      </c>
      <c r="H508" s="4">
        <f>--AND(OR(Dashboard!$A$10="All",A508=Dashboard!$A$10),OR(Dashboard!$A$14="All",D508=Dashboard!$A$14),OR(Dashboard!$A$18="All",E508=Dashboard!$A$18),OR(Dashboard!$A$22="All",F508=Dashboard!$A$22))</f>
        <v>1</v>
      </c>
    </row>
    <row r="509" spans="1:8" ht="15.75" customHeight="1">
      <c r="A509" s="4">
        <v>2025</v>
      </c>
      <c r="B509" s="4">
        <v>3</v>
      </c>
      <c r="C509" s="4" t="s">
        <v>100</v>
      </c>
      <c r="D509" s="4" t="s">
        <v>5</v>
      </c>
      <c r="E509" s="4" t="s">
        <v>9</v>
      </c>
      <c r="F509" s="4" t="s">
        <v>7</v>
      </c>
      <c r="G509" s="5">
        <v>10920</v>
      </c>
      <c r="H509" s="4">
        <f>--AND(OR(Dashboard!$A$10="All",A509=Dashboard!$A$10),OR(Dashboard!$A$14="All",D509=Dashboard!$A$14),OR(Dashboard!$A$18="All",E509=Dashboard!$A$18),OR(Dashboard!$A$22="All",F509=Dashboard!$A$22))</f>
        <v>1</v>
      </c>
    </row>
    <row r="510" spans="1:8" ht="15.75" customHeight="1">
      <c r="A510" s="4">
        <v>2025</v>
      </c>
      <c r="B510" s="4">
        <v>3</v>
      </c>
      <c r="C510" s="4" t="s">
        <v>100</v>
      </c>
      <c r="D510" s="4" t="s">
        <v>5</v>
      </c>
      <c r="E510" s="4" t="s">
        <v>9</v>
      </c>
      <c r="F510" s="4" t="s">
        <v>10</v>
      </c>
      <c r="G510" s="5">
        <v>7207.2</v>
      </c>
      <c r="H510" s="4">
        <f>--AND(OR(Dashboard!$A$10="All",A510=Dashboard!$A$10),OR(Dashboard!$A$14="All",D510=Dashboard!$A$14),OR(Dashboard!$A$18="All",E510=Dashboard!$A$18),OR(Dashboard!$A$22="All",F510=Dashboard!$A$22))</f>
        <v>1</v>
      </c>
    </row>
    <row r="511" spans="1:8" ht="15.75" customHeight="1">
      <c r="A511" s="4">
        <v>2025</v>
      </c>
      <c r="B511" s="4">
        <v>3</v>
      </c>
      <c r="C511" s="4" t="s">
        <v>100</v>
      </c>
      <c r="D511" s="4" t="s">
        <v>5</v>
      </c>
      <c r="E511" s="4" t="s">
        <v>9</v>
      </c>
      <c r="F511" s="4" t="s">
        <v>13</v>
      </c>
      <c r="G511" s="5">
        <v>4368</v>
      </c>
      <c r="H511" s="4">
        <f>--AND(OR(Dashboard!$A$10="All",A511=Dashboard!$A$10),OR(Dashboard!$A$14="All",D511=Dashboard!$A$14),OR(Dashboard!$A$18="All",E511=Dashboard!$A$18),OR(Dashboard!$A$22="All",F511=Dashboard!$A$22))</f>
        <v>1</v>
      </c>
    </row>
    <row r="512" spans="1:8" ht="15.75" customHeight="1">
      <c r="A512" s="4">
        <v>2025</v>
      </c>
      <c r="B512" s="4">
        <v>3</v>
      </c>
      <c r="C512" s="4" t="s">
        <v>100</v>
      </c>
      <c r="D512" s="4" t="s">
        <v>5</v>
      </c>
      <c r="E512" s="4" t="s">
        <v>12</v>
      </c>
      <c r="F512" s="4" t="s">
        <v>7</v>
      </c>
      <c r="G512" s="5">
        <v>15015</v>
      </c>
      <c r="H512" s="4">
        <f>--AND(OR(Dashboard!$A$10="All",A512=Dashboard!$A$10),OR(Dashboard!$A$14="All",D512=Dashboard!$A$14),OR(Dashboard!$A$18="All",E512=Dashboard!$A$18),OR(Dashboard!$A$22="All",F512=Dashboard!$A$22))</f>
        <v>1</v>
      </c>
    </row>
    <row r="513" spans="1:8" ht="15.75" customHeight="1">
      <c r="A513" s="4">
        <v>2025</v>
      </c>
      <c r="B513" s="4">
        <v>3</v>
      </c>
      <c r="C513" s="4" t="s">
        <v>100</v>
      </c>
      <c r="D513" s="4" t="s">
        <v>5</v>
      </c>
      <c r="E513" s="4" t="s">
        <v>12</v>
      </c>
      <c r="F513" s="4" t="s">
        <v>10</v>
      </c>
      <c r="G513" s="5">
        <v>9909.9</v>
      </c>
      <c r="H513" s="4">
        <f>--AND(OR(Dashboard!$A$10="All",A513=Dashboard!$A$10),OR(Dashboard!$A$14="All",D513=Dashboard!$A$14),OR(Dashboard!$A$18="All",E513=Dashboard!$A$18),OR(Dashboard!$A$22="All",F513=Dashboard!$A$22))</f>
        <v>1</v>
      </c>
    </row>
    <row r="514" spans="1:8" ht="15.75" customHeight="1">
      <c r="A514" s="4">
        <v>2025</v>
      </c>
      <c r="B514" s="4">
        <v>3</v>
      </c>
      <c r="C514" s="4" t="s">
        <v>100</v>
      </c>
      <c r="D514" s="4" t="s">
        <v>5</v>
      </c>
      <c r="E514" s="4" t="s">
        <v>12</v>
      </c>
      <c r="F514" s="4" t="s">
        <v>13</v>
      </c>
      <c r="G514" s="5">
        <v>6006</v>
      </c>
      <c r="H514" s="4">
        <f>--AND(OR(Dashboard!$A$10="All",A514=Dashboard!$A$10),OR(Dashboard!$A$14="All",D514=Dashboard!$A$14),OR(Dashboard!$A$18="All",E514=Dashboard!$A$18),OR(Dashboard!$A$22="All",F514=Dashboard!$A$22))</f>
        <v>1</v>
      </c>
    </row>
    <row r="515" spans="1:8" ht="15.75" customHeight="1">
      <c r="A515" s="4">
        <v>2025</v>
      </c>
      <c r="B515" s="4">
        <v>3</v>
      </c>
      <c r="C515" s="4" t="s">
        <v>100</v>
      </c>
      <c r="D515" s="4" t="s">
        <v>8</v>
      </c>
      <c r="E515" s="4" t="s">
        <v>6</v>
      </c>
      <c r="F515" s="4" t="s">
        <v>7</v>
      </c>
      <c r="G515" s="5">
        <v>10578.75</v>
      </c>
      <c r="H515" s="4">
        <f>--AND(OR(Dashboard!$A$10="All",A515=Dashboard!$A$10),OR(Dashboard!$A$14="All",D515=Dashboard!$A$14),OR(Dashboard!$A$18="All",E515=Dashboard!$A$18),OR(Dashboard!$A$22="All",F515=Dashboard!$A$22))</f>
        <v>1</v>
      </c>
    </row>
    <row r="516" spans="1:8" ht="15.75" customHeight="1">
      <c r="A516" s="4">
        <v>2025</v>
      </c>
      <c r="B516" s="4">
        <v>3</v>
      </c>
      <c r="C516" s="4" t="s">
        <v>100</v>
      </c>
      <c r="D516" s="4" t="s">
        <v>8</v>
      </c>
      <c r="E516" s="4" t="s">
        <v>6</v>
      </c>
      <c r="F516" s="4" t="s">
        <v>10</v>
      </c>
      <c r="G516" s="5">
        <v>6981.98</v>
      </c>
      <c r="H516" s="4">
        <f>--AND(OR(Dashboard!$A$10="All",A516=Dashboard!$A$10),OR(Dashboard!$A$14="All",D516=Dashboard!$A$14),OR(Dashboard!$A$18="All",E516=Dashboard!$A$18),OR(Dashboard!$A$22="All",F516=Dashboard!$A$22))</f>
        <v>1</v>
      </c>
    </row>
    <row r="517" spans="1:8" ht="15.75" customHeight="1">
      <c r="A517" s="4">
        <v>2025</v>
      </c>
      <c r="B517" s="4">
        <v>3</v>
      </c>
      <c r="C517" s="4" t="s">
        <v>100</v>
      </c>
      <c r="D517" s="4" t="s">
        <v>8</v>
      </c>
      <c r="E517" s="4" t="s">
        <v>6</v>
      </c>
      <c r="F517" s="4" t="s">
        <v>13</v>
      </c>
      <c r="G517" s="5">
        <v>4231.5</v>
      </c>
      <c r="H517" s="4">
        <f>--AND(OR(Dashboard!$A$10="All",A517=Dashboard!$A$10),OR(Dashboard!$A$14="All",D517=Dashboard!$A$14),OR(Dashboard!$A$18="All",E517=Dashboard!$A$18),OR(Dashboard!$A$22="All",F517=Dashboard!$A$22))</f>
        <v>1</v>
      </c>
    </row>
    <row r="518" spans="1:8" ht="15.75" customHeight="1">
      <c r="A518" s="4">
        <v>2025</v>
      </c>
      <c r="B518" s="4">
        <v>3</v>
      </c>
      <c r="C518" s="4" t="s">
        <v>100</v>
      </c>
      <c r="D518" s="4" t="s">
        <v>8</v>
      </c>
      <c r="E518" s="4" t="s">
        <v>9</v>
      </c>
      <c r="F518" s="4" t="s">
        <v>7</v>
      </c>
      <c r="G518" s="5">
        <v>6770.4</v>
      </c>
      <c r="H518" s="4">
        <f>--AND(OR(Dashboard!$A$10="All",A518=Dashboard!$A$10),OR(Dashboard!$A$14="All",D518=Dashboard!$A$14),OR(Dashboard!$A$18="All",E518=Dashboard!$A$18),OR(Dashboard!$A$22="All",F518=Dashboard!$A$22))</f>
        <v>1</v>
      </c>
    </row>
    <row r="519" spans="1:8" ht="15.75" customHeight="1">
      <c r="A519" s="4">
        <v>2025</v>
      </c>
      <c r="B519" s="4">
        <v>3</v>
      </c>
      <c r="C519" s="4" t="s">
        <v>100</v>
      </c>
      <c r="D519" s="4" t="s">
        <v>8</v>
      </c>
      <c r="E519" s="4" t="s">
        <v>9</v>
      </c>
      <c r="F519" s="4" t="s">
        <v>10</v>
      </c>
      <c r="G519" s="5">
        <v>4468.46</v>
      </c>
      <c r="H519" s="4">
        <f>--AND(OR(Dashboard!$A$10="All",A519=Dashboard!$A$10),OR(Dashboard!$A$14="All",D519=Dashboard!$A$14),OR(Dashboard!$A$18="All",E519=Dashboard!$A$18),OR(Dashboard!$A$22="All",F519=Dashboard!$A$22))</f>
        <v>1</v>
      </c>
    </row>
    <row r="520" spans="1:8" ht="15.75" customHeight="1">
      <c r="A520" s="4">
        <v>2025</v>
      </c>
      <c r="B520" s="4">
        <v>3</v>
      </c>
      <c r="C520" s="4" t="s">
        <v>100</v>
      </c>
      <c r="D520" s="4" t="s">
        <v>8</v>
      </c>
      <c r="E520" s="4" t="s">
        <v>9</v>
      </c>
      <c r="F520" s="4" t="s">
        <v>13</v>
      </c>
      <c r="G520" s="5">
        <v>2708.16</v>
      </c>
      <c r="H520" s="4">
        <f>--AND(OR(Dashboard!$A$10="All",A520=Dashboard!$A$10),OR(Dashboard!$A$14="All",D520=Dashboard!$A$14),OR(Dashboard!$A$18="All",E520=Dashboard!$A$18),OR(Dashboard!$A$22="All",F520=Dashboard!$A$22))</f>
        <v>1</v>
      </c>
    </row>
    <row r="521" spans="1:8" ht="15.75" customHeight="1">
      <c r="A521" s="4">
        <v>2025</v>
      </c>
      <c r="B521" s="4">
        <v>3</v>
      </c>
      <c r="C521" s="4" t="s">
        <v>100</v>
      </c>
      <c r="D521" s="4" t="s">
        <v>8</v>
      </c>
      <c r="E521" s="4" t="s">
        <v>12</v>
      </c>
      <c r="F521" s="4" t="s">
        <v>7</v>
      </c>
      <c r="G521" s="5">
        <v>9309.2999999999993</v>
      </c>
      <c r="H521" s="4">
        <f>--AND(OR(Dashboard!$A$10="All",A521=Dashboard!$A$10),OR(Dashboard!$A$14="All",D521=Dashboard!$A$14),OR(Dashboard!$A$18="All",E521=Dashboard!$A$18),OR(Dashboard!$A$22="All",F521=Dashboard!$A$22))</f>
        <v>1</v>
      </c>
    </row>
    <row r="522" spans="1:8" ht="15.75" customHeight="1">
      <c r="A522" s="4">
        <v>2025</v>
      </c>
      <c r="B522" s="4">
        <v>3</v>
      </c>
      <c r="C522" s="4" t="s">
        <v>100</v>
      </c>
      <c r="D522" s="4" t="s">
        <v>8</v>
      </c>
      <c r="E522" s="4" t="s">
        <v>12</v>
      </c>
      <c r="F522" s="4" t="s">
        <v>10</v>
      </c>
      <c r="G522" s="5">
        <v>6144.14</v>
      </c>
      <c r="H522" s="4">
        <f>--AND(OR(Dashboard!$A$10="All",A522=Dashboard!$A$10),OR(Dashboard!$A$14="All",D522=Dashboard!$A$14),OR(Dashboard!$A$18="All",E522=Dashboard!$A$18),OR(Dashboard!$A$22="All",F522=Dashboard!$A$22))</f>
        <v>1</v>
      </c>
    </row>
    <row r="523" spans="1:8" ht="15.75" customHeight="1">
      <c r="A523" s="4">
        <v>2025</v>
      </c>
      <c r="B523" s="4">
        <v>3</v>
      </c>
      <c r="C523" s="4" t="s">
        <v>100</v>
      </c>
      <c r="D523" s="4" t="s">
        <v>8</v>
      </c>
      <c r="E523" s="4" t="s">
        <v>12</v>
      </c>
      <c r="F523" s="4" t="s">
        <v>13</v>
      </c>
      <c r="G523" s="5">
        <v>3723.72</v>
      </c>
      <c r="H523" s="4">
        <f>--AND(OR(Dashboard!$A$10="All",A523=Dashboard!$A$10),OR(Dashboard!$A$14="All",D523=Dashboard!$A$14),OR(Dashboard!$A$18="All",E523=Dashboard!$A$18),OR(Dashboard!$A$22="All",F523=Dashboard!$A$22))</f>
        <v>1</v>
      </c>
    </row>
    <row r="524" spans="1:8" ht="15.75" customHeight="1">
      <c r="A524" s="4">
        <v>2025</v>
      </c>
      <c r="B524" s="4">
        <v>3</v>
      </c>
      <c r="C524" s="4" t="s">
        <v>100</v>
      </c>
      <c r="D524" s="4" t="s">
        <v>11</v>
      </c>
      <c r="E524" s="4" t="s">
        <v>6</v>
      </c>
      <c r="F524" s="4" t="s">
        <v>7</v>
      </c>
      <c r="G524" s="5">
        <v>7507.5</v>
      </c>
      <c r="H524" s="4">
        <f>--AND(OR(Dashboard!$A$10="All",A524=Dashboard!$A$10),OR(Dashboard!$A$14="All",D524=Dashboard!$A$14),OR(Dashboard!$A$18="All",E524=Dashboard!$A$18),OR(Dashboard!$A$22="All",F524=Dashboard!$A$22))</f>
        <v>1</v>
      </c>
    </row>
    <row r="525" spans="1:8" ht="15.75" customHeight="1">
      <c r="A525" s="4">
        <v>2025</v>
      </c>
      <c r="B525" s="4">
        <v>3</v>
      </c>
      <c r="C525" s="4" t="s">
        <v>100</v>
      </c>
      <c r="D525" s="4" t="s">
        <v>11</v>
      </c>
      <c r="E525" s="4" t="s">
        <v>6</v>
      </c>
      <c r="F525" s="4" t="s">
        <v>10</v>
      </c>
      <c r="G525" s="5">
        <v>4954.95</v>
      </c>
      <c r="H525" s="4">
        <f>--AND(OR(Dashboard!$A$10="All",A525=Dashboard!$A$10),OR(Dashboard!$A$14="All",D525=Dashboard!$A$14),OR(Dashboard!$A$18="All",E525=Dashboard!$A$18),OR(Dashboard!$A$22="All",F525=Dashboard!$A$22))</f>
        <v>1</v>
      </c>
    </row>
    <row r="526" spans="1:8" ht="15.75" customHeight="1">
      <c r="A526" s="4">
        <v>2025</v>
      </c>
      <c r="B526" s="4">
        <v>3</v>
      </c>
      <c r="C526" s="4" t="s">
        <v>100</v>
      </c>
      <c r="D526" s="4" t="s">
        <v>11</v>
      </c>
      <c r="E526" s="4" t="s">
        <v>6</v>
      </c>
      <c r="F526" s="4" t="s">
        <v>13</v>
      </c>
      <c r="G526" s="5">
        <v>3003</v>
      </c>
      <c r="H526" s="4">
        <f>--AND(OR(Dashboard!$A$10="All",A526=Dashboard!$A$10),OR(Dashboard!$A$14="All",D526=Dashboard!$A$14),OR(Dashboard!$A$18="All",E526=Dashboard!$A$18),OR(Dashboard!$A$22="All",F526=Dashboard!$A$22))</f>
        <v>1</v>
      </c>
    </row>
    <row r="527" spans="1:8" ht="15.75" customHeight="1">
      <c r="A527" s="4">
        <v>2025</v>
      </c>
      <c r="B527" s="4">
        <v>3</v>
      </c>
      <c r="C527" s="4" t="s">
        <v>100</v>
      </c>
      <c r="D527" s="4" t="s">
        <v>11</v>
      </c>
      <c r="E527" s="4" t="s">
        <v>9</v>
      </c>
      <c r="F527" s="4" t="s">
        <v>7</v>
      </c>
      <c r="G527" s="5">
        <v>4804.8</v>
      </c>
      <c r="H527" s="4">
        <f>--AND(OR(Dashboard!$A$10="All",A527=Dashboard!$A$10),OR(Dashboard!$A$14="All",D527=Dashboard!$A$14),OR(Dashboard!$A$18="All",E527=Dashboard!$A$18),OR(Dashboard!$A$22="All",F527=Dashboard!$A$22))</f>
        <v>1</v>
      </c>
    </row>
    <row r="528" spans="1:8" ht="15.75" customHeight="1">
      <c r="A528" s="4">
        <v>2025</v>
      </c>
      <c r="B528" s="4">
        <v>3</v>
      </c>
      <c r="C528" s="4" t="s">
        <v>100</v>
      </c>
      <c r="D528" s="4" t="s">
        <v>11</v>
      </c>
      <c r="E528" s="4" t="s">
        <v>9</v>
      </c>
      <c r="F528" s="4" t="s">
        <v>10</v>
      </c>
      <c r="G528" s="5">
        <v>3171.17</v>
      </c>
      <c r="H528" s="4">
        <f>--AND(OR(Dashboard!$A$10="All",A528=Dashboard!$A$10),OR(Dashboard!$A$14="All",D528=Dashboard!$A$14),OR(Dashboard!$A$18="All",E528=Dashboard!$A$18),OR(Dashboard!$A$22="All",F528=Dashboard!$A$22))</f>
        <v>1</v>
      </c>
    </row>
    <row r="529" spans="1:8" ht="15.75" customHeight="1">
      <c r="A529" s="4">
        <v>2025</v>
      </c>
      <c r="B529" s="4">
        <v>3</v>
      </c>
      <c r="C529" s="4" t="s">
        <v>100</v>
      </c>
      <c r="D529" s="4" t="s">
        <v>11</v>
      </c>
      <c r="E529" s="4" t="s">
        <v>9</v>
      </c>
      <c r="F529" s="4" t="s">
        <v>13</v>
      </c>
      <c r="G529" s="5">
        <v>1921.92</v>
      </c>
      <c r="H529" s="4">
        <f>--AND(OR(Dashboard!$A$10="All",A529=Dashboard!$A$10),OR(Dashboard!$A$14="All",D529=Dashboard!$A$14),OR(Dashboard!$A$18="All",E529=Dashboard!$A$18),OR(Dashboard!$A$22="All",F529=Dashboard!$A$22))</f>
        <v>1</v>
      </c>
    </row>
    <row r="530" spans="1:8" ht="15.75" customHeight="1">
      <c r="A530" s="4">
        <v>2025</v>
      </c>
      <c r="B530" s="4">
        <v>3</v>
      </c>
      <c r="C530" s="4" t="s">
        <v>100</v>
      </c>
      <c r="D530" s="4" t="s">
        <v>11</v>
      </c>
      <c r="E530" s="4" t="s">
        <v>12</v>
      </c>
      <c r="F530" s="4" t="s">
        <v>7</v>
      </c>
      <c r="G530" s="5">
        <v>6606.6</v>
      </c>
      <c r="H530" s="4">
        <f>--AND(OR(Dashboard!$A$10="All",A530=Dashboard!$A$10),OR(Dashboard!$A$14="All",D530=Dashboard!$A$14),OR(Dashboard!$A$18="All",E530=Dashboard!$A$18),OR(Dashboard!$A$22="All",F530=Dashboard!$A$22))</f>
        <v>1</v>
      </c>
    </row>
    <row r="531" spans="1:8" ht="15.75" customHeight="1">
      <c r="A531" s="4">
        <v>2025</v>
      </c>
      <c r="B531" s="4">
        <v>3</v>
      </c>
      <c r="C531" s="4" t="s">
        <v>100</v>
      </c>
      <c r="D531" s="4" t="s">
        <v>11</v>
      </c>
      <c r="E531" s="4" t="s">
        <v>12</v>
      </c>
      <c r="F531" s="4" t="s">
        <v>10</v>
      </c>
      <c r="G531" s="5">
        <v>4360.3599999999997</v>
      </c>
      <c r="H531" s="4">
        <f>--AND(OR(Dashboard!$A$10="All",A531=Dashboard!$A$10),OR(Dashboard!$A$14="All",D531=Dashboard!$A$14),OR(Dashboard!$A$18="All",E531=Dashboard!$A$18),OR(Dashboard!$A$22="All",F531=Dashboard!$A$22))</f>
        <v>1</v>
      </c>
    </row>
    <row r="532" spans="1:8" ht="15.75" customHeight="1">
      <c r="A532" s="4">
        <v>2025</v>
      </c>
      <c r="B532" s="4">
        <v>3</v>
      </c>
      <c r="C532" s="4" t="s">
        <v>100</v>
      </c>
      <c r="D532" s="4" t="s">
        <v>11</v>
      </c>
      <c r="E532" s="4" t="s">
        <v>12</v>
      </c>
      <c r="F532" s="4" t="s">
        <v>13</v>
      </c>
      <c r="G532" s="5">
        <v>2642.64</v>
      </c>
      <c r="H532" s="4">
        <f>--AND(OR(Dashboard!$A$10="All",A532=Dashboard!$A$10),OR(Dashboard!$A$14="All",D532=Dashboard!$A$14),OR(Dashboard!$A$18="All",E532=Dashboard!$A$18),OR(Dashboard!$A$22="All",F532=Dashboard!$A$22))</f>
        <v>1</v>
      </c>
    </row>
    <row r="533" spans="1:8" ht="15.75" customHeight="1">
      <c r="A533" s="4">
        <v>2025</v>
      </c>
      <c r="B533" s="4">
        <v>3</v>
      </c>
      <c r="C533" s="4" t="s">
        <v>100</v>
      </c>
      <c r="D533" s="4" t="s">
        <v>14</v>
      </c>
      <c r="E533" s="4" t="s">
        <v>6</v>
      </c>
      <c r="F533" s="4" t="s">
        <v>7</v>
      </c>
      <c r="G533" s="5">
        <v>5118.75</v>
      </c>
      <c r="H533" s="4">
        <f>--AND(OR(Dashboard!$A$10="All",A533=Dashboard!$A$10),OR(Dashboard!$A$14="All",D533=Dashboard!$A$14),OR(Dashboard!$A$18="All",E533=Dashboard!$A$18),OR(Dashboard!$A$22="All",F533=Dashboard!$A$22))</f>
        <v>1</v>
      </c>
    </row>
    <row r="534" spans="1:8" ht="15.75" customHeight="1">
      <c r="A534" s="4">
        <v>2025</v>
      </c>
      <c r="B534" s="4">
        <v>3</v>
      </c>
      <c r="C534" s="4" t="s">
        <v>100</v>
      </c>
      <c r="D534" s="4" t="s">
        <v>14</v>
      </c>
      <c r="E534" s="4" t="s">
        <v>6</v>
      </c>
      <c r="F534" s="4" t="s">
        <v>10</v>
      </c>
      <c r="G534" s="5">
        <v>3378.38</v>
      </c>
      <c r="H534" s="4">
        <f>--AND(OR(Dashboard!$A$10="All",A534=Dashboard!$A$10),OR(Dashboard!$A$14="All",D534=Dashboard!$A$14),OR(Dashboard!$A$18="All",E534=Dashboard!$A$18),OR(Dashboard!$A$22="All",F534=Dashboard!$A$22))</f>
        <v>1</v>
      </c>
    </row>
    <row r="535" spans="1:8" ht="15.75" customHeight="1">
      <c r="A535" s="4">
        <v>2025</v>
      </c>
      <c r="B535" s="4">
        <v>3</v>
      </c>
      <c r="C535" s="4" t="s">
        <v>100</v>
      </c>
      <c r="D535" s="4" t="s">
        <v>14</v>
      </c>
      <c r="E535" s="4" t="s">
        <v>6</v>
      </c>
      <c r="F535" s="4" t="s">
        <v>13</v>
      </c>
      <c r="G535" s="5">
        <v>2047.5</v>
      </c>
      <c r="H535" s="4">
        <f>--AND(OR(Dashboard!$A$10="All",A535=Dashboard!$A$10),OR(Dashboard!$A$14="All",D535=Dashboard!$A$14),OR(Dashboard!$A$18="All",E535=Dashboard!$A$18),OR(Dashboard!$A$22="All",F535=Dashboard!$A$22))</f>
        <v>1</v>
      </c>
    </row>
    <row r="536" spans="1:8" ht="15.75" customHeight="1">
      <c r="A536" s="4">
        <v>2025</v>
      </c>
      <c r="B536" s="4">
        <v>3</v>
      </c>
      <c r="C536" s="4" t="s">
        <v>100</v>
      </c>
      <c r="D536" s="4" t="s">
        <v>14</v>
      </c>
      <c r="E536" s="4" t="s">
        <v>9</v>
      </c>
      <c r="F536" s="4" t="s">
        <v>7</v>
      </c>
      <c r="G536" s="5">
        <v>3276</v>
      </c>
      <c r="H536" s="4">
        <f>--AND(OR(Dashboard!$A$10="All",A536=Dashboard!$A$10),OR(Dashboard!$A$14="All",D536=Dashboard!$A$14),OR(Dashboard!$A$18="All",E536=Dashboard!$A$18),OR(Dashboard!$A$22="All",F536=Dashboard!$A$22))</f>
        <v>1</v>
      </c>
    </row>
    <row r="537" spans="1:8" ht="15.75" customHeight="1">
      <c r="A537" s="4">
        <v>2025</v>
      </c>
      <c r="B537" s="4">
        <v>3</v>
      </c>
      <c r="C537" s="4" t="s">
        <v>100</v>
      </c>
      <c r="D537" s="4" t="s">
        <v>14</v>
      </c>
      <c r="E537" s="4" t="s">
        <v>9</v>
      </c>
      <c r="F537" s="4" t="s">
        <v>10</v>
      </c>
      <c r="G537" s="5">
        <v>2162.16</v>
      </c>
      <c r="H537" s="4">
        <f>--AND(OR(Dashboard!$A$10="All",A537=Dashboard!$A$10),OR(Dashboard!$A$14="All",D537=Dashboard!$A$14),OR(Dashboard!$A$18="All",E537=Dashboard!$A$18),OR(Dashboard!$A$22="All",F537=Dashboard!$A$22))</f>
        <v>1</v>
      </c>
    </row>
    <row r="538" spans="1:8" ht="15.75" customHeight="1">
      <c r="A538" s="4">
        <v>2025</v>
      </c>
      <c r="B538" s="4">
        <v>3</v>
      </c>
      <c r="C538" s="4" t="s">
        <v>100</v>
      </c>
      <c r="D538" s="4" t="s">
        <v>14</v>
      </c>
      <c r="E538" s="4" t="s">
        <v>9</v>
      </c>
      <c r="F538" s="4" t="s">
        <v>13</v>
      </c>
      <c r="G538" s="5">
        <v>1310.4000000000001</v>
      </c>
      <c r="H538" s="4">
        <f>--AND(OR(Dashboard!$A$10="All",A538=Dashboard!$A$10),OR(Dashboard!$A$14="All",D538=Dashboard!$A$14),OR(Dashboard!$A$18="All",E538=Dashboard!$A$18),OR(Dashboard!$A$22="All",F538=Dashboard!$A$22))</f>
        <v>1</v>
      </c>
    </row>
    <row r="539" spans="1:8" ht="15.75" customHeight="1">
      <c r="A539" s="4">
        <v>2025</v>
      </c>
      <c r="B539" s="4">
        <v>3</v>
      </c>
      <c r="C539" s="4" t="s">
        <v>100</v>
      </c>
      <c r="D539" s="4" t="s">
        <v>14</v>
      </c>
      <c r="E539" s="4" t="s">
        <v>12</v>
      </c>
      <c r="F539" s="4" t="s">
        <v>7</v>
      </c>
      <c r="G539" s="5">
        <v>4504.5</v>
      </c>
      <c r="H539" s="4">
        <f>--AND(OR(Dashboard!$A$10="All",A539=Dashboard!$A$10),OR(Dashboard!$A$14="All",D539=Dashboard!$A$14),OR(Dashboard!$A$18="All",E539=Dashboard!$A$18),OR(Dashboard!$A$22="All",F539=Dashboard!$A$22))</f>
        <v>1</v>
      </c>
    </row>
    <row r="540" spans="1:8" ht="15.75" customHeight="1">
      <c r="A540" s="4">
        <v>2025</v>
      </c>
      <c r="B540" s="4">
        <v>3</v>
      </c>
      <c r="C540" s="4" t="s">
        <v>100</v>
      </c>
      <c r="D540" s="4" t="s">
        <v>14</v>
      </c>
      <c r="E540" s="4" t="s">
        <v>12</v>
      </c>
      <c r="F540" s="4" t="s">
        <v>10</v>
      </c>
      <c r="G540" s="5">
        <v>2972.97</v>
      </c>
      <c r="H540" s="4">
        <f>--AND(OR(Dashboard!$A$10="All",A540=Dashboard!$A$10),OR(Dashboard!$A$14="All",D540=Dashboard!$A$14),OR(Dashboard!$A$18="All",E540=Dashboard!$A$18),OR(Dashboard!$A$22="All",F540=Dashboard!$A$22))</f>
        <v>1</v>
      </c>
    </row>
    <row r="541" spans="1:8" ht="15.75" customHeight="1">
      <c r="A541" s="4">
        <v>2025</v>
      </c>
      <c r="B541" s="4">
        <v>3</v>
      </c>
      <c r="C541" s="4" t="s">
        <v>100</v>
      </c>
      <c r="D541" s="4" t="s">
        <v>14</v>
      </c>
      <c r="E541" s="4" t="s">
        <v>12</v>
      </c>
      <c r="F541" s="4" t="s">
        <v>13</v>
      </c>
      <c r="G541" s="5">
        <v>1801.8</v>
      </c>
      <c r="H541" s="4">
        <f>--AND(OR(Dashboard!$A$10="All",A541=Dashboard!$A$10),OR(Dashboard!$A$14="All",D541=Dashboard!$A$14),OR(Dashboard!$A$18="All",E541=Dashboard!$A$18),OR(Dashboard!$A$22="All",F541=Dashboard!$A$22))</f>
        <v>1</v>
      </c>
    </row>
    <row r="542" spans="1:8" ht="15.75" customHeight="1">
      <c r="A542" s="4">
        <v>2025</v>
      </c>
      <c r="B542" s="4">
        <v>4</v>
      </c>
      <c r="C542" s="4" t="s">
        <v>106</v>
      </c>
      <c r="D542" s="4" t="s">
        <v>5</v>
      </c>
      <c r="E542" s="4" t="s">
        <v>6</v>
      </c>
      <c r="F542" s="4" t="s">
        <v>7</v>
      </c>
      <c r="G542" s="5">
        <v>17062.5</v>
      </c>
      <c r="H542" s="4">
        <f>--AND(OR(Dashboard!$A$10="All",A542=Dashboard!$A$10),OR(Dashboard!$A$14="All",D542=Dashboard!$A$14),OR(Dashboard!$A$18="All",E542=Dashboard!$A$18),OR(Dashboard!$A$22="All",F542=Dashboard!$A$22))</f>
        <v>1</v>
      </c>
    </row>
    <row r="543" spans="1:8" ht="15.75" customHeight="1">
      <c r="A543" s="4">
        <v>2025</v>
      </c>
      <c r="B543" s="4">
        <v>4</v>
      </c>
      <c r="C543" s="4" t="s">
        <v>106</v>
      </c>
      <c r="D543" s="4" t="s">
        <v>5</v>
      </c>
      <c r="E543" s="4" t="s">
        <v>6</v>
      </c>
      <c r="F543" s="4" t="s">
        <v>10</v>
      </c>
      <c r="G543" s="5">
        <v>11261.25</v>
      </c>
      <c r="H543" s="4">
        <f>--AND(OR(Dashboard!$A$10="All",A543=Dashboard!$A$10),OR(Dashboard!$A$14="All",D543=Dashboard!$A$14),OR(Dashboard!$A$18="All",E543=Dashboard!$A$18),OR(Dashboard!$A$22="All",F543=Dashboard!$A$22))</f>
        <v>1</v>
      </c>
    </row>
    <row r="544" spans="1:8" ht="15.75" customHeight="1">
      <c r="A544" s="4">
        <v>2025</v>
      </c>
      <c r="B544" s="4">
        <v>4</v>
      </c>
      <c r="C544" s="4" t="s">
        <v>106</v>
      </c>
      <c r="D544" s="4" t="s">
        <v>5</v>
      </c>
      <c r="E544" s="4" t="s">
        <v>6</v>
      </c>
      <c r="F544" s="4" t="s">
        <v>13</v>
      </c>
      <c r="G544" s="5">
        <v>6825</v>
      </c>
      <c r="H544" s="4">
        <f>--AND(OR(Dashboard!$A$10="All",A544=Dashboard!$A$10),OR(Dashboard!$A$14="All",D544=Dashboard!$A$14),OR(Dashboard!$A$18="All",E544=Dashboard!$A$18),OR(Dashboard!$A$22="All",F544=Dashboard!$A$22))</f>
        <v>1</v>
      </c>
    </row>
    <row r="545" spans="1:8" ht="15.75" customHeight="1">
      <c r="A545" s="4">
        <v>2025</v>
      </c>
      <c r="B545" s="4">
        <v>4</v>
      </c>
      <c r="C545" s="4" t="s">
        <v>106</v>
      </c>
      <c r="D545" s="4" t="s">
        <v>5</v>
      </c>
      <c r="E545" s="4" t="s">
        <v>9</v>
      </c>
      <c r="F545" s="4" t="s">
        <v>7</v>
      </c>
      <c r="G545" s="5">
        <v>10920</v>
      </c>
      <c r="H545" s="4">
        <f>--AND(OR(Dashboard!$A$10="All",A545=Dashboard!$A$10),OR(Dashboard!$A$14="All",D545=Dashboard!$A$14),OR(Dashboard!$A$18="All",E545=Dashboard!$A$18),OR(Dashboard!$A$22="All",F545=Dashboard!$A$22))</f>
        <v>1</v>
      </c>
    </row>
    <row r="546" spans="1:8" ht="15.75" customHeight="1">
      <c r="A546" s="4">
        <v>2025</v>
      </c>
      <c r="B546" s="4">
        <v>4</v>
      </c>
      <c r="C546" s="4" t="s">
        <v>106</v>
      </c>
      <c r="D546" s="4" t="s">
        <v>5</v>
      </c>
      <c r="E546" s="4" t="s">
        <v>9</v>
      </c>
      <c r="F546" s="4" t="s">
        <v>10</v>
      </c>
      <c r="G546" s="5">
        <v>7207.2</v>
      </c>
      <c r="H546" s="4">
        <f>--AND(OR(Dashboard!$A$10="All",A546=Dashboard!$A$10),OR(Dashboard!$A$14="All",D546=Dashboard!$A$14),OR(Dashboard!$A$18="All",E546=Dashboard!$A$18),OR(Dashboard!$A$22="All",F546=Dashboard!$A$22))</f>
        <v>1</v>
      </c>
    </row>
    <row r="547" spans="1:8" ht="15.75" customHeight="1">
      <c r="A547" s="4">
        <v>2025</v>
      </c>
      <c r="B547" s="4">
        <v>4</v>
      </c>
      <c r="C547" s="4" t="s">
        <v>106</v>
      </c>
      <c r="D547" s="4" t="s">
        <v>5</v>
      </c>
      <c r="E547" s="4" t="s">
        <v>9</v>
      </c>
      <c r="F547" s="4" t="s">
        <v>13</v>
      </c>
      <c r="G547" s="5">
        <v>4368</v>
      </c>
      <c r="H547" s="4">
        <f>--AND(OR(Dashboard!$A$10="All",A547=Dashboard!$A$10),OR(Dashboard!$A$14="All",D547=Dashboard!$A$14),OR(Dashboard!$A$18="All",E547=Dashboard!$A$18),OR(Dashboard!$A$22="All",F547=Dashboard!$A$22))</f>
        <v>1</v>
      </c>
    </row>
    <row r="548" spans="1:8" ht="15.75" customHeight="1">
      <c r="A548" s="4">
        <v>2025</v>
      </c>
      <c r="B548" s="4">
        <v>4</v>
      </c>
      <c r="C548" s="4" t="s">
        <v>106</v>
      </c>
      <c r="D548" s="4" t="s">
        <v>5</v>
      </c>
      <c r="E548" s="4" t="s">
        <v>12</v>
      </c>
      <c r="F548" s="4" t="s">
        <v>7</v>
      </c>
      <c r="G548" s="5">
        <v>15015</v>
      </c>
      <c r="H548" s="4">
        <f>--AND(OR(Dashboard!$A$10="All",A548=Dashboard!$A$10),OR(Dashboard!$A$14="All",D548=Dashboard!$A$14),OR(Dashboard!$A$18="All",E548=Dashboard!$A$18),OR(Dashboard!$A$22="All",F548=Dashboard!$A$22))</f>
        <v>1</v>
      </c>
    </row>
    <row r="549" spans="1:8" ht="15.75" customHeight="1">
      <c r="A549" s="4">
        <v>2025</v>
      </c>
      <c r="B549" s="4">
        <v>4</v>
      </c>
      <c r="C549" s="4" t="s">
        <v>106</v>
      </c>
      <c r="D549" s="4" t="s">
        <v>5</v>
      </c>
      <c r="E549" s="4" t="s">
        <v>12</v>
      </c>
      <c r="F549" s="4" t="s">
        <v>10</v>
      </c>
      <c r="G549" s="5">
        <v>9909.9</v>
      </c>
      <c r="H549" s="4">
        <f>--AND(OR(Dashboard!$A$10="All",A549=Dashboard!$A$10),OR(Dashboard!$A$14="All",D549=Dashboard!$A$14),OR(Dashboard!$A$18="All",E549=Dashboard!$A$18),OR(Dashboard!$A$22="All",F549=Dashboard!$A$22))</f>
        <v>1</v>
      </c>
    </row>
    <row r="550" spans="1:8" ht="15.75" customHeight="1">
      <c r="A550" s="4">
        <v>2025</v>
      </c>
      <c r="B550" s="4">
        <v>4</v>
      </c>
      <c r="C550" s="4" t="s">
        <v>106</v>
      </c>
      <c r="D550" s="4" t="s">
        <v>5</v>
      </c>
      <c r="E550" s="4" t="s">
        <v>12</v>
      </c>
      <c r="F550" s="4" t="s">
        <v>13</v>
      </c>
      <c r="G550" s="5">
        <v>6006</v>
      </c>
      <c r="H550" s="4">
        <f>--AND(OR(Dashboard!$A$10="All",A550=Dashboard!$A$10),OR(Dashboard!$A$14="All",D550=Dashboard!$A$14),OR(Dashboard!$A$18="All",E550=Dashboard!$A$18),OR(Dashboard!$A$22="All",F550=Dashboard!$A$22))</f>
        <v>1</v>
      </c>
    </row>
    <row r="551" spans="1:8" ht="15.75" customHeight="1">
      <c r="A551" s="4">
        <v>2025</v>
      </c>
      <c r="B551" s="4">
        <v>4</v>
      </c>
      <c r="C551" s="4" t="s">
        <v>106</v>
      </c>
      <c r="D551" s="4" t="s">
        <v>8</v>
      </c>
      <c r="E551" s="4" t="s">
        <v>6</v>
      </c>
      <c r="F551" s="4" t="s">
        <v>7</v>
      </c>
      <c r="G551" s="5">
        <v>10578.75</v>
      </c>
      <c r="H551" s="4">
        <f>--AND(OR(Dashboard!$A$10="All",A551=Dashboard!$A$10),OR(Dashboard!$A$14="All",D551=Dashboard!$A$14),OR(Dashboard!$A$18="All",E551=Dashboard!$A$18),OR(Dashboard!$A$22="All",F551=Dashboard!$A$22))</f>
        <v>1</v>
      </c>
    </row>
    <row r="552" spans="1:8" ht="15.75" customHeight="1">
      <c r="A552" s="4">
        <v>2025</v>
      </c>
      <c r="B552" s="4">
        <v>4</v>
      </c>
      <c r="C552" s="4" t="s">
        <v>106</v>
      </c>
      <c r="D552" s="4" t="s">
        <v>8</v>
      </c>
      <c r="E552" s="4" t="s">
        <v>6</v>
      </c>
      <c r="F552" s="4" t="s">
        <v>10</v>
      </c>
      <c r="G552" s="5">
        <v>6981.98</v>
      </c>
      <c r="H552" s="4">
        <f>--AND(OR(Dashboard!$A$10="All",A552=Dashboard!$A$10),OR(Dashboard!$A$14="All",D552=Dashboard!$A$14),OR(Dashboard!$A$18="All",E552=Dashboard!$A$18),OR(Dashboard!$A$22="All",F552=Dashboard!$A$22))</f>
        <v>1</v>
      </c>
    </row>
    <row r="553" spans="1:8" ht="15.75" customHeight="1">
      <c r="A553" s="4">
        <v>2025</v>
      </c>
      <c r="B553" s="4">
        <v>4</v>
      </c>
      <c r="C553" s="4" t="s">
        <v>106</v>
      </c>
      <c r="D553" s="4" t="s">
        <v>8</v>
      </c>
      <c r="E553" s="4" t="s">
        <v>6</v>
      </c>
      <c r="F553" s="4" t="s">
        <v>13</v>
      </c>
      <c r="G553" s="5">
        <v>4231.5</v>
      </c>
      <c r="H553" s="4">
        <f>--AND(OR(Dashboard!$A$10="All",A553=Dashboard!$A$10),OR(Dashboard!$A$14="All",D553=Dashboard!$A$14),OR(Dashboard!$A$18="All",E553=Dashboard!$A$18),OR(Dashboard!$A$22="All",F553=Dashboard!$A$22))</f>
        <v>1</v>
      </c>
    </row>
    <row r="554" spans="1:8" ht="15.75" customHeight="1">
      <c r="A554" s="4">
        <v>2025</v>
      </c>
      <c r="B554" s="4">
        <v>4</v>
      </c>
      <c r="C554" s="4" t="s">
        <v>106</v>
      </c>
      <c r="D554" s="4" t="s">
        <v>8</v>
      </c>
      <c r="E554" s="4" t="s">
        <v>9</v>
      </c>
      <c r="F554" s="4" t="s">
        <v>7</v>
      </c>
      <c r="G554" s="5">
        <v>6770.4</v>
      </c>
      <c r="H554" s="4">
        <f>--AND(OR(Dashboard!$A$10="All",A554=Dashboard!$A$10),OR(Dashboard!$A$14="All",D554=Dashboard!$A$14),OR(Dashboard!$A$18="All",E554=Dashboard!$A$18),OR(Dashboard!$A$22="All",F554=Dashboard!$A$22))</f>
        <v>1</v>
      </c>
    </row>
    <row r="555" spans="1:8" ht="15.75" customHeight="1">
      <c r="A555" s="4">
        <v>2025</v>
      </c>
      <c r="B555" s="4">
        <v>4</v>
      </c>
      <c r="C555" s="4" t="s">
        <v>106</v>
      </c>
      <c r="D555" s="4" t="s">
        <v>8</v>
      </c>
      <c r="E555" s="4" t="s">
        <v>9</v>
      </c>
      <c r="F555" s="4" t="s">
        <v>10</v>
      </c>
      <c r="G555" s="5">
        <v>4468.46</v>
      </c>
      <c r="H555" s="4">
        <f>--AND(OR(Dashboard!$A$10="All",A555=Dashboard!$A$10),OR(Dashboard!$A$14="All",D555=Dashboard!$A$14),OR(Dashboard!$A$18="All",E555=Dashboard!$A$18),OR(Dashboard!$A$22="All",F555=Dashboard!$A$22))</f>
        <v>1</v>
      </c>
    </row>
    <row r="556" spans="1:8" ht="15.75" customHeight="1">
      <c r="A556" s="4">
        <v>2025</v>
      </c>
      <c r="B556" s="4">
        <v>4</v>
      </c>
      <c r="C556" s="4" t="s">
        <v>106</v>
      </c>
      <c r="D556" s="4" t="s">
        <v>8</v>
      </c>
      <c r="E556" s="4" t="s">
        <v>9</v>
      </c>
      <c r="F556" s="4" t="s">
        <v>13</v>
      </c>
      <c r="G556" s="5">
        <v>2708.16</v>
      </c>
      <c r="H556" s="4">
        <f>--AND(OR(Dashboard!$A$10="All",A556=Dashboard!$A$10),OR(Dashboard!$A$14="All",D556=Dashboard!$A$14),OR(Dashboard!$A$18="All",E556=Dashboard!$A$18),OR(Dashboard!$A$22="All",F556=Dashboard!$A$22))</f>
        <v>1</v>
      </c>
    </row>
    <row r="557" spans="1:8" ht="15.75" customHeight="1">
      <c r="A557" s="4">
        <v>2025</v>
      </c>
      <c r="B557" s="4">
        <v>4</v>
      </c>
      <c r="C557" s="4" t="s">
        <v>106</v>
      </c>
      <c r="D557" s="4" t="s">
        <v>8</v>
      </c>
      <c r="E557" s="4" t="s">
        <v>12</v>
      </c>
      <c r="F557" s="4" t="s">
        <v>7</v>
      </c>
      <c r="G557" s="5">
        <v>9309.2999999999993</v>
      </c>
      <c r="H557" s="4">
        <f>--AND(OR(Dashboard!$A$10="All",A557=Dashboard!$A$10),OR(Dashboard!$A$14="All",D557=Dashboard!$A$14),OR(Dashboard!$A$18="All",E557=Dashboard!$A$18),OR(Dashboard!$A$22="All",F557=Dashboard!$A$22))</f>
        <v>1</v>
      </c>
    </row>
    <row r="558" spans="1:8" ht="15.75" customHeight="1">
      <c r="A558" s="4">
        <v>2025</v>
      </c>
      <c r="B558" s="4">
        <v>4</v>
      </c>
      <c r="C558" s="4" t="s">
        <v>106</v>
      </c>
      <c r="D558" s="4" t="s">
        <v>8</v>
      </c>
      <c r="E558" s="4" t="s">
        <v>12</v>
      </c>
      <c r="F558" s="4" t="s">
        <v>10</v>
      </c>
      <c r="G558" s="5">
        <v>6144.14</v>
      </c>
      <c r="H558" s="4">
        <f>--AND(OR(Dashboard!$A$10="All",A558=Dashboard!$A$10),OR(Dashboard!$A$14="All",D558=Dashboard!$A$14),OR(Dashboard!$A$18="All",E558=Dashboard!$A$18),OR(Dashboard!$A$22="All",F558=Dashboard!$A$22))</f>
        <v>1</v>
      </c>
    </row>
    <row r="559" spans="1:8" ht="15.75" customHeight="1">
      <c r="A559" s="4">
        <v>2025</v>
      </c>
      <c r="B559" s="4">
        <v>4</v>
      </c>
      <c r="C559" s="4" t="s">
        <v>106</v>
      </c>
      <c r="D559" s="4" t="s">
        <v>8</v>
      </c>
      <c r="E559" s="4" t="s">
        <v>12</v>
      </c>
      <c r="F559" s="4" t="s">
        <v>13</v>
      </c>
      <c r="G559" s="5">
        <v>3723.72</v>
      </c>
      <c r="H559" s="4">
        <f>--AND(OR(Dashboard!$A$10="All",A559=Dashboard!$A$10),OR(Dashboard!$A$14="All",D559=Dashboard!$A$14),OR(Dashboard!$A$18="All",E559=Dashboard!$A$18),OR(Dashboard!$A$22="All",F559=Dashboard!$A$22))</f>
        <v>1</v>
      </c>
    </row>
    <row r="560" spans="1:8" ht="15.75" customHeight="1">
      <c r="A560" s="4">
        <v>2025</v>
      </c>
      <c r="B560" s="4">
        <v>4</v>
      </c>
      <c r="C560" s="4" t="s">
        <v>106</v>
      </c>
      <c r="D560" s="4" t="s">
        <v>11</v>
      </c>
      <c r="E560" s="4" t="s">
        <v>6</v>
      </c>
      <c r="F560" s="4" t="s">
        <v>7</v>
      </c>
      <c r="G560" s="5">
        <v>7507.5</v>
      </c>
      <c r="H560" s="4">
        <f>--AND(OR(Dashboard!$A$10="All",A560=Dashboard!$A$10),OR(Dashboard!$A$14="All",D560=Dashboard!$A$14),OR(Dashboard!$A$18="All",E560=Dashboard!$A$18),OR(Dashboard!$A$22="All",F560=Dashboard!$A$22))</f>
        <v>1</v>
      </c>
    </row>
    <row r="561" spans="1:8" ht="15.75" customHeight="1">
      <c r="A561" s="4">
        <v>2025</v>
      </c>
      <c r="B561" s="4">
        <v>4</v>
      </c>
      <c r="C561" s="4" t="s">
        <v>106</v>
      </c>
      <c r="D561" s="4" t="s">
        <v>11</v>
      </c>
      <c r="E561" s="4" t="s">
        <v>6</v>
      </c>
      <c r="F561" s="4" t="s">
        <v>10</v>
      </c>
      <c r="G561" s="5">
        <v>4954.95</v>
      </c>
      <c r="H561" s="4">
        <f>--AND(OR(Dashboard!$A$10="All",A561=Dashboard!$A$10),OR(Dashboard!$A$14="All",D561=Dashboard!$A$14),OR(Dashboard!$A$18="All",E561=Dashboard!$A$18),OR(Dashboard!$A$22="All",F561=Dashboard!$A$22))</f>
        <v>1</v>
      </c>
    </row>
    <row r="562" spans="1:8" ht="15.75" customHeight="1">
      <c r="A562" s="4">
        <v>2025</v>
      </c>
      <c r="B562" s="4">
        <v>4</v>
      </c>
      <c r="C562" s="4" t="s">
        <v>106</v>
      </c>
      <c r="D562" s="4" t="s">
        <v>11</v>
      </c>
      <c r="E562" s="4" t="s">
        <v>6</v>
      </c>
      <c r="F562" s="4" t="s">
        <v>13</v>
      </c>
      <c r="G562" s="5">
        <v>3003</v>
      </c>
      <c r="H562" s="4">
        <f>--AND(OR(Dashboard!$A$10="All",A562=Dashboard!$A$10),OR(Dashboard!$A$14="All",D562=Dashboard!$A$14),OR(Dashboard!$A$18="All",E562=Dashboard!$A$18),OR(Dashboard!$A$22="All",F562=Dashboard!$A$22))</f>
        <v>1</v>
      </c>
    </row>
    <row r="563" spans="1:8" ht="15.75" customHeight="1">
      <c r="A563" s="4">
        <v>2025</v>
      </c>
      <c r="B563" s="4">
        <v>4</v>
      </c>
      <c r="C563" s="4" t="s">
        <v>106</v>
      </c>
      <c r="D563" s="4" t="s">
        <v>11</v>
      </c>
      <c r="E563" s="4" t="s">
        <v>9</v>
      </c>
      <c r="F563" s="4" t="s">
        <v>7</v>
      </c>
      <c r="G563" s="5">
        <v>4804.8</v>
      </c>
      <c r="H563" s="4">
        <f>--AND(OR(Dashboard!$A$10="All",A563=Dashboard!$A$10),OR(Dashboard!$A$14="All",D563=Dashboard!$A$14),OR(Dashboard!$A$18="All",E563=Dashboard!$A$18),OR(Dashboard!$A$22="All",F563=Dashboard!$A$22))</f>
        <v>1</v>
      </c>
    </row>
    <row r="564" spans="1:8" ht="15.75" customHeight="1">
      <c r="A564" s="4">
        <v>2025</v>
      </c>
      <c r="B564" s="4">
        <v>4</v>
      </c>
      <c r="C564" s="4" t="s">
        <v>106</v>
      </c>
      <c r="D564" s="4" t="s">
        <v>11</v>
      </c>
      <c r="E564" s="4" t="s">
        <v>9</v>
      </c>
      <c r="F564" s="4" t="s">
        <v>10</v>
      </c>
      <c r="G564" s="5">
        <v>3171.17</v>
      </c>
      <c r="H564" s="4">
        <f>--AND(OR(Dashboard!$A$10="All",A564=Dashboard!$A$10),OR(Dashboard!$A$14="All",D564=Dashboard!$A$14),OR(Dashboard!$A$18="All",E564=Dashboard!$A$18),OR(Dashboard!$A$22="All",F564=Dashboard!$A$22))</f>
        <v>1</v>
      </c>
    </row>
    <row r="565" spans="1:8" ht="15.75" customHeight="1">
      <c r="A565" s="4">
        <v>2025</v>
      </c>
      <c r="B565" s="4">
        <v>4</v>
      </c>
      <c r="C565" s="4" t="s">
        <v>106</v>
      </c>
      <c r="D565" s="4" t="s">
        <v>11</v>
      </c>
      <c r="E565" s="4" t="s">
        <v>9</v>
      </c>
      <c r="F565" s="4" t="s">
        <v>13</v>
      </c>
      <c r="G565" s="5">
        <v>1921.92</v>
      </c>
      <c r="H565" s="4">
        <f>--AND(OR(Dashboard!$A$10="All",A565=Dashboard!$A$10),OR(Dashboard!$A$14="All",D565=Dashboard!$A$14),OR(Dashboard!$A$18="All",E565=Dashboard!$A$18),OR(Dashboard!$A$22="All",F565=Dashboard!$A$22))</f>
        <v>1</v>
      </c>
    </row>
    <row r="566" spans="1:8" ht="15.75" customHeight="1">
      <c r="A566" s="4">
        <v>2025</v>
      </c>
      <c r="B566" s="4">
        <v>4</v>
      </c>
      <c r="C566" s="4" t="s">
        <v>106</v>
      </c>
      <c r="D566" s="4" t="s">
        <v>11</v>
      </c>
      <c r="E566" s="4" t="s">
        <v>12</v>
      </c>
      <c r="F566" s="4" t="s">
        <v>7</v>
      </c>
      <c r="G566" s="5">
        <v>6606.6</v>
      </c>
      <c r="H566" s="4">
        <f>--AND(OR(Dashboard!$A$10="All",A566=Dashboard!$A$10),OR(Dashboard!$A$14="All",D566=Dashboard!$A$14),OR(Dashboard!$A$18="All",E566=Dashboard!$A$18),OR(Dashboard!$A$22="All",F566=Dashboard!$A$22))</f>
        <v>1</v>
      </c>
    </row>
    <row r="567" spans="1:8" ht="15.75" customHeight="1">
      <c r="A567" s="4">
        <v>2025</v>
      </c>
      <c r="B567" s="4">
        <v>4</v>
      </c>
      <c r="C567" s="4" t="s">
        <v>106</v>
      </c>
      <c r="D567" s="4" t="s">
        <v>11</v>
      </c>
      <c r="E567" s="4" t="s">
        <v>12</v>
      </c>
      <c r="F567" s="4" t="s">
        <v>10</v>
      </c>
      <c r="G567" s="5">
        <v>4360.3599999999997</v>
      </c>
      <c r="H567" s="4">
        <f>--AND(OR(Dashboard!$A$10="All",A567=Dashboard!$A$10),OR(Dashboard!$A$14="All",D567=Dashboard!$A$14),OR(Dashboard!$A$18="All",E567=Dashboard!$A$18),OR(Dashboard!$A$22="All",F567=Dashboard!$A$22))</f>
        <v>1</v>
      </c>
    </row>
    <row r="568" spans="1:8" ht="15.75" customHeight="1">
      <c r="A568" s="4">
        <v>2025</v>
      </c>
      <c r="B568" s="4">
        <v>4</v>
      </c>
      <c r="C568" s="4" t="s">
        <v>106</v>
      </c>
      <c r="D568" s="4" t="s">
        <v>11</v>
      </c>
      <c r="E568" s="4" t="s">
        <v>12</v>
      </c>
      <c r="F568" s="4" t="s">
        <v>13</v>
      </c>
      <c r="G568" s="5">
        <v>2642.64</v>
      </c>
      <c r="H568" s="4">
        <f>--AND(OR(Dashboard!$A$10="All",A568=Dashboard!$A$10),OR(Dashboard!$A$14="All",D568=Dashboard!$A$14),OR(Dashboard!$A$18="All",E568=Dashboard!$A$18),OR(Dashboard!$A$22="All",F568=Dashboard!$A$22))</f>
        <v>1</v>
      </c>
    </row>
    <row r="569" spans="1:8" ht="15.75" customHeight="1">
      <c r="A569" s="4">
        <v>2025</v>
      </c>
      <c r="B569" s="4">
        <v>4</v>
      </c>
      <c r="C569" s="4" t="s">
        <v>106</v>
      </c>
      <c r="D569" s="4" t="s">
        <v>14</v>
      </c>
      <c r="E569" s="4" t="s">
        <v>6</v>
      </c>
      <c r="F569" s="4" t="s">
        <v>7</v>
      </c>
      <c r="G569" s="5">
        <v>5118.75</v>
      </c>
      <c r="H569" s="4">
        <f>--AND(OR(Dashboard!$A$10="All",A569=Dashboard!$A$10),OR(Dashboard!$A$14="All",D569=Dashboard!$A$14),OR(Dashboard!$A$18="All",E569=Dashboard!$A$18),OR(Dashboard!$A$22="All",F569=Dashboard!$A$22))</f>
        <v>1</v>
      </c>
    </row>
    <row r="570" spans="1:8" ht="15.75" customHeight="1">
      <c r="A570" s="4">
        <v>2025</v>
      </c>
      <c r="B570" s="4">
        <v>4</v>
      </c>
      <c r="C570" s="4" t="s">
        <v>106</v>
      </c>
      <c r="D570" s="4" t="s">
        <v>14</v>
      </c>
      <c r="E570" s="4" t="s">
        <v>6</v>
      </c>
      <c r="F570" s="4" t="s">
        <v>10</v>
      </c>
      <c r="G570" s="5">
        <v>3378.38</v>
      </c>
      <c r="H570" s="4">
        <f>--AND(OR(Dashboard!$A$10="All",A570=Dashboard!$A$10),OR(Dashboard!$A$14="All",D570=Dashboard!$A$14),OR(Dashboard!$A$18="All",E570=Dashboard!$A$18),OR(Dashboard!$A$22="All",F570=Dashboard!$A$22))</f>
        <v>1</v>
      </c>
    </row>
    <row r="571" spans="1:8" ht="15.75" customHeight="1">
      <c r="A571" s="4">
        <v>2025</v>
      </c>
      <c r="B571" s="4">
        <v>4</v>
      </c>
      <c r="C571" s="4" t="s">
        <v>106</v>
      </c>
      <c r="D571" s="4" t="s">
        <v>14</v>
      </c>
      <c r="E571" s="4" t="s">
        <v>6</v>
      </c>
      <c r="F571" s="4" t="s">
        <v>13</v>
      </c>
      <c r="G571" s="5">
        <v>2047.5</v>
      </c>
      <c r="H571" s="4">
        <f>--AND(OR(Dashboard!$A$10="All",A571=Dashboard!$A$10),OR(Dashboard!$A$14="All",D571=Dashboard!$A$14),OR(Dashboard!$A$18="All",E571=Dashboard!$A$18),OR(Dashboard!$A$22="All",F571=Dashboard!$A$22))</f>
        <v>1</v>
      </c>
    </row>
    <row r="572" spans="1:8" ht="15.75" customHeight="1">
      <c r="A572" s="4">
        <v>2025</v>
      </c>
      <c r="B572" s="4">
        <v>4</v>
      </c>
      <c r="C572" s="4" t="s">
        <v>106</v>
      </c>
      <c r="D572" s="4" t="s">
        <v>14</v>
      </c>
      <c r="E572" s="4" t="s">
        <v>9</v>
      </c>
      <c r="F572" s="4" t="s">
        <v>7</v>
      </c>
      <c r="G572" s="5">
        <v>3276</v>
      </c>
      <c r="H572" s="4">
        <f>--AND(OR(Dashboard!$A$10="All",A572=Dashboard!$A$10),OR(Dashboard!$A$14="All",D572=Dashboard!$A$14),OR(Dashboard!$A$18="All",E572=Dashboard!$A$18),OR(Dashboard!$A$22="All",F572=Dashboard!$A$22))</f>
        <v>1</v>
      </c>
    </row>
    <row r="573" spans="1:8" ht="15.75" customHeight="1">
      <c r="A573" s="4">
        <v>2025</v>
      </c>
      <c r="B573" s="4">
        <v>4</v>
      </c>
      <c r="C573" s="4" t="s">
        <v>106</v>
      </c>
      <c r="D573" s="4" t="s">
        <v>14</v>
      </c>
      <c r="E573" s="4" t="s">
        <v>9</v>
      </c>
      <c r="F573" s="4" t="s">
        <v>10</v>
      </c>
      <c r="G573" s="5">
        <v>2162.16</v>
      </c>
      <c r="H573" s="4">
        <f>--AND(OR(Dashboard!$A$10="All",A573=Dashboard!$A$10),OR(Dashboard!$A$14="All",D573=Dashboard!$A$14),OR(Dashboard!$A$18="All",E573=Dashboard!$A$18),OR(Dashboard!$A$22="All",F573=Dashboard!$A$22))</f>
        <v>1</v>
      </c>
    </row>
    <row r="574" spans="1:8" ht="15.75" customHeight="1">
      <c r="A574" s="4">
        <v>2025</v>
      </c>
      <c r="B574" s="4">
        <v>4</v>
      </c>
      <c r="C574" s="4" t="s">
        <v>106</v>
      </c>
      <c r="D574" s="4" t="s">
        <v>14</v>
      </c>
      <c r="E574" s="4" t="s">
        <v>9</v>
      </c>
      <c r="F574" s="4" t="s">
        <v>13</v>
      </c>
      <c r="G574" s="5">
        <v>1310.4000000000001</v>
      </c>
      <c r="H574" s="4">
        <f>--AND(OR(Dashboard!$A$10="All",A574=Dashboard!$A$10),OR(Dashboard!$A$14="All",D574=Dashboard!$A$14),OR(Dashboard!$A$18="All",E574=Dashboard!$A$18),OR(Dashboard!$A$22="All",F574=Dashboard!$A$22))</f>
        <v>1</v>
      </c>
    </row>
    <row r="575" spans="1:8" ht="15.75" customHeight="1">
      <c r="A575" s="4">
        <v>2025</v>
      </c>
      <c r="B575" s="4">
        <v>4</v>
      </c>
      <c r="C575" s="4" t="s">
        <v>106</v>
      </c>
      <c r="D575" s="4" t="s">
        <v>14</v>
      </c>
      <c r="E575" s="4" t="s">
        <v>12</v>
      </c>
      <c r="F575" s="4" t="s">
        <v>7</v>
      </c>
      <c r="G575" s="5">
        <v>4504.5</v>
      </c>
      <c r="H575" s="4">
        <f>--AND(OR(Dashboard!$A$10="All",A575=Dashboard!$A$10),OR(Dashboard!$A$14="All",D575=Dashboard!$A$14),OR(Dashboard!$A$18="All",E575=Dashboard!$A$18),OR(Dashboard!$A$22="All",F575=Dashboard!$A$22))</f>
        <v>1</v>
      </c>
    </row>
    <row r="576" spans="1:8" ht="15.75" customHeight="1">
      <c r="A576" s="4">
        <v>2025</v>
      </c>
      <c r="B576" s="4">
        <v>4</v>
      </c>
      <c r="C576" s="4" t="s">
        <v>106</v>
      </c>
      <c r="D576" s="4" t="s">
        <v>14</v>
      </c>
      <c r="E576" s="4" t="s">
        <v>12</v>
      </c>
      <c r="F576" s="4" t="s">
        <v>10</v>
      </c>
      <c r="G576" s="5">
        <v>2972.97</v>
      </c>
      <c r="H576" s="4">
        <f>--AND(OR(Dashboard!$A$10="All",A576=Dashboard!$A$10),OR(Dashboard!$A$14="All",D576=Dashboard!$A$14),OR(Dashboard!$A$18="All",E576=Dashboard!$A$18),OR(Dashboard!$A$22="All",F576=Dashboard!$A$22))</f>
        <v>1</v>
      </c>
    </row>
    <row r="577" spans="1:8" ht="15.75" customHeight="1">
      <c r="A577" s="4">
        <v>2025</v>
      </c>
      <c r="B577" s="4">
        <v>4</v>
      </c>
      <c r="C577" s="4" t="s">
        <v>106</v>
      </c>
      <c r="D577" s="4" t="s">
        <v>14</v>
      </c>
      <c r="E577" s="4" t="s">
        <v>12</v>
      </c>
      <c r="F577" s="4" t="s">
        <v>13</v>
      </c>
      <c r="G577" s="5">
        <v>1801.8</v>
      </c>
      <c r="H577" s="4">
        <f>--AND(OR(Dashboard!$A$10="All",A577=Dashboard!$A$10),OR(Dashboard!$A$14="All",D577=Dashboard!$A$14),OR(Dashboard!$A$18="All",E577=Dashboard!$A$18),OR(Dashboard!$A$22="All",F577=Dashboard!$A$22))</f>
        <v>1</v>
      </c>
    </row>
    <row r="578" spans="1:8" ht="15.75" customHeight="1">
      <c r="A578" s="4">
        <v>2025</v>
      </c>
      <c r="B578" s="4">
        <v>5</v>
      </c>
      <c r="C578" s="4" t="s">
        <v>108</v>
      </c>
      <c r="D578" s="4" t="s">
        <v>5</v>
      </c>
      <c r="E578" s="4" t="s">
        <v>6</v>
      </c>
      <c r="F578" s="4" t="s">
        <v>7</v>
      </c>
      <c r="G578" s="5">
        <v>17062.5</v>
      </c>
      <c r="H578" s="4">
        <f>--AND(OR(Dashboard!$A$10="All",A578=Dashboard!$A$10),OR(Dashboard!$A$14="All",D578=Dashboard!$A$14),OR(Dashboard!$A$18="All",E578=Dashboard!$A$18),OR(Dashboard!$A$22="All",F578=Dashboard!$A$22))</f>
        <v>1</v>
      </c>
    </row>
    <row r="579" spans="1:8" ht="15.75" customHeight="1">
      <c r="A579" s="4">
        <v>2025</v>
      </c>
      <c r="B579" s="4">
        <v>5</v>
      </c>
      <c r="C579" s="4" t="s">
        <v>108</v>
      </c>
      <c r="D579" s="4" t="s">
        <v>5</v>
      </c>
      <c r="E579" s="4" t="s">
        <v>6</v>
      </c>
      <c r="F579" s="4" t="s">
        <v>10</v>
      </c>
      <c r="G579" s="5">
        <v>11261.25</v>
      </c>
      <c r="H579" s="4">
        <f>--AND(OR(Dashboard!$A$10="All",A579=Dashboard!$A$10),OR(Dashboard!$A$14="All",D579=Dashboard!$A$14),OR(Dashboard!$A$18="All",E579=Dashboard!$A$18),OR(Dashboard!$A$22="All",F579=Dashboard!$A$22))</f>
        <v>1</v>
      </c>
    </row>
    <row r="580" spans="1:8" ht="15.75" customHeight="1">
      <c r="A580" s="4">
        <v>2025</v>
      </c>
      <c r="B580" s="4">
        <v>5</v>
      </c>
      <c r="C580" s="4" t="s">
        <v>108</v>
      </c>
      <c r="D580" s="4" t="s">
        <v>5</v>
      </c>
      <c r="E580" s="4" t="s">
        <v>6</v>
      </c>
      <c r="F580" s="4" t="s">
        <v>13</v>
      </c>
      <c r="G580" s="5">
        <v>6825</v>
      </c>
      <c r="H580" s="4">
        <f>--AND(OR(Dashboard!$A$10="All",A580=Dashboard!$A$10),OR(Dashboard!$A$14="All",D580=Dashboard!$A$14),OR(Dashboard!$A$18="All",E580=Dashboard!$A$18),OR(Dashboard!$A$22="All",F580=Dashboard!$A$22))</f>
        <v>1</v>
      </c>
    </row>
    <row r="581" spans="1:8" ht="15.75" customHeight="1">
      <c r="A581" s="4">
        <v>2025</v>
      </c>
      <c r="B581" s="4">
        <v>5</v>
      </c>
      <c r="C581" s="4" t="s">
        <v>108</v>
      </c>
      <c r="D581" s="4" t="s">
        <v>5</v>
      </c>
      <c r="E581" s="4" t="s">
        <v>9</v>
      </c>
      <c r="F581" s="4" t="s">
        <v>7</v>
      </c>
      <c r="G581" s="5">
        <v>10920</v>
      </c>
      <c r="H581" s="4">
        <f>--AND(OR(Dashboard!$A$10="All",A581=Dashboard!$A$10),OR(Dashboard!$A$14="All",D581=Dashboard!$A$14),OR(Dashboard!$A$18="All",E581=Dashboard!$A$18),OR(Dashboard!$A$22="All",F581=Dashboard!$A$22))</f>
        <v>1</v>
      </c>
    </row>
    <row r="582" spans="1:8" ht="15.75" customHeight="1">
      <c r="A582" s="4">
        <v>2025</v>
      </c>
      <c r="B582" s="4">
        <v>5</v>
      </c>
      <c r="C582" s="4" t="s">
        <v>108</v>
      </c>
      <c r="D582" s="4" t="s">
        <v>5</v>
      </c>
      <c r="E582" s="4" t="s">
        <v>9</v>
      </c>
      <c r="F582" s="4" t="s">
        <v>10</v>
      </c>
      <c r="G582" s="5">
        <v>7207.2</v>
      </c>
      <c r="H582" s="4">
        <f>--AND(OR(Dashboard!$A$10="All",A582=Dashboard!$A$10),OR(Dashboard!$A$14="All",D582=Dashboard!$A$14),OR(Dashboard!$A$18="All",E582=Dashboard!$A$18),OR(Dashboard!$A$22="All",F582=Dashboard!$A$22))</f>
        <v>1</v>
      </c>
    </row>
    <row r="583" spans="1:8" ht="15.75" customHeight="1">
      <c r="A583" s="4">
        <v>2025</v>
      </c>
      <c r="B583" s="4">
        <v>5</v>
      </c>
      <c r="C583" s="4" t="s">
        <v>108</v>
      </c>
      <c r="D583" s="4" t="s">
        <v>5</v>
      </c>
      <c r="E583" s="4" t="s">
        <v>9</v>
      </c>
      <c r="F583" s="4" t="s">
        <v>13</v>
      </c>
      <c r="G583" s="5">
        <v>4368</v>
      </c>
      <c r="H583" s="4">
        <f>--AND(OR(Dashboard!$A$10="All",A583=Dashboard!$A$10),OR(Dashboard!$A$14="All",D583=Dashboard!$A$14),OR(Dashboard!$A$18="All",E583=Dashboard!$A$18),OR(Dashboard!$A$22="All",F583=Dashboard!$A$22))</f>
        <v>1</v>
      </c>
    </row>
    <row r="584" spans="1:8" ht="15.75" customHeight="1">
      <c r="A584" s="4">
        <v>2025</v>
      </c>
      <c r="B584" s="4">
        <v>5</v>
      </c>
      <c r="C584" s="4" t="s">
        <v>108</v>
      </c>
      <c r="D584" s="4" t="s">
        <v>5</v>
      </c>
      <c r="E584" s="4" t="s">
        <v>12</v>
      </c>
      <c r="F584" s="4" t="s">
        <v>7</v>
      </c>
      <c r="G584" s="5">
        <v>15015</v>
      </c>
      <c r="H584" s="4">
        <f>--AND(OR(Dashboard!$A$10="All",A584=Dashboard!$A$10),OR(Dashboard!$A$14="All",D584=Dashboard!$A$14),OR(Dashboard!$A$18="All",E584=Dashboard!$A$18),OR(Dashboard!$A$22="All",F584=Dashboard!$A$22))</f>
        <v>1</v>
      </c>
    </row>
    <row r="585" spans="1:8" ht="15.75" customHeight="1">
      <c r="A585" s="4">
        <v>2025</v>
      </c>
      <c r="B585" s="4">
        <v>5</v>
      </c>
      <c r="C585" s="4" t="s">
        <v>108</v>
      </c>
      <c r="D585" s="4" t="s">
        <v>5</v>
      </c>
      <c r="E585" s="4" t="s">
        <v>12</v>
      </c>
      <c r="F585" s="4" t="s">
        <v>10</v>
      </c>
      <c r="G585" s="5">
        <v>9909.9</v>
      </c>
      <c r="H585" s="4">
        <f>--AND(OR(Dashboard!$A$10="All",A585=Dashboard!$A$10),OR(Dashboard!$A$14="All",D585=Dashboard!$A$14),OR(Dashboard!$A$18="All",E585=Dashboard!$A$18),OR(Dashboard!$A$22="All",F585=Dashboard!$A$22))</f>
        <v>1</v>
      </c>
    </row>
    <row r="586" spans="1:8" ht="15.75" customHeight="1">
      <c r="A586" s="4">
        <v>2025</v>
      </c>
      <c r="B586" s="4">
        <v>5</v>
      </c>
      <c r="C586" s="4" t="s">
        <v>108</v>
      </c>
      <c r="D586" s="4" t="s">
        <v>5</v>
      </c>
      <c r="E586" s="4" t="s">
        <v>12</v>
      </c>
      <c r="F586" s="4" t="s">
        <v>13</v>
      </c>
      <c r="G586" s="5">
        <v>6006</v>
      </c>
      <c r="H586" s="4">
        <f>--AND(OR(Dashboard!$A$10="All",A586=Dashboard!$A$10),OR(Dashboard!$A$14="All",D586=Dashboard!$A$14),OR(Dashboard!$A$18="All",E586=Dashboard!$A$18),OR(Dashboard!$A$22="All",F586=Dashboard!$A$22))</f>
        <v>1</v>
      </c>
    </row>
    <row r="587" spans="1:8" ht="15.75" customHeight="1">
      <c r="A587" s="4">
        <v>2025</v>
      </c>
      <c r="B587" s="4">
        <v>5</v>
      </c>
      <c r="C587" s="4" t="s">
        <v>108</v>
      </c>
      <c r="D587" s="4" t="s">
        <v>8</v>
      </c>
      <c r="E587" s="4" t="s">
        <v>6</v>
      </c>
      <c r="F587" s="4" t="s">
        <v>7</v>
      </c>
      <c r="G587" s="5">
        <v>10578.75</v>
      </c>
      <c r="H587" s="4">
        <f>--AND(OR(Dashboard!$A$10="All",A587=Dashboard!$A$10),OR(Dashboard!$A$14="All",D587=Dashboard!$A$14),OR(Dashboard!$A$18="All",E587=Dashboard!$A$18),OR(Dashboard!$A$22="All",F587=Dashboard!$A$22))</f>
        <v>1</v>
      </c>
    </row>
    <row r="588" spans="1:8" ht="15.75" customHeight="1">
      <c r="A588" s="4">
        <v>2025</v>
      </c>
      <c r="B588" s="4">
        <v>5</v>
      </c>
      <c r="C588" s="4" t="s">
        <v>108</v>
      </c>
      <c r="D588" s="4" t="s">
        <v>8</v>
      </c>
      <c r="E588" s="4" t="s">
        <v>6</v>
      </c>
      <c r="F588" s="4" t="s">
        <v>10</v>
      </c>
      <c r="G588" s="5">
        <v>6981.98</v>
      </c>
      <c r="H588" s="4">
        <f>--AND(OR(Dashboard!$A$10="All",A588=Dashboard!$A$10),OR(Dashboard!$A$14="All",D588=Dashboard!$A$14),OR(Dashboard!$A$18="All",E588=Dashboard!$A$18),OR(Dashboard!$A$22="All",F588=Dashboard!$A$22))</f>
        <v>1</v>
      </c>
    </row>
    <row r="589" spans="1:8" ht="15.75" customHeight="1">
      <c r="A589" s="4">
        <v>2025</v>
      </c>
      <c r="B589" s="4">
        <v>5</v>
      </c>
      <c r="C589" s="4" t="s">
        <v>108</v>
      </c>
      <c r="D589" s="4" t="s">
        <v>8</v>
      </c>
      <c r="E589" s="4" t="s">
        <v>6</v>
      </c>
      <c r="F589" s="4" t="s">
        <v>13</v>
      </c>
      <c r="G589" s="5">
        <v>4231.5</v>
      </c>
      <c r="H589" s="4">
        <f>--AND(OR(Dashboard!$A$10="All",A589=Dashboard!$A$10),OR(Dashboard!$A$14="All",D589=Dashboard!$A$14),OR(Dashboard!$A$18="All",E589=Dashboard!$A$18),OR(Dashboard!$A$22="All",F589=Dashboard!$A$22))</f>
        <v>1</v>
      </c>
    </row>
    <row r="590" spans="1:8" ht="15.75" customHeight="1">
      <c r="A590" s="4">
        <v>2025</v>
      </c>
      <c r="B590" s="4">
        <v>5</v>
      </c>
      <c r="C590" s="4" t="s">
        <v>108</v>
      </c>
      <c r="D590" s="4" t="s">
        <v>8</v>
      </c>
      <c r="E590" s="4" t="s">
        <v>9</v>
      </c>
      <c r="F590" s="4" t="s">
        <v>7</v>
      </c>
      <c r="G590" s="5">
        <v>6770.4</v>
      </c>
      <c r="H590" s="4">
        <f>--AND(OR(Dashboard!$A$10="All",A590=Dashboard!$A$10),OR(Dashboard!$A$14="All",D590=Dashboard!$A$14),OR(Dashboard!$A$18="All",E590=Dashboard!$A$18),OR(Dashboard!$A$22="All",F590=Dashboard!$A$22))</f>
        <v>1</v>
      </c>
    </row>
    <row r="591" spans="1:8" ht="15.75" customHeight="1">
      <c r="A591" s="4">
        <v>2025</v>
      </c>
      <c r="B591" s="4">
        <v>5</v>
      </c>
      <c r="C591" s="4" t="s">
        <v>108</v>
      </c>
      <c r="D591" s="4" t="s">
        <v>8</v>
      </c>
      <c r="E591" s="4" t="s">
        <v>9</v>
      </c>
      <c r="F591" s="4" t="s">
        <v>10</v>
      </c>
      <c r="G591" s="5">
        <v>4468.46</v>
      </c>
      <c r="H591" s="4">
        <f>--AND(OR(Dashboard!$A$10="All",A591=Dashboard!$A$10),OR(Dashboard!$A$14="All",D591=Dashboard!$A$14),OR(Dashboard!$A$18="All",E591=Dashboard!$A$18),OR(Dashboard!$A$22="All",F591=Dashboard!$A$22))</f>
        <v>1</v>
      </c>
    </row>
    <row r="592" spans="1:8" ht="15.75" customHeight="1">
      <c r="A592" s="4">
        <v>2025</v>
      </c>
      <c r="B592" s="4">
        <v>5</v>
      </c>
      <c r="C592" s="4" t="s">
        <v>108</v>
      </c>
      <c r="D592" s="4" t="s">
        <v>8</v>
      </c>
      <c r="E592" s="4" t="s">
        <v>9</v>
      </c>
      <c r="F592" s="4" t="s">
        <v>13</v>
      </c>
      <c r="G592" s="5">
        <v>2708.16</v>
      </c>
      <c r="H592" s="4">
        <f>--AND(OR(Dashboard!$A$10="All",A592=Dashboard!$A$10),OR(Dashboard!$A$14="All",D592=Dashboard!$A$14),OR(Dashboard!$A$18="All",E592=Dashboard!$A$18),OR(Dashboard!$A$22="All",F592=Dashboard!$A$22))</f>
        <v>1</v>
      </c>
    </row>
    <row r="593" spans="1:8" ht="15.75" customHeight="1">
      <c r="A593" s="4">
        <v>2025</v>
      </c>
      <c r="B593" s="4">
        <v>5</v>
      </c>
      <c r="C593" s="4" t="s">
        <v>108</v>
      </c>
      <c r="D593" s="4" t="s">
        <v>8</v>
      </c>
      <c r="E593" s="4" t="s">
        <v>12</v>
      </c>
      <c r="F593" s="4" t="s">
        <v>7</v>
      </c>
      <c r="G593" s="5">
        <v>9309.2999999999993</v>
      </c>
      <c r="H593" s="4">
        <f>--AND(OR(Dashboard!$A$10="All",A593=Dashboard!$A$10),OR(Dashboard!$A$14="All",D593=Dashboard!$A$14),OR(Dashboard!$A$18="All",E593=Dashboard!$A$18),OR(Dashboard!$A$22="All",F593=Dashboard!$A$22))</f>
        <v>1</v>
      </c>
    </row>
    <row r="594" spans="1:8" ht="15.75" customHeight="1">
      <c r="A594" s="4">
        <v>2025</v>
      </c>
      <c r="B594" s="4">
        <v>5</v>
      </c>
      <c r="C594" s="4" t="s">
        <v>108</v>
      </c>
      <c r="D594" s="4" t="s">
        <v>8</v>
      </c>
      <c r="E594" s="4" t="s">
        <v>12</v>
      </c>
      <c r="F594" s="4" t="s">
        <v>10</v>
      </c>
      <c r="G594" s="5">
        <v>6144.14</v>
      </c>
      <c r="H594" s="4">
        <f>--AND(OR(Dashboard!$A$10="All",A594=Dashboard!$A$10),OR(Dashboard!$A$14="All",D594=Dashboard!$A$14),OR(Dashboard!$A$18="All",E594=Dashboard!$A$18),OR(Dashboard!$A$22="All",F594=Dashboard!$A$22))</f>
        <v>1</v>
      </c>
    </row>
    <row r="595" spans="1:8" ht="15.75" customHeight="1">
      <c r="A595" s="4">
        <v>2025</v>
      </c>
      <c r="B595" s="4">
        <v>5</v>
      </c>
      <c r="C595" s="4" t="s">
        <v>108</v>
      </c>
      <c r="D595" s="4" t="s">
        <v>8</v>
      </c>
      <c r="E595" s="4" t="s">
        <v>12</v>
      </c>
      <c r="F595" s="4" t="s">
        <v>13</v>
      </c>
      <c r="G595" s="5">
        <v>3723.72</v>
      </c>
      <c r="H595" s="4">
        <f>--AND(OR(Dashboard!$A$10="All",A595=Dashboard!$A$10),OR(Dashboard!$A$14="All",D595=Dashboard!$A$14),OR(Dashboard!$A$18="All",E595=Dashboard!$A$18),OR(Dashboard!$A$22="All",F595=Dashboard!$A$22))</f>
        <v>1</v>
      </c>
    </row>
    <row r="596" spans="1:8" ht="15.75" customHeight="1">
      <c r="A596" s="4">
        <v>2025</v>
      </c>
      <c r="B596" s="4">
        <v>5</v>
      </c>
      <c r="C596" s="4" t="s">
        <v>108</v>
      </c>
      <c r="D596" s="4" t="s">
        <v>11</v>
      </c>
      <c r="E596" s="4" t="s">
        <v>6</v>
      </c>
      <c r="F596" s="4" t="s">
        <v>7</v>
      </c>
      <c r="G596" s="5">
        <v>7507.5</v>
      </c>
      <c r="H596" s="4">
        <f>--AND(OR(Dashboard!$A$10="All",A596=Dashboard!$A$10),OR(Dashboard!$A$14="All",D596=Dashboard!$A$14),OR(Dashboard!$A$18="All",E596=Dashboard!$A$18),OR(Dashboard!$A$22="All",F596=Dashboard!$A$22))</f>
        <v>1</v>
      </c>
    </row>
    <row r="597" spans="1:8" ht="15.75" customHeight="1">
      <c r="A597" s="4">
        <v>2025</v>
      </c>
      <c r="B597" s="4">
        <v>5</v>
      </c>
      <c r="C597" s="4" t="s">
        <v>108</v>
      </c>
      <c r="D597" s="4" t="s">
        <v>11</v>
      </c>
      <c r="E597" s="4" t="s">
        <v>6</v>
      </c>
      <c r="F597" s="4" t="s">
        <v>10</v>
      </c>
      <c r="G597" s="5">
        <v>4954.95</v>
      </c>
      <c r="H597" s="4">
        <f>--AND(OR(Dashboard!$A$10="All",A597=Dashboard!$A$10),OR(Dashboard!$A$14="All",D597=Dashboard!$A$14),OR(Dashboard!$A$18="All",E597=Dashboard!$A$18),OR(Dashboard!$A$22="All",F597=Dashboard!$A$22))</f>
        <v>1</v>
      </c>
    </row>
    <row r="598" spans="1:8" ht="15.75" customHeight="1">
      <c r="A598" s="4">
        <v>2025</v>
      </c>
      <c r="B598" s="4">
        <v>5</v>
      </c>
      <c r="C598" s="4" t="s">
        <v>108</v>
      </c>
      <c r="D598" s="4" t="s">
        <v>11</v>
      </c>
      <c r="E598" s="4" t="s">
        <v>6</v>
      </c>
      <c r="F598" s="4" t="s">
        <v>13</v>
      </c>
      <c r="G598" s="5">
        <v>3003</v>
      </c>
      <c r="H598" s="4">
        <f>--AND(OR(Dashboard!$A$10="All",A598=Dashboard!$A$10),OR(Dashboard!$A$14="All",D598=Dashboard!$A$14),OR(Dashboard!$A$18="All",E598=Dashboard!$A$18),OR(Dashboard!$A$22="All",F598=Dashboard!$A$22))</f>
        <v>1</v>
      </c>
    </row>
    <row r="599" spans="1:8" ht="15.75" customHeight="1">
      <c r="A599" s="4">
        <v>2025</v>
      </c>
      <c r="B599" s="4">
        <v>5</v>
      </c>
      <c r="C599" s="4" t="s">
        <v>108</v>
      </c>
      <c r="D599" s="4" t="s">
        <v>11</v>
      </c>
      <c r="E599" s="4" t="s">
        <v>9</v>
      </c>
      <c r="F599" s="4" t="s">
        <v>7</v>
      </c>
      <c r="G599" s="5">
        <v>4804.8</v>
      </c>
      <c r="H599" s="4">
        <f>--AND(OR(Dashboard!$A$10="All",A599=Dashboard!$A$10),OR(Dashboard!$A$14="All",D599=Dashboard!$A$14),OR(Dashboard!$A$18="All",E599=Dashboard!$A$18),OR(Dashboard!$A$22="All",F599=Dashboard!$A$22))</f>
        <v>1</v>
      </c>
    </row>
    <row r="600" spans="1:8" ht="15.75" customHeight="1">
      <c r="A600" s="4">
        <v>2025</v>
      </c>
      <c r="B600" s="4">
        <v>5</v>
      </c>
      <c r="C600" s="4" t="s">
        <v>108</v>
      </c>
      <c r="D600" s="4" t="s">
        <v>11</v>
      </c>
      <c r="E600" s="4" t="s">
        <v>9</v>
      </c>
      <c r="F600" s="4" t="s">
        <v>10</v>
      </c>
      <c r="G600" s="5">
        <v>3171.17</v>
      </c>
      <c r="H600" s="4">
        <f>--AND(OR(Dashboard!$A$10="All",A600=Dashboard!$A$10),OR(Dashboard!$A$14="All",D600=Dashboard!$A$14),OR(Dashboard!$A$18="All",E600=Dashboard!$A$18),OR(Dashboard!$A$22="All",F600=Dashboard!$A$22))</f>
        <v>1</v>
      </c>
    </row>
    <row r="601" spans="1:8" ht="15.75" customHeight="1">
      <c r="A601" s="4">
        <v>2025</v>
      </c>
      <c r="B601" s="4">
        <v>5</v>
      </c>
      <c r="C601" s="4" t="s">
        <v>108</v>
      </c>
      <c r="D601" s="4" t="s">
        <v>11</v>
      </c>
      <c r="E601" s="4" t="s">
        <v>9</v>
      </c>
      <c r="F601" s="4" t="s">
        <v>13</v>
      </c>
      <c r="G601" s="5">
        <v>1921.92</v>
      </c>
      <c r="H601" s="4">
        <f>--AND(OR(Dashboard!$A$10="All",A601=Dashboard!$A$10),OR(Dashboard!$A$14="All",D601=Dashboard!$A$14),OR(Dashboard!$A$18="All",E601=Dashboard!$A$18),OR(Dashboard!$A$22="All",F601=Dashboard!$A$22))</f>
        <v>1</v>
      </c>
    </row>
    <row r="602" spans="1:8" ht="15.75" customHeight="1">
      <c r="A602" s="4">
        <v>2025</v>
      </c>
      <c r="B602" s="4">
        <v>5</v>
      </c>
      <c r="C602" s="4" t="s">
        <v>108</v>
      </c>
      <c r="D602" s="4" t="s">
        <v>11</v>
      </c>
      <c r="E602" s="4" t="s">
        <v>12</v>
      </c>
      <c r="F602" s="4" t="s">
        <v>7</v>
      </c>
      <c r="G602" s="5">
        <v>6606.6</v>
      </c>
      <c r="H602" s="4">
        <f>--AND(OR(Dashboard!$A$10="All",A602=Dashboard!$A$10),OR(Dashboard!$A$14="All",D602=Dashboard!$A$14),OR(Dashboard!$A$18="All",E602=Dashboard!$A$18),OR(Dashboard!$A$22="All",F602=Dashboard!$A$22))</f>
        <v>1</v>
      </c>
    </row>
    <row r="603" spans="1:8" ht="15.75" customHeight="1">
      <c r="A603" s="4">
        <v>2025</v>
      </c>
      <c r="B603" s="4">
        <v>5</v>
      </c>
      <c r="C603" s="4" t="s">
        <v>108</v>
      </c>
      <c r="D603" s="4" t="s">
        <v>11</v>
      </c>
      <c r="E603" s="4" t="s">
        <v>12</v>
      </c>
      <c r="F603" s="4" t="s">
        <v>10</v>
      </c>
      <c r="G603" s="5">
        <v>4360.3599999999997</v>
      </c>
      <c r="H603" s="4">
        <f>--AND(OR(Dashboard!$A$10="All",A603=Dashboard!$A$10),OR(Dashboard!$A$14="All",D603=Dashboard!$A$14),OR(Dashboard!$A$18="All",E603=Dashboard!$A$18),OR(Dashboard!$A$22="All",F603=Dashboard!$A$22))</f>
        <v>1</v>
      </c>
    </row>
    <row r="604" spans="1:8" ht="15.75" customHeight="1">
      <c r="A604" s="4">
        <v>2025</v>
      </c>
      <c r="B604" s="4">
        <v>5</v>
      </c>
      <c r="C604" s="4" t="s">
        <v>108</v>
      </c>
      <c r="D604" s="4" t="s">
        <v>11</v>
      </c>
      <c r="E604" s="4" t="s">
        <v>12</v>
      </c>
      <c r="F604" s="4" t="s">
        <v>13</v>
      </c>
      <c r="G604" s="5">
        <v>2642.64</v>
      </c>
      <c r="H604" s="4">
        <f>--AND(OR(Dashboard!$A$10="All",A604=Dashboard!$A$10),OR(Dashboard!$A$14="All",D604=Dashboard!$A$14),OR(Dashboard!$A$18="All",E604=Dashboard!$A$18),OR(Dashboard!$A$22="All",F604=Dashboard!$A$22))</f>
        <v>1</v>
      </c>
    </row>
    <row r="605" spans="1:8" ht="15.75" customHeight="1">
      <c r="A605" s="4">
        <v>2025</v>
      </c>
      <c r="B605" s="4">
        <v>5</v>
      </c>
      <c r="C605" s="4" t="s">
        <v>108</v>
      </c>
      <c r="D605" s="4" t="s">
        <v>14</v>
      </c>
      <c r="E605" s="4" t="s">
        <v>6</v>
      </c>
      <c r="F605" s="4" t="s">
        <v>7</v>
      </c>
      <c r="G605" s="5">
        <v>5118.75</v>
      </c>
      <c r="H605" s="4">
        <f>--AND(OR(Dashboard!$A$10="All",A605=Dashboard!$A$10),OR(Dashboard!$A$14="All",D605=Dashboard!$A$14),OR(Dashboard!$A$18="All",E605=Dashboard!$A$18),OR(Dashboard!$A$22="All",F605=Dashboard!$A$22))</f>
        <v>1</v>
      </c>
    </row>
    <row r="606" spans="1:8" ht="15.75" customHeight="1">
      <c r="A606" s="4">
        <v>2025</v>
      </c>
      <c r="B606" s="4">
        <v>5</v>
      </c>
      <c r="C606" s="4" t="s">
        <v>108</v>
      </c>
      <c r="D606" s="4" t="s">
        <v>14</v>
      </c>
      <c r="E606" s="4" t="s">
        <v>6</v>
      </c>
      <c r="F606" s="4" t="s">
        <v>10</v>
      </c>
      <c r="G606" s="5">
        <v>3378.38</v>
      </c>
      <c r="H606" s="4">
        <f>--AND(OR(Dashboard!$A$10="All",A606=Dashboard!$A$10),OR(Dashboard!$A$14="All",D606=Dashboard!$A$14),OR(Dashboard!$A$18="All",E606=Dashboard!$A$18),OR(Dashboard!$A$22="All",F606=Dashboard!$A$22))</f>
        <v>1</v>
      </c>
    </row>
    <row r="607" spans="1:8" ht="15.75" customHeight="1">
      <c r="A607" s="4">
        <v>2025</v>
      </c>
      <c r="B607" s="4">
        <v>5</v>
      </c>
      <c r="C607" s="4" t="s">
        <v>108</v>
      </c>
      <c r="D607" s="4" t="s">
        <v>14</v>
      </c>
      <c r="E607" s="4" t="s">
        <v>6</v>
      </c>
      <c r="F607" s="4" t="s">
        <v>13</v>
      </c>
      <c r="G607" s="5">
        <v>2047.5</v>
      </c>
      <c r="H607" s="4">
        <f>--AND(OR(Dashboard!$A$10="All",A607=Dashboard!$A$10),OR(Dashboard!$A$14="All",D607=Dashboard!$A$14),OR(Dashboard!$A$18="All",E607=Dashboard!$A$18),OR(Dashboard!$A$22="All",F607=Dashboard!$A$22))</f>
        <v>1</v>
      </c>
    </row>
    <row r="608" spans="1:8" ht="15.75" customHeight="1">
      <c r="A608" s="4">
        <v>2025</v>
      </c>
      <c r="B608" s="4">
        <v>5</v>
      </c>
      <c r="C608" s="4" t="s">
        <v>108</v>
      </c>
      <c r="D608" s="4" t="s">
        <v>14</v>
      </c>
      <c r="E608" s="4" t="s">
        <v>9</v>
      </c>
      <c r="F608" s="4" t="s">
        <v>7</v>
      </c>
      <c r="G608" s="5">
        <v>3276</v>
      </c>
      <c r="H608" s="4">
        <f>--AND(OR(Dashboard!$A$10="All",A608=Dashboard!$A$10),OR(Dashboard!$A$14="All",D608=Dashboard!$A$14),OR(Dashboard!$A$18="All",E608=Dashboard!$A$18),OR(Dashboard!$A$22="All",F608=Dashboard!$A$22))</f>
        <v>1</v>
      </c>
    </row>
    <row r="609" spans="1:8" ht="15.75" customHeight="1">
      <c r="A609" s="4">
        <v>2025</v>
      </c>
      <c r="B609" s="4">
        <v>5</v>
      </c>
      <c r="C609" s="4" t="s">
        <v>108</v>
      </c>
      <c r="D609" s="4" t="s">
        <v>14</v>
      </c>
      <c r="E609" s="4" t="s">
        <v>9</v>
      </c>
      <c r="F609" s="4" t="s">
        <v>10</v>
      </c>
      <c r="G609" s="5">
        <v>2162.16</v>
      </c>
      <c r="H609" s="4">
        <f>--AND(OR(Dashboard!$A$10="All",A609=Dashboard!$A$10),OR(Dashboard!$A$14="All",D609=Dashboard!$A$14),OR(Dashboard!$A$18="All",E609=Dashboard!$A$18),OR(Dashboard!$A$22="All",F609=Dashboard!$A$22))</f>
        <v>1</v>
      </c>
    </row>
    <row r="610" spans="1:8" ht="15.75" customHeight="1">
      <c r="A610" s="4">
        <v>2025</v>
      </c>
      <c r="B610" s="4">
        <v>5</v>
      </c>
      <c r="C610" s="4" t="s">
        <v>108</v>
      </c>
      <c r="D610" s="4" t="s">
        <v>14</v>
      </c>
      <c r="E610" s="4" t="s">
        <v>9</v>
      </c>
      <c r="F610" s="4" t="s">
        <v>13</v>
      </c>
      <c r="G610" s="5">
        <v>1310.4000000000001</v>
      </c>
      <c r="H610" s="4">
        <f>--AND(OR(Dashboard!$A$10="All",A610=Dashboard!$A$10),OR(Dashboard!$A$14="All",D610=Dashboard!$A$14),OR(Dashboard!$A$18="All",E610=Dashboard!$A$18),OR(Dashboard!$A$22="All",F610=Dashboard!$A$22))</f>
        <v>1</v>
      </c>
    </row>
    <row r="611" spans="1:8" ht="15.75" customHeight="1">
      <c r="A611" s="4">
        <v>2025</v>
      </c>
      <c r="B611" s="4">
        <v>5</v>
      </c>
      <c r="C611" s="4" t="s">
        <v>108</v>
      </c>
      <c r="D611" s="4" t="s">
        <v>14</v>
      </c>
      <c r="E611" s="4" t="s">
        <v>12</v>
      </c>
      <c r="F611" s="4" t="s">
        <v>7</v>
      </c>
      <c r="G611" s="5">
        <v>4504.5</v>
      </c>
      <c r="H611" s="4">
        <f>--AND(OR(Dashboard!$A$10="All",A611=Dashboard!$A$10),OR(Dashboard!$A$14="All",D611=Dashboard!$A$14),OR(Dashboard!$A$18="All",E611=Dashboard!$A$18),OR(Dashboard!$A$22="All",F611=Dashboard!$A$22))</f>
        <v>1</v>
      </c>
    </row>
    <row r="612" spans="1:8" ht="15.75" customHeight="1">
      <c r="A612" s="4">
        <v>2025</v>
      </c>
      <c r="B612" s="4">
        <v>5</v>
      </c>
      <c r="C612" s="4" t="s">
        <v>108</v>
      </c>
      <c r="D612" s="4" t="s">
        <v>14</v>
      </c>
      <c r="E612" s="4" t="s">
        <v>12</v>
      </c>
      <c r="F612" s="4" t="s">
        <v>10</v>
      </c>
      <c r="G612" s="5">
        <v>2972.97</v>
      </c>
      <c r="H612" s="4">
        <f>--AND(OR(Dashboard!$A$10="All",A612=Dashboard!$A$10),OR(Dashboard!$A$14="All",D612=Dashboard!$A$14),OR(Dashboard!$A$18="All",E612=Dashboard!$A$18),OR(Dashboard!$A$22="All",F612=Dashboard!$A$22))</f>
        <v>1</v>
      </c>
    </row>
    <row r="613" spans="1:8" ht="15.75" customHeight="1">
      <c r="A613" s="4">
        <v>2025</v>
      </c>
      <c r="B613" s="4">
        <v>5</v>
      </c>
      <c r="C613" s="4" t="s">
        <v>108</v>
      </c>
      <c r="D613" s="4" t="s">
        <v>14</v>
      </c>
      <c r="E613" s="4" t="s">
        <v>12</v>
      </c>
      <c r="F613" s="4" t="s">
        <v>13</v>
      </c>
      <c r="G613" s="5">
        <v>1801.8</v>
      </c>
      <c r="H613" s="4">
        <f>--AND(OR(Dashboard!$A$10="All",A613=Dashboard!$A$10),OR(Dashboard!$A$14="All",D613=Dashboard!$A$14),OR(Dashboard!$A$18="All",E613=Dashboard!$A$18),OR(Dashboard!$A$22="All",F613=Dashboard!$A$22))</f>
        <v>1</v>
      </c>
    </row>
    <row r="614" spans="1:8" ht="15.75" customHeight="1">
      <c r="A614" s="4">
        <v>2025</v>
      </c>
      <c r="B614" s="4">
        <v>6</v>
      </c>
      <c r="C614" s="4" t="s">
        <v>34</v>
      </c>
      <c r="D614" s="4" t="s">
        <v>5</v>
      </c>
      <c r="E614" s="4" t="s">
        <v>6</v>
      </c>
      <c r="F614" s="4" t="s">
        <v>7</v>
      </c>
      <c r="G614" s="5">
        <v>18427.5</v>
      </c>
      <c r="H614" s="4">
        <f>--AND(OR(Dashboard!$A$10="All",A614=Dashboard!$A$10),OR(Dashboard!$A$14="All",D614=Dashboard!$A$14),OR(Dashboard!$A$18="All",E614=Dashboard!$A$18),OR(Dashboard!$A$22="All",F614=Dashboard!$A$22))</f>
        <v>1</v>
      </c>
    </row>
    <row r="615" spans="1:8" ht="15.75" customHeight="1">
      <c r="A615" s="4">
        <v>2025</v>
      </c>
      <c r="B615" s="4">
        <v>6</v>
      </c>
      <c r="C615" s="4" t="s">
        <v>34</v>
      </c>
      <c r="D615" s="4" t="s">
        <v>5</v>
      </c>
      <c r="E615" s="4" t="s">
        <v>6</v>
      </c>
      <c r="F615" s="4" t="s">
        <v>10</v>
      </c>
      <c r="G615" s="5">
        <v>12162.15</v>
      </c>
      <c r="H615" s="4">
        <f>--AND(OR(Dashboard!$A$10="All",A615=Dashboard!$A$10),OR(Dashboard!$A$14="All",D615=Dashboard!$A$14),OR(Dashboard!$A$18="All",E615=Dashboard!$A$18),OR(Dashboard!$A$22="All",F615=Dashboard!$A$22))</f>
        <v>1</v>
      </c>
    </row>
    <row r="616" spans="1:8" ht="15.75" customHeight="1">
      <c r="A616" s="4">
        <v>2025</v>
      </c>
      <c r="B616" s="4">
        <v>6</v>
      </c>
      <c r="C616" s="4" t="s">
        <v>34</v>
      </c>
      <c r="D616" s="4" t="s">
        <v>5</v>
      </c>
      <c r="E616" s="4" t="s">
        <v>6</v>
      </c>
      <c r="F616" s="4" t="s">
        <v>13</v>
      </c>
      <c r="G616" s="5">
        <v>7371</v>
      </c>
      <c r="H616" s="4">
        <f>--AND(OR(Dashboard!$A$10="All",A616=Dashboard!$A$10),OR(Dashboard!$A$14="All",D616=Dashboard!$A$14),OR(Dashboard!$A$18="All",E616=Dashboard!$A$18),OR(Dashboard!$A$22="All",F616=Dashboard!$A$22))</f>
        <v>1</v>
      </c>
    </row>
    <row r="617" spans="1:8" ht="15.75" customHeight="1">
      <c r="A617" s="4">
        <v>2025</v>
      </c>
      <c r="B617" s="4">
        <v>6</v>
      </c>
      <c r="C617" s="4" t="s">
        <v>34</v>
      </c>
      <c r="D617" s="4" t="s">
        <v>5</v>
      </c>
      <c r="E617" s="4" t="s">
        <v>9</v>
      </c>
      <c r="F617" s="4" t="s">
        <v>7</v>
      </c>
      <c r="G617" s="5">
        <v>11793.6</v>
      </c>
      <c r="H617" s="4">
        <f>--AND(OR(Dashboard!$A$10="All",A617=Dashboard!$A$10),OR(Dashboard!$A$14="All",D617=Dashboard!$A$14),OR(Dashboard!$A$18="All",E617=Dashboard!$A$18),OR(Dashboard!$A$22="All",F617=Dashboard!$A$22))</f>
        <v>1</v>
      </c>
    </row>
    <row r="618" spans="1:8" ht="15.75" customHeight="1">
      <c r="A618" s="4">
        <v>2025</v>
      </c>
      <c r="B618" s="4">
        <v>6</v>
      </c>
      <c r="C618" s="4" t="s">
        <v>34</v>
      </c>
      <c r="D618" s="4" t="s">
        <v>5</v>
      </c>
      <c r="E618" s="4" t="s">
        <v>9</v>
      </c>
      <c r="F618" s="4" t="s">
        <v>10</v>
      </c>
      <c r="G618" s="5">
        <v>7783.78</v>
      </c>
      <c r="H618" s="4">
        <f>--AND(OR(Dashboard!$A$10="All",A618=Dashboard!$A$10),OR(Dashboard!$A$14="All",D618=Dashboard!$A$14),OR(Dashboard!$A$18="All",E618=Dashboard!$A$18),OR(Dashboard!$A$22="All",F618=Dashboard!$A$22))</f>
        <v>1</v>
      </c>
    </row>
    <row r="619" spans="1:8" ht="15.75" customHeight="1">
      <c r="A619" s="4">
        <v>2025</v>
      </c>
      <c r="B619" s="4">
        <v>6</v>
      </c>
      <c r="C619" s="4" t="s">
        <v>34</v>
      </c>
      <c r="D619" s="4" t="s">
        <v>5</v>
      </c>
      <c r="E619" s="4" t="s">
        <v>9</v>
      </c>
      <c r="F619" s="4" t="s">
        <v>13</v>
      </c>
      <c r="G619" s="5">
        <v>4717.4399999999996</v>
      </c>
      <c r="H619" s="4">
        <f>--AND(OR(Dashboard!$A$10="All",A619=Dashboard!$A$10),OR(Dashboard!$A$14="All",D619=Dashboard!$A$14),OR(Dashboard!$A$18="All",E619=Dashboard!$A$18),OR(Dashboard!$A$22="All",F619=Dashboard!$A$22))</f>
        <v>1</v>
      </c>
    </row>
    <row r="620" spans="1:8" ht="15.75" customHeight="1">
      <c r="A620" s="4">
        <v>2025</v>
      </c>
      <c r="B620" s="4">
        <v>6</v>
      </c>
      <c r="C620" s="4" t="s">
        <v>34</v>
      </c>
      <c r="D620" s="4" t="s">
        <v>5</v>
      </c>
      <c r="E620" s="4" t="s">
        <v>12</v>
      </c>
      <c r="F620" s="4" t="s">
        <v>7</v>
      </c>
      <c r="G620" s="5">
        <v>16216.2</v>
      </c>
      <c r="H620" s="4">
        <f>--AND(OR(Dashboard!$A$10="All",A620=Dashboard!$A$10),OR(Dashboard!$A$14="All",D620=Dashboard!$A$14),OR(Dashboard!$A$18="All",E620=Dashboard!$A$18),OR(Dashboard!$A$22="All",F620=Dashboard!$A$22))</f>
        <v>1</v>
      </c>
    </row>
    <row r="621" spans="1:8" ht="15.75" customHeight="1">
      <c r="A621" s="4">
        <v>2025</v>
      </c>
      <c r="B621" s="4">
        <v>6</v>
      </c>
      <c r="C621" s="4" t="s">
        <v>34</v>
      </c>
      <c r="D621" s="4" t="s">
        <v>5</v>
      </c>
      <c r="E621" s="4" t="s">
        <v>12</v>
      </c>
      <c r="F621" s="4" t="s">
        <v>10</v>
      </c>
      <c r="G621" s="5">
        <v>10702.69</v>
      </c>
      <c r="H621" s="4">
        <f>--AND(OR(Dashboard!$A$10="All",A621=Dashboard!$A$10),OR(Dashboard!$A$14="All",D621=Dashboard!$A$14),OR(Dashboard!$A$18="All",E621=Dashboard!$A$18),OR(Dashboard!$A$22="All",F621=Dashboard!$A$22))</f>
        <v>1</v>
      </c>
    </row>
    <row r="622" spans="1:8" ht="15.75" customHeight="1">
      <c r="A622" s="4">
        <v>2025</v>
      </c>
      <c r="B622" s="4">
        <v>6</v>
      </c>
      <c r="C622" s="4" t="s">
        <v>34</v>
      </c>
      <c r="D622" s="4" t="s">
        <v>5</v>
      </c>
      <c r="E622" s="4" t="s">
        <v>12</v>
      </c>
      <c r="F622" s="4" t="s">
        <v>13</v>
      </c>
      <c r="G622" s="5">
        <v>6486.48</v>
      </c>
      <c r="H622" s="4">
        <f>--AND(OR(Dashboard!$A$10="All",A622=Dashboard!$A$10),OR(Dashboard!$A$14="All",D622=Dashboard!$A$14),OR(Dashboard!$A$18="All",E622=Dashboard!$A$18),OR(Dashboard!$A$22="All",F622=Dashboard!$A$22))</f>
        <v>1</v>
      </c>
    </row>
    <row r="623" spans="1:8" ht="15.75" customHeight="1">
      <c r="A623" s="4">
        <v>2025</v>
      </c>
      <c r="B623" s="4">
        <v>6</v>
      </c>
      <c r="C623" s="4" t="s">
        <v>34</v>
      </c>
      <c r="D623" s="4" t="s">
        <v>8</v>
      </c>
      <c r="E623" s="4" t="s">
        <v>6</v>
      </c>
      <c r="F623" s="4" t="s">
        <v>7</v>
      </c>
      <c r="G623" s="5">
        <v>11425.05</v>
      </c>
      <c r="H623" s="4">
        <f>--AND(OR(Dashboard!$A$10="All",A623=Dashboard!$A$10),OR(Dashboard!$A$14="All",D623=Dashboard!$A$14),OR(Dashboard!$A$18="All",E623=Dashboard!$A$18),OR(Dashboard!$A$22="All",F623=Dashboard!$A$22))</f>
        <v>1</v>
      </c>
    </row>
    <row r="624" spans="1:8" ht="15.75" customHeight="1">
      <c r="A624" s="4">
        <v>2025</v>
      </c>
      <c r="B624" s="4">
        <v>6</v>
      </c>
      <c r="C624" s="4" t="s">
        <v>34</v>
      </c>
      <c r="D624" s="4" t="s">
        <v>8</v>
      </c>
      <c r="E624" s="4" t="s">
        <v>6</v>
      </c>
      <c r="F624" s="4" t="s">
        <v>10</v>
      </c>
      <c r="G624" s="5">
        <v>7540.53</v>
      </c>
      <c r="H624" s="4">
        <f>--AND(OR(Dashboard!$A$10="All",A624=Dashboard!$A$10),OR(Dashboard!$A$14="All",D624=Dashboard!$A$14),OR(Dashboard!$A$18="All",E624=Dashboard!$A$18),OR(Dashboard!$A$22="All",F624=Dashboard!$A$22))</f>
        <v>1</v>
      </c>
    </row>
    <row r="625" spans="1:8" ht="15.75" customHeight="1">
      <c r="A625" s="4">
        <v>2025</v>
      </c>
      <c r="B625" s="4">
        <v>6</v>
      </c>
      <c r="C625" s="4" t="s">
        <v>34</v>
      </c>
      <c r="D625" s="4" t="s">
        <v>8</v>
      </c>
      <c r="E625" s="4" t="s">
        <v>6</v>
      </c>
      <c r="F625" s="4" t="s">
        <v>13</v>
      </c>
      <c r="G625" s="5">
        <v>4570.0200000000004</v>
      </c>
      <c r="H625" s="4">
        <f>--AND(OR(Dashboard!$A$10="All",A625=Dashboard!$A$10),OR(Dashboard!$A$14="All",D625=Dashboard!$A$14),OR(Dashboard!$A$18="All",E625=Dashboard!$A$18),OR(Dashboard!$A$22="All",F625=Dashboard!$A$22))</f>
        <v>1</v>
      </c>
    </row>
    <row r="626" spans="1:8" ht="15.75" customHeight="1">
      <c r="A626" s="4">
        <v>2025</v>
      </c>
      <c r="B626" s="4">
        <v>6</v>
      </c>
      <c r="C626" s="4" t="s">
        <v>34</v>
      </c>
      <c r="D626" s="4" t="s">
        <v>8</v>
      </c>
      <c r="E626" s="4" t="s">
        <v>9</v>
      </c>
      <c r="F626" s="4" t="s">
        <v>7</v>
      </c>
      <c r="G626" s="5">
        <v>7312.03</v>
      </c>
      <c r="H626" s="4">
        <f>--AND(OR(Dashboard!$A$10="All",A626=Dashboard!$A$10),OR(Dashboard!$A$14="All",D626=Dashboard!$A$14),OR(Dashboard!$A$18="All",E626=Dashboard!$A$18),OR(Dashboard!$A$22="All",F626=Dashboard!$A$22))</f>
        <v>1</v>
      </c>
    </row>
    <row r="627" spans="1:8" ht="15.75" customHeight="1">
      <c r="A627" s="4">
        <v>2025</v>
      </c>
      <c r="B627" s="4">
        <v>6</v>
      </c>
      <c r="C627" s="4" t="s">
        <v>34</v>
      </c>
      <c r="D627" s="4" t="s">
        <v>8</v>
      </c>
      <c r="E627" s="4" t="s">
        <v>9</v>
      </c>
      <c r="F627" s="4" t="s">
        <v>10</v>
      </c>
      <c r="G627" s="5">
        <v>4825.9399999999996</v>
      </c>
      <c r="H627" s="4">
        <f>--AND(OR(Dashboard!$A$10="All",A627=Dashboard!$A$10),OR(Dashboard!$A$14="All",D627=Dashboard!$A$14),OR(Dashboard!$A$18="All",E627=Dashboard!$A$18),OR(Dashboard!$A$22="All",F627=Dashboard!$A$22))</f>
        <v>1</v>
      </c>
    </row>
    <row r="628" spans="1:8" ht="15.75" customHeight="1">
      <c r="A628" s="4">
        <v>2025</v>
      </c>
      <c r="B628" s="4">
        <v>6</v>
      </c>
      <c r="C628" s="4" t="s">
        <v>34</v>
      </c>
      <c r="D628" s="4" t="s">
        <v>8</v>
      </c>
      <c r="E628" s="4" t="s">
        <v>9</v>
      </c>
      <c r="F628" s="4" t="s">
        <v>13</v>
      </c>
      <c r="G628" s="5">
        <v>2924.81</v>
      </c>
      <c r="H628" s="4">
        <f>--AND(OR(Dashboard!$A$10="All",A628=Dashboard!$A$10),OR(Dashboard!$A$14="All",D628=Dashboard!$A$14),OR(Dashboard!$A$18="All",E628=Dashboard!$A$18),OR(Dashboard!$A$22="All",F628=Dashboard!$A$22))</f>
        <v>1</v>
      </c>
    </row>
    <row r="629" spans="1:8" ht="15.75" customHeight="1">
      <c r="A629" s="4">
        <v>2025</v>
      </c>
      <c r="B629" s="4">
        <v>6</v>
      </c>
      <c r="C629" s="4" t="s">
        <v>34</v>
      </c>
      <c r="D629" s="4" t="s">
        <v>8</v>
      </c>
      <c r="E629" s="4" t="s">
        <v>12</v>
      </c>
      <c r="F629" s="4" t="s">
        <v>7</v>
      </c>
      <c r="G629" s="5">
        <v>10054.040000000001</v>
      </c>
      <c r="H629" s="4">
        <f>--AND(OR(Dashboard!$A$10="All",A629=Dashboard!$A$10),OR(Dashboard!$A$14="All",D629=Dashboard!$A$14),OR(Dashboard!$A$18="All",E629=Dashboard!$A$18),OR(Dashboard!$A$22="All",F629=Dashboard!$A$22))</f>
        <v>1</v>
      </c>
    </row>
    <row r="630" spans="1:8" ht="15.75" customHeight="1">
      <c r="A630" s="4">
        <v>2025</v>
      </c>
      <c r="B630" s="4">
        <v>6</v>
      </c>
      <c r="C630" s="4" t="s">
        <v>34</v>
      </c>
      <c r="D630" s="4" t="s">
        <v>8</v>
      </c>
      <c r="E630" s="4" t="s">
        <v>12</v>
      </c>
      <c r="F630" s="4" t="s">
        <v>10</v>
      </c>
      <c r="G630" s="5">
        <v>6635.67</v>
      </c>
      <c r="H630" s="4">
        <f>--AND(OR(Dashboard!$A$10="All",A630=Dashboard!$A$10),OR(Dashboard!$A$14="All",D630=Dashboard!$A$14),OR(Dashboard!$A$18="All",E630=Dashboard!$A$18),OR(Dashboard!$A$22="All",F630=Dashboard!$A$22))</f>
        <v>1</v>
      </c>
    </row>
    <row r="631" spans="1:8" ht="15.75" customHeight="1">
      <c r="A631" s="4">
        <v>2025</v>
      </c>
      <c r="B631" s="4">
        <v>6</v>
      </c>
      <c r="C631" s="4" t="s">
        <v>34</v>
      </c>
      <c r="D631" s="4" t="s">
        <v>8</v>
      </c>
      <c r="E631" s="4" t="s">
        <v>12</v>
      </c>
      <c r="F631" s="4" t="s">
        <v>13</v>
      </c>
      <c r="G631" s="5">
        <v>4021.62</v>
      </c>
      <c r="H631" s="4">
        <f>--AND(OR(Dashboard!$A$10="All",A631=Dashboard!$A$10),OR(Dashboard!$A$14="All",D631=Dashboard!$A$14),OR(Dashboard!$A$18="All",E631=Dashboard!$A$18),OR(Dashboard!$A$22="All",F631=Dashboard!$A$22))</f>
        <v>1</v>
      </c>
    </row>
    <row r="632" spans="1:8" ht="15.75" customHeight="1">
      <c r="A632" s="4">
        <v>2025</v>
      </c>
      <c r="B632" s="4">
        <v>6</v>
      </c>
      <c r="C632" s="4" t="s">
        <v>34</v>
      </c>
      <c r="D632" s="4" t="s">
        <v>11</v>
      </c>
      <c r="E632" s="4" t="s">
        <v>6</v>
      </c>
      <c r="F632" s="4" t="s">
        <v>7</v>
      </c>
      <c r="G632" s="5">
        <v>8108.1</v>
      </c>
      <c r="H632" s="4">
        <f>--AND(OR(Dashboard!$A$10="All",A632=Dashboard!$A$10),OR(Dashboard!$A$14="All",D632=Dashboard!$A$14),OR(Dashboard!$A$18="All",E632=Dashboard!$A$18),OR(Dashboard!$A$22="All",F632=Dashboard!$A$22))</f>
        <v>1</v>
      </c>
    </row>
    <row r="633" spans="1:8" ht="15.75" customHeight="1">
      <c r="A633" s="4">
        <v>2025</v>
      </c>
      <c r="B633" s="4">
        <v>6</v>
      </c>
      <c r="C633" s="4" t="s">
        <v>34</v>
      </c>
      <c r="D633" s="4" t="s">
        <v>11</v>
      </c>
      <c r="E633" s="4" t="s">
        <v>6</v>
      </c>
      <c r="F633" s="4" t="s">
        <v>10</v>
      </c>
      <c r="G633" s="5">
        <v>5351.35</v>
      </c>
      <c r="H633" s="4">
        <f>--AND(OR(Dashboard!$A$10="All",A633=Dashboard!$A$10),OR(Dashboard!$A$14="All",D633=Dashboard!$A$14),OR(Dashboard!$A$18="All",E633=Dashboard!$A$18),OR(Dashboard!$A$22="All",F633=Dashboard!$A$22))</f>
        <v>1</v>
      </c>
    </row>
    <row r="634" spans="1:8" ht="15.75" customHeight="1">
      <c r="A634" s="4">
        <v>2025</v>
      </c>
      <c r="B634" s="4">
        <v>6</v>
      </c>
      <c r="C634" s="4" t="s">
        <v>34</v>
      </c>
      <c r="D634" s="4" t="s">
        <v>11</v>
      </c>
      <c r="E634" s="4" t="s">
        <v>6</v>
      </c>
      <c r="F634" s="4" t="s">
        <v>13</v>
      </c>
      <c r="G634" s="5">
        <v>3243.24</v>
      </c>
      <c r="H634" s="4">
        <f>--AND(OR(Dashboard!$A$10="All",A634=Dashboard!$A$10),OR(Dashboard!$A$14="All",D634=Dashboard!$A$14),OR(Dashboard!$A$18="All",E634=Dashboard!$A$18),OR(Dashboard!$A$22="All",F634=Dashboard!$A$22))</f>
        <v>1</v>
      </c>
    </row>
    <row r="635" spans="1:8" ht="15.75" customHeight="1">
      <c r="A635" s="4">
        <v>2025</v>
      </c>
      <c r="B635" s="4">
        <v>6</v>
      </c>
      <c r="C635" s="4" t="s">
        <v>34</v>
      </c>
      <c r="D635" s="4" t="s">
        <v>11</v>
      </c>
      <c r="E635" s="4" t="s">
        <v>9</v>
      </c>
      <c r="F635" s="4" t="s">
        <v>7</v>
      </c>
      <c r="G635" s="5">
        <v>5189.18</v>
      </c>
      <c r="H635" s="4">
        <f>--AND(OR(Dashboard!$A$10="All",A635=Dashboard!$A$10),OR(Dashboard!$A$14="All",D635=Dashboard!$A$14),OR(Dashboard!$A$18="All",E635=Dashboard!$A$18),OR(Dashboard!$A$22="All",F635=Dashboard!$A$22))</f>
        <v>1</v>
      </c>
    </row>
    <row r="636" spans="1:8" ht="15.75" customHeight="1">
      <c r="A636" s="4">
        <v>2025</v>
      </c>
      <c r="B636" s="4">
        <v>6</v>
      </c>
      <c r="C636" s="4" t="s">
        <v>34</v>
      </c>
      <c r="D636" s="4" t="s">
        <v>11</v>
      </c>
      <c r="E636" s="4" t="s">
        <v>9</v>
      </c>
      <c r="F636" s="4" t="s">
        <v>10</v>
      </c>
      <c r="G636" s="5">
        <v>3424.86</v>
      </c>
      <c r="H636" s="4">
        <f>--AND(OR(Dashboard!$A$10="All",A636=Dashboard!$A$10),OR(Dashboard!$A$14="All",D636=Dashboard!$A$14),OR(Dashboard!$A$18="All",E636=Dashboard!$A$18),OR(Dashboard!$A$22="All",F636=Dashboard!$A$22))</f>
        <v>1</v>
      </c>
    </row>
    <row r="637" spans="1:8" ht="15.75" customHeight="1">
      <c r="A637" s="4">
        <v>2025</v>
      </c>
      <c r="B637" s="4">
        <v>6</v>
      </c>
      <c r="C637" s="4" t="s">
        <v>34</v>
      </c>
      <c r="D637" s="4" t="s">
        <v>11</v>
      </c>
      <c r="E637" s="4" t="s">
        <v>9</v>
      </c>
      <c r="F637" s="4" t="s">
        <v>13</v>
      </c>
      <c r="G637" s="5">
        <v>2075.67</v>
      </c>
      <c r="H637" s="4">
        <f>--AND(OR(Dashboard!$A$10="All",A637=Dashboard!$A$10),OR(Dashboard!$A$14="All",D637=Dashboard!$A$14),OR(Dashboard!$A$18="All",E637=Dashboard!$A$18),OR(Dashboard!$A$22="All",F637=Dashboard!$A$22))</f>
        <v>1</v>
      </c>
    </row>
    <row r="638" spans="1:8" ht="15.75" customHeight="1">
      <c r="A638" s="4">
        <v>2025</v>
      </c>
      <c r="B638" s="4">
        <v>6</v>
      </c>
      <c r="C638" s="4" t="s">
        <v>34</v>
      </c>
      <c r="D638" s="4" t="s">
        <v>11</v>
      </c>
      <c r="E638" s="4" t="s">
        <v>12</v>
      </c>
      <c r="F638" s="4" t="s">
        <v>7</v>
      </c>
      <c r="G638" s="5">
        <v>7135.13</v>
      </c>
      <c r="H638" s="4">
        <f>--AND(OR(Dashboard!$A$10="All",A638=Dashboard!$A$10),OR(Dashboard!$A$14="All",D638=Dashboard!$A$14),OR(Dashboard!$A$18="All",E638=Dashboard!$A$18),OR(Dashboard!$A$22="All",F638=Dashboard!$A$22))</f>
        <v>1</v>
      </c>
    </row>
    <row r="639" spans="1:8" ht="15.75" customHeight="1">
      <c r="A639" s="4">
        <v>2025</v>
      </c>
      <c r="B639" s="4">
        <v>6</v>
      </c>
      <c r="C639" s="4" t="s">
        <v>34</v>
      </c>
      <c r="D639" s="4" t="s">
        <v>11</v>
      </c>
      <c r="E639" s="4" t="s">
        <v>12</v>
      </c>
      <c r="F639" s="4" t="s">
        <v>10</v>
      </c>
      <c r="G639" s="5">
        <v>4709.18</v>
      </c>
      <c r="H639" s="4">
        <f>--AND(OR(Dashboard!$A$10="All",A639=Dashboard!$A$10),OR(Dashboard!$A$14="All",D639=Dashboard!$A$14),OR(Dashboard!$A$18="All",E639=Dashboard!$A$18),OR(Dashboard!$A$22="All",F639=Dashboard!$A$22))</f>
        <v>1</v>
      </c>
    </row>
    <row r="640" spans="1:8" ht="15.75" customHeight="1">
      <c r="A640" s="4">
        <v>2025</v>
      </c>
      <c r="B640" s="4">
        <v>6</v>
      </c>
      <c r="C640" s="4" t="s">
        <v>34</v>
      </c>
      <c r="D640" s="4" t="s">
        <v>11</v>
      </c>
      <c r="E640" s="4" t="s">
        <v>12</v>
      </c>
      <c r="F640" s="4" t="s">
        <v>13</v>
      </c>
      <c r="G640" s="5">
        <v>2854.05</v>
      </c>
      <c r="H640" s="4">
        <f>--AND(OR(Dashboard!$A$10="All",A640=Dashboard!$A$10),OR(Dashboard!$A$14="All",D640=Dashboard!$A$14),OR(Dashboard!$A$18="All",E640=Dashboard!$A$18),OR(Dashboard!$A$22="All",F640=Dashboard!$A$22))</f>
        <v>1</v>
      </c>
    </row>
    <row r="641" spans="1:8" ht="15.75" customHeight="1">
      <c r="A641" s="4">
        <v>2025</v>
      </c>
      <c r="B641" s="4">
        <v>6</v>
      </c>
      <c r="C641" s="4" t="s">
        <v>34</v>
      </c>
      <c r="D641" s="4" t="s">
        <v>14</v>
      </c>
      <c r="E641" s="4" t="s">
        <v>6</v>
      </c>
      <c r="F641" s="4" t="s">
        <v>7</v>
      </c>
      <c r="G641" s="5">
        <v>5528.25</v>
      </c>
      <c r="H641" s="4">
        <f>--AND(OR(Dashboard!$A$10="All",A641=Dashboard!$A$10),OR(Dashboard!$A$14="All",D641=Dashboard!$A$14),OR(Dashboard!$A$18="All",E641=Dashboard!$A$18),OR(Dashboard!$A$22="All",F641=Dashboard!$A$22))</f>
        <v>1</v>
      </c>
    </row>
    <row r="642" spans="1:8" ht="15.75" customHeight="1">
      <c r="A642" s="4">
        <v>2025</v>
      </c>
      <c r="B642" s="4">
        <v>6</v>
      </c>
      <c r="C642" s="4" t="s">
        <v>34</v>
      </c>
      <c r="D642" s="4" t="s">
        <v>14</v>
      </c>
      <c r="E642" s="4" t="s">
        <v>6</v>
      </c>
      <c r="F642" s="4" t="s">
        <v>10</v>
      </c>
      <c r="G642" s="5">
        <v>3648.65</v>
      </c>
      <c r="H642" s="4">
        <f>--AND(OR(Dashboard!$A$10="All",A642=Dashboard!$A$10),OR(Dashboard!$A$14="All",D642=Dashboard!$A$14),OR(Dashboard!$A$18="All",E642=Dashboard!$A$18),OR(Dashboard!$A$22="All",F642=Dashboard!$A$22))</f>
        <v>1</v>
      </c>
    </row>
    <row r="643" spans="1:8" ht="15.75" customHeight="1">
      <c r="A643" s="4">
        <v>2025</v>
      </c>
      <c r="B643" s="4">
        <v>6</v>
      </c>
      <c r="C643" s="4" t="s">
        <v>34</v>
      </c>
      <c r="D643" s="4" t="s">
        <v>14</v>
      </c>
      <c r="E643" s="4" t="s">
        <v>6</v>
      </c>
      <c r="F643" s="4" t="s">
        <v>13</v>
      </c>
      <c r="G643" s="5">
        <v>2211.3000000000002</v>
      </c>
      <c r="H643" s="4">
        <f>--AND(OR(Dashboard!$A$10="All",A643=Dashboard!$A$10),OR(Dashboard!$A$14="All",D643=Dashboard!$A$14),OR(Dashboard!$A$18="All",E643=Dashboard!$A$18),OR(Dashboard!$A$22="All",F643=Dashboard!$A$22))</f>
        <v>1</v>
      </c>
    </row>
    <row r="644" spans="1:8" ht="15.75" customHeight="1">
      <c r="A644" s="4">
        <v>2025</v>
      </c>
      <c r="B644" s="4">
        <v>6</v>
      </c>
      <c r="C644" s="4" t="s">
        <v>34</v>
      </c>
      <c r="D644" s="4" t="s">
        <v>14</v>
      </c>
      <c r="E644" s="4" t="s">
        <v>9</v>
      </c>
      <c r="F644" s="4" t="s">
        <v>7</v>
      </c>
      <c r="G644" s="5">
        <v>3538.08</v>
      </c>
      <c r="H644" s="4">
        <f>--AND(OR(Dashboard!$A$10="All",A644=Dashboard!$A$10),OR(Dashboard!$A$14="All",D644=Dashboard!$A$14),OR(Dashboard!$A$18="All",E644=Dashboard!$A$18),OR(Dashboard!$A$22="All",F644=Dashboard!$A$22))</f>
        <v>1</v>
      </c>
    </row>
    <row r="645" spans="1:8" ht="15.75" customHeight="1">
      <c r="A645" s="4">
        <v>2025</v>
      </c>
      <c r="B645" s="4">
        <v>6</v>
      </c>
      <c r="C645" s="4" t="s">
        <v>34</v>
      </c>
      <c r="D645" s="4" t="s">
        <v>14</v>
      </c>
      <c r="E645" s="4" t="s">
        <v>9</v>
      </c>
      <c r="F645" s="4" t="s">
        <v>10</v>
      </c>
      <c r="G645" s="5">
        <v>2335.13</v>
      </c>
      <c r="H645" s="4">
        <f>--AND(OR(Dashboard!$A$10="All",A645=Dashboard!$A$10),OR(Dashboard!$A$14="All",D645=Dashboard!$A$14),OR(Dashboard!$A$18="All",E645=Dashboard!$A$18),OR(Dashboard!$A$22="All",F645=Dashboard!$A$22))</f>
        <v>1</v>
      </c>
    </row>
    <row r="646" spans="1:8" ht="15.75" customHeight="1">
      <c r="A646" s="4">
        <v>2025</v>
      </c>
      <c r="B646" s="4">
        <v>6</v>
      </c>
      <c r="C646" s="4" t="s">
        <v>34</v>
      </c>
      <c r="D646" s="4" t="s">
        <v>14</v>
      </c>
      <c r="E646" s="4" t="s">
        <v>9</v>
      </c>
      <c r="F646" s="4" t="s">
        <v>13</v>
      </c>
      <c r="G646" s="5">
        <v>1415.23</v>
      </c>
      <c r="H646" s="4">
        <f>--AND(OR(Dashboard!$A$10="All",A646=Dashboard!$A$10),OR(Dashboard!$A$14="All",D646=Dashboard!$A$14),OR(Dashboard!$A$18="All",E646=Dashboard!$A$18),OR(Dashboard!$A$22="All",F646=Dashboard!$A$22))</f>
        <v>1</v>
      </c>
    </row>
    <row r="647" spans="1:8" ht="15.75" customHeight="1">
      <c r="A647" s="4">
        <v>2025</v>
      </c>
      <c r="B647" s="4">
        <v>6</v>
      </c>
      <c r="C647" s="4" t="s">
        <v>34</v>
      </c>
      <c r="D647" s="4" t="s">
        <v>14</v>
      </c>
      <c r="E647" s="4" t="s">
        <v>12</v>
      </c>
      <c r="F647" s="4" t="s">
        <v>7</v>
      </c>
      <c r="G647" s="5">
        <v>4864.8599999999997</v>
      </c>
      <c r="H647" s="4">
        <f>--AND(OR(Dashboard!$A$10="All",A647=Dashboard!$A$10),OR(Dashboard!$A$14="All",D647=Dashboard!$A$14),OR(Dashboard!$A$18="All",E647=Dashboard!$A$18),OR(Dashboard!$A$22="All",F647=Dashboard!$A$22))</f>
        <v>1</v>
      </c>
    </row>
    <row r="648" spans="1:8" ht="15.75" customHeight="1">
      <c r="A648" s="4">
        <v>2025</v>
      </c>
      <c r="B648" s="4">
        <v>6</v>
      </c>
      <c r="C648" s="4" t="s">
        <v>34</v>
      </c>
      <c r="D648" s="4" t="s">
        <v>14</v>
      </c>
      <c r="E648" s="4" t="s">
        <v>12</v>
      </c>
      <c r="F648" s="4" t="s">
        <v>10</v>
      </c>
      <c r="G648" s="5">
        <v>3210.81</v>
      </c>
      <c r="H648" s="4">
        <f>--AND(OR(Dashboard!$A$10="All",A648=Dashboard!$A$10),OR(Dashboard!$A$14="All",D648=Dashboard!$A$14),OR(Dashboard!$A$18="All",E648=Dashboard!$A$18),OR(Dashboard!$A$22="All",F648=Dashboard!$A$22))</f>
        <v>1</v>
      </c>
    </row>
    <row r="649" spans="1:8" ht="15.75" customHeight="1">
      <c r="A649" s="4">
        <v>2025</v>
      </c>
      <c r="B649" s="4">
        <v>6</v>
      </c>
      <c r="C649" s="4" t="s">
        <v>34</v>
      </c>
      <c r="D649" s="4" t="s">
        <v>14</v>
      </c>
      <c r="E649" s="4" t="s">
        <v>12</v>
      </c>
      <c r="F649" s="4" t="s">
        <v>13</v>
      </c>
      <c r="G649" s="5">
        <v>1945.94</v>
      </c>
      <c r="H649" s="4">
        <f>--AND(OR(Dashboard!$A$10="All",A649=Dashboard!$A$10),OR(Dashboard!$A$14="All",D649=Dashboard!$A$14),OR(Dashboard!$A$18="All",E649=Dashboard!$A$18),OR(Dashboard!$A$22="All",F649=Dashboard!$A$22))</f>
        <v>1</v>
      </c>
    </row>
    <row r="650" spans="1:8" ht="15.75" customHeight="1">
      <c r="A650" s="4">
        <v>2025</v>
      </c>
      <c r="B650" s="4">
        <v>7</v>
      </c>
      <c r="C650" s="4" t="s">
        <v>63</v>
      </c>
      <c r="D650" s="4" t="s">
        <v>5</v>
      </c>
      <c r="E650" s="4" t="s">
        <v>6</v>
      </c>
      <c r="F650" s="4" t="s">
        <v>7</v>
      </c>
      <c r="G650" s="5">
        <v>18427.5</v>
      </c>
      <c r="H650" s="4">
        <f>--AND(OR(Dashboard!$A$10="All",A650=Dashboard!$A$10),OR(Dashboard!$A$14="All",D650=Dashboard!$A$14),OR(Dashboard!$A$18="All",E650=Dashboard!$A$18),OR(Dashboard!$A$22="All",F650=Dashboard!$A$22))</f>
        <v>1</v>
      </c>
    </row>
    <row r="651" spans="1:8" ht="15.75" customHeight="1">
      <c r="A651" s="4">
        <v>2025</v>
      </c>
      <c r="B651" s="4">
        <v>7</v>
      </c>
      <c r="C651" s="4" t="s">
        <v>63</v>
      </c>
      <c r="D651" s="4" t="s">
        <v>5</v>
      </c>
      <c r="E651" s="4" t="s">
        <v>6</v>
      </c>
      <c r="F651" s="4" t="s">
        <v>10</v>
      </c>
      <c r="G651" s="5">
        <v>12162.15</v>
      </c>
      <c r="H651" s="4">
        <f>--AND(OR(Dashboard!$A$10="All",A651=Dashboard!$A$10),OR(Dashboard!$A$14="All",D651=Dashboard!$A$14),OR(Dashboard!$A$18="All",E651=Dashboard!$A$18),OR(Dashboard!$A$22="All",F651=Dashboard!$A$22))</f>
        <v>1</v>
      </c>
    </row>
    <row r="652" spans="1:8" ht="15.75" customHeight="1">
      <c r="A652" s="4">
        <v>2025</v>
      </c>
      <c r="B652" s="4">
        <v>7</v>
      </c>
      <c r="C652" s="4" t="s">
        <v>63</v>
      </c>
      <c r="D652" s="4" t="s">
        <v>5</v>
      </c>
      <c r="E652" s="4" t="s">
        <v>6</v>
      </c>
      <c r="F652" s="4" t="s">
        <v>13</v>
      </c>
      <c r="G652" s="5">
        <v>7371</v>
      </c>
      <c r="H652" s="4">
        <f>--AND(OR(Dashboard!$A$10="All",A652=Dashboard!$A$10),OR(Dashboard!$A$14="All",D652=Dashboard!$A$14),OR(Dashboard!$A$18="All",E652=Dashboard!$A$18),OR(Dashboard!$A$22="All",F652=Dashboard!$A$22))</f>
        <v>1</v>
      </c>
    </row>
    <row r="653" spans="1:8" ht="15.75" customHeight="1">
      <c r="A653" s="4">
        <v>2025</v>
      </c>
      <c r="B653" s="4">
        <v>7</v>
      </c>
      <c r="C653" s="4" t="s">
        <v>63</v>
      </c>
      <c r="D653" s="4" t="s">
        <v>5</v>
      </c>
      <c r="E653" s="4" t="s">
        <v>9</v>
      </c>
      <c r="F653" s="4" t="s">
        <v>7</v>
      </c>
      <c r="G653" s="5">
        <v>11793.6</v>
      </c>
      <c r="H653" s="4">
        <f>--AND(OR(Dashboard!$A$10="All",A653=Dashboard!$A$10),OR(Dashboard!$A$14="All",D653=Dashboard!$A$14),OR(Dashboard!$A$18="All",E653=Dashboard!$A$18),OR(Dashboard!$A$22="All",F653=Dashboard!$A$22))</f>
        <v>1</v>
      </c>
    </row>
    <row r="654" spans="1:8" ht="15.75" customHeight="1">
      <c r="A654" s="4">
        <v>2025</v>
      </c>
      <c r="B654" s="4">
        <v>7</v>
      </c>
      <c r="C654" s="4" t="s">
        <v>63</v>
      </c>
      <c r="D654" s="4" t="s">
        <v>5</v>
      </c>
      <c r="E654" s="4" t="s">
        <v>9</v>
      </c>
      <c r="F654" s="4" t="s">
        <v>10</v>
      </c>
      <c r="G654" s="5">
        <v>7783.78</v>
      </c>
      <c r="H654" s="4">
        <f>--AND(OR(Dashboard!$A$10="All",A654=Dashboard!$A$10),OR(Dashboard!$A$14="All",D654=Dashboard!$A$14),OR(Dashboard!$A$18="All",E654=Dashboard!$A$18),OR(Dashboard!$A$22="All",F654=Dashboard!$A$22))</f>
        <v>1</v>
      </c>
    </row>
    <row r="655" spans="1:8" ht="15.75" customHeight="1">
      <c r="A655" s="4">
        <v>2025</v>
      </c>
      <c r="B655" s="4">
        <v>7</v>
      </c>
      <c r="C655" s="4" t="s">
        <v>63</v>
      </c>
      <c r="D655" s="4" t="s">
        <v>5</v>
      </c>
      <c r="E655" s="4" t="s">
        <v>9</v>
      </c>
      <c r="F655" s="4" t="s">
        <v>13</v>
      </c>
      <c r="G655" s="5">
        <v>4717.4399999999996</v>
      </c>
      <c r="H655" s="4">
        <f>--AND(OR(Dashboard!$A$10="All",A655=Dashboard!$A$10),OR(Dashboard!$A$14="All",D655=Dashboard!$A$14),OR(Dashboard!$A$18="All",E655=Dashboard!$A$18),OR(Dashboard!$A$22="All",F655=Dashboard!$A$22))</f>
        <v>1</v>
      </c>
    </row>
    <row r="656" spans="1:8" ht="15.75" customHeight="1">
      <c r="A656" s="4">
        <v>2025</v>
      </c>
      <c r="B656" s="4">
        <v>7</v>
      </c>
      <c r="C656" s="4" t="s">
        <v>63</v>
      </c>
      <c r="D656" s="4" t="s">
        <v>5</v>
      </c>
      <c r="E656" s="4" t="s">
        <v>12</v>
      </c>
      <c r="F656" s="4" t="s">
        <v>7</v>
      </c>
      <c r="G656" s="5">
        <v>16216.2</v>
      </c>
      <c r="H656" s="4">
        <f>--AND(OR(Dashboard!$A$10="All",A656=Dashboard!$A$10),OR(Dashboard!$A$14="All",D656=Dashboard!$A$14),OR(Dashboard!$A$18="All",E656=Dashboard!$A$18),OR(Dashboard!$A$22="All",F656=Dashboard!$A$22))</f>
        <v>1</v>
      </c>
    </row>
    <row r="657" spans="1:8" ht="15.75" customHeight="1">
      <c r="A657" s="4">
        <v>2025</v>
      </c>
      <c r="B657" s="4">
        <v>7</v>
      </c>
      <c r="C657" s="4" t="s">
        <v>63</v>
      </c>
      <c r="D657" s="4" t="s">
        <v>5</v>
      </c>
      <c r="E657" s="4" t="s">
        <v>12</v>
      </c>
      <c r="F657" s="4" t="s">
        <v>10</v>
      </c>
      <c r="G657" s="5">
        <v>10702.69</v>
      </c>
      <c r="H657" s="4">
        <f>--AND(OR(Dashboard!$A$10="All",A657=Dashboard!$A$10),OR(Dashboard!$A$14="All",D657=Dashboard!$A$14),OR(Dashboard!$A$18="All",E657=Dashboard!$A$18),OR(Dashboard!$A$22="All",F657=Dashboard!$A$22))</f>
        <v>1</v>
      </c>
    </row>
    <row r="658" spans="1:8" ht="15.75" customHeight="1">
      <c r="A658" s="4">
        <v>2025</v>
      </c>
      <c r="B658" s="4">
        <v>7</v>
      </c>
      <c r="C658" s="4" t="s">
        <v>63</v>
      </c>
      <c r="D658" s="4" t="s">
        <v>5</v>
      </c>
      <c r="E658" s="4" t="s">
        <v>12</v>
      </c>
      <c r="F658" s="4" t="s">
        <v>13</v>
      </c>
      <c r="G658" s="5">
        <v>6486.48</v>
      </c>
      <c r="H658" s="4">
        <f>--AND(OR(Dashboard!$A$10="All",A658=Dashboard!$A$10),OR(Dashboard!$A$14="All",D658=Dashboard!$A$14),OR(Dashboard!$A$18="All",E658=Dashboard!$A$18),OR(Dashboard!$A$22="All",F658=Dashboard!$A$22))</f>
        <v>1</v>
      </c>
    </row>
    <row r="659" spans="1:8" ht="15.75" customHeight="1">
      <c r="A659" s="4">
        <v>2025</v>
      </c>
      <c r="B659" s="4">
        <v>7</v>
      </c>
      <c r="C659" s="4" t="s">
        <v>63</v>
      </c>
      <c r="D659" s="4" t="s">
        <v>8</v>
      </c>
      <c r="E659" s="4" t="s">
        <v>6</v>
      </c>
      <c r="F659" s="4" t="s">
        <v>7</v>
      </c>
      <c r="G659" s="5">
        <v>11425.05</v>
      </c>
      <c r="H659" s="4">
        <f>--AND(OR(Dashboard!$A$10="All",A659=Dashboard!$A$10),OR(Dashboard!$A$14="All",D659=Dashboard!$A$14),OR(Dashboard!$A$18="All",E659=Dashboard!$A$18),OR(Dashboard!$A$22="All",F659=Dashboard!$A$22))</f>
        <v>1</v>
      </c>
    </row>
    <row r="660" spans="1:8" ht="15.75" customHeight="1">
      <c r="A660" s="4">
        <v>2025</v>
      </c>
      <c r="B660" s="4">
        <v>7</v>
      </c>
      <c r="C660" s="4" t="s">
        <v>63</v>
      </c>
      <c r="D660" s="4" t="s">
        <v>8</v>
      </c>
      <c r="E660" s="4" t="s">
        <v>6</v>
      </c>
      <c r="F660" s="4" t="s">
        <v>10</v>
      </c>
      <c r="G660" s="5">
        <v>7540.53</v>
      </c>
      <c r="H660" s="4">
        <f>--AND(OR(Dashboard!$A$10="All",A660=Dashboard!$A$10),OR(Dashboard!$A$14="All",D660=Dashboard!$A$14),OR(Dashboard!$A$18="All",E660=Dashboard!$A$18),OR(Dashboard!$A$22="All",F660=Dashboard!$A$22))</f>
        <v>1</v>
      </c>
    </row>
    <row r="661" spans="1:8" ht="15.75" customHeight="1">
      <c r="A661" s="4">
        <v>2025</v>
      </c>
      <c r="B661" s="4">
        <v>7</v>
      </c>
      <c r="C661" s="4" t="s">
        <v>63</v>
      </c>
      <c r="D661" s="4" t="s">
        <v>8</v>
      </c>
      <c r="E661" s="4" t="s">
        <v>6</v>
      </c>
      <c r="F661" s="4" t="s">
        <v>13</v>
      </c>
      <c r="G661" s="5">
        <v>4570.0200000000004</v>
      </c>
      <c r="H661" s="4">
        <f>--AND(OR(Dashboard!$A$10="All",A661=Dashboard!$A$10),OR(Dashboard!$A$14="All",D661=Dashboard!$A$14),OR(Dashboard!$A$18="All",E661=Dashboard!$A$18),OR(Dashboard!$A$22="All",F661=Dashboard!$A$22))</f>
        <v>1</v>
      </c>
    </row>
    <row r="662" spans="1:8" ht="15.75" customHeight="1">
      <c r="A662" s="4">
        <v>2025</v>
      </c>
      <c r="B662" s="4">
        <v>7</v>
      </c>
      <c r="C662" s="4" t="s">
        <v>63</v>
      </c>
      <c r="D662" s="4" t="s">
        <v>8</v>
      </c>
      <c r="E662" s="4" t="s">
        <v>9</v>
      </c>
      <c r="F662" s="4" t="s">
        <v>7</v>
      </c>
      <c r="G662" s="5">
        <v>7312.03</v>
      </c>
      <c r="H662" s="4">
        <f>--AND(OR(Dashboard!$A$10="All",A662=Dashboard!$A$10),OR(Dashboard!$A$14="All",D662=Dashboard!$A$14),OR(Dashboard!$A$18="All",E662=Dashboard!$A$18),OR(Dashboard!$A$22="All",F662=Dashboard!$A$22))</f>
        <v>1</v>
      </c>
    </row>
    <row r="663" spans="1:8" ht="15.75" customHeight="1">
      <c r="A663" s="4">
        <v>2025</v>
      </c>
      <c r="B663" s="4">
        <v>7</v>
      </c>
      <c r="C663" s="4" t="s">
        <v>63</v>
      </c>
      <c r="D663" s="4" t="s">
        <v>8</v>
      </c>
      <c r="E663" s="4" t="s">
        <v>9</v>
      </c>
      <c r="F663" s="4" t="s">
        <v>10</v>
      </c>
      <c r="G663" s="5">
        <v>4825.9399999999996</v>
      </c>
      <c r="H663" s="4">
        <f>--AND(OR(Dashboard!$A$10="All",A663=Dashboard!$A$10),OR(Dashboard!$A$14="All",D663=Dashboard!$A$14),OR(Dashboard!$A$18="All",E663=Dashboard!$A$18),OR(Dashboard!$A$22="All",F663=Dashboard!$A$22))</f>
        <v>1</v>
      </c>
    </row>
    <row r="664" spans="1:8" ht="15.75" customHeight="1">
      <c r="A664" s="4">
        <v>2025</v>
      </c>
      <c r="B664" s="4">
        <v>7</v>
      </c>
      <c r="C664" s="4" t="s">
        <v>63</v>
      </c>
      <c r="D664" s="4" t="s">
        <v>8</v>
      </c>
      <c r="E664" s="4" t="s">
        <v>9</v>
      </c>
      <c r="F664" s="4" t="s">
        <v>13</v>
      </c>
      <c r="G664" s="5">
        <v>2924.81</v>
      </c>
      <c r="H664" s="4">
        <f>--AND(OR(Dashboard!$A$10="All",A664=Dashboard!$A$10),OR(Dashboard!$A$14="All",D664=Dashboard!$A$14),OR(Dashboard!$A$18="All",E664=Dashboard!$A$18),OR(Dashboard!$A$22="All",F664=Dashboard!$A$22))</f>
        <v>1</v>
      </c>
    </row>
    <row r="665" spans="1:8" ht="15.75" customHeight="1">
      <c r="A665" s="4">
        <v>2025</v>
      </c>
      <c r="B665" s="4">
        <v>7</v>
      </c>
      <c r="C665" s="4" t="s">
        <v>63</v>
      </c>
      <c r="D665" s="4" t="s">
        <v>8</v>
      </c>
      <c r="E665" s="4" t="s">
        <v>12</v>
      </c>
      <c r="F665" s="4" t="s">
        <v>7</v>
      </c>
      <c r="G665" s="5">
        <v>10054.040000000001</v>
      </c>
      <c r="H665" s="4">
        <f>--AND(OR(Dashboard!$A$10="All",A665=Dashboard!$A$10),OR(Dashboard!$A$14="All",D665=Dashboard!$A$14),OR(Dashboard!$A$18="All",E665=Dashboard!$A$18),OR(Dashboard!$A$22="All",F665=Dashboard!$A$22))</f>
        <v>1</v>
      </c>
    </row>
    <row r="666" spans="1:8" ht="15.75" customHeight="1">
      <c r="A666" s="4">
        <v>2025</v>
      </c>
      <c r="B666" s="4">
        <v>7</v>
      </c>
      <c r="C666" s="4" t="s">
        <v>63</v>
      </c>
      <c r="D666" s="4" t="s">
        <v>8</v>
      </c>
      <c r="E666" s="4" t="s">
        <v>12</v>
      </c>
      <c r="F666" s="4" t="s">
        <v>10</v>
      </c>
      <c r="G666" s="5">
        <v>6635.67</v>
      </c>
      <c r="H666" s="4">
        <f>--AND(OR(Dashboard!$A$10="All",A666=Dashboard!$A$10),OR(Dashboard!$A$14="All",D666=Dashboard!$A$14),OR(Dashboard!$A$18="All",E666=Dashboard!$A$18),OR(Dashboard!$A$22="All",F666=Dashboard!$A$22))</f>
        <v>1</v>
      </c>
    </row>
    <row r="667" spans="1:8" ht="15.75" customHeight="1">
      <c r="A667" s="4">
        <v>2025</v>
      </c>
      <c r="B667" s="4">
        <v>7</v>
      </c>
      <c r="C667" s="4" t="s">
        <v>63</v>
      </c>
      <c r="D667" s="4" t="s">
        <v>8</v>
      </c>
      <c r="E667" s="4" t="s">
        <v>12</v>
      </c>
      <c r="F667" s="4" t="s">
        <v>13</v>
      </c>
      <c r="G667" s="5">
        <v>4021.62</v>
      </c>
      <c r="H667" s="4">
        <f>--AND(OR(Dashboard!$A$10="All",A667=Dashboard!$A$10),OR(Dashboard!$A$14="All",D667=Dashboard!$A$14),OR(Dashboard!$A$18="All",E667=Dashboard!$A$18),OR(Dashboard!$A$22="All",F667=Dashboard!$A$22))</f>
        <v>1</v>
      </c>
    </row>
    <row r="668" spans="1:8" ht="15.75" customHeight="1">
      <c r="A668" s="4">
        <v>2025</v>
      </c>
      <c r="B668" s="4">
        <v>7</v>
      </c>
      <c r="C668" s="4" t="s">
        <v>63</v>
      </c>
      <c r="D668" s="4" t="s">
        <v>11</v>
      </c>
      <c r="E668" s="4" t="s">
        <v>6</v>
      </c>
      <c r="F668" s="4" t="s">
        <v>7</v>
      </c>
      <c r="G668" s="5">
        <v>8108.1</v>
      </c>
      <c r="H668" s="4">
        <f>--AND(OR(Dashboard!$A$10="All",A668=Dashboard!$A$10),OR(Dashboard!$A$14="All",D668=Dashboard!$A$14),OR(Dashboard!$A$18="All",E668=Dashboard!$A$18),OR(Dashboard!$A$22="All",F668=Dashboard!$A$22))</f>
        <v>1</v>
      </c>
    </row>
    <row r="669" spans="1:8" ht="15.75" customHeight="1">
      <c r="A669" s="4">
        <v>2025</v>
      </c>
      <c r="B669" s="4">
        <v>7</v>
      </c>
      <c r="C669" s="4" t="s">
        <v>63</v>
      </c>
      <c r="D669" s="4" t="s">
        <v>11</v>
      </c>
      <c r="E669" s="4" t="s">
        <v>6</v>
      </c>
      <c r="F669" s="4" t="s">
        <v>10</v>
      </c>
      <c r="G669" s="5">
        <v>5351.35</v>
      </c>
      <c r="H669" s="4">
        <f>--AND(OR(Dashboard!$A$10="All",A669=Dashboard!$A$10),OR(Dashboard!$A$14="All",D669=Dashboard!$A$14),OR(Dashboard!$A$18="All",E669=Dashboard!$A$18),OR(Dashboard!$A$22="All",F669=Dashboard!$A$22))</f>
        <v>1</v>
      </c>
    </row>
    <row r="670" spans="1:8" ht="15.75" customHeight="1">
      <c r="A670" s="4">
        <v>2025</v>
      </c>
      <c r="B670" s="4">
        <v>7</v>
      </c>
      <c r="C670" s="4" t="s">
        <v>63</v>
      </c>
      <c r="D670" s="4" t="s">
        <v>11</v>
      </c>
      <c r="E670" s="4" t="s">
        <v>6</v>
      </c>
      <c r="F670" s="4" t="s">
        <v>13</v>
      </c>
      <c r="G670" s="5">
        <v>3243.24</v>
      </c>
      <c r="H670" s="4">
        <f>--AND(OR(Dashboard!$A$10="All",A670=Dashboard!$A$10),OR(Dashboard!$A$14="All",D670=Dashboard!$A$14),OR(Dashboard!$A$18="All",E670=Dashboard!$A$18),OR(Dashboard!$A$22="All",F670=Dashboard!$A$22))</f>
        <v>1</v>
      </c>
    </row>
    <row r="671" spans="1:8" ht="15.75" customHeight="1">
      <c r="A671" s="4">
        <v>2025</v>
      </c>
      <c r="B671" s="4">
        <v>7</v>
      </c>
      <c r="C671" s="4" t="s">
        <v>63</v>
      </c>
      <c r="D671" s="4" t="s">
        <v>11</v>
      </c>
      <c r="E671" s="4" t="s">
        <v>9</v>
      </c>
      <c r="F671" s="4" t="s">
        <v>7</v>
      </c>
      <c r="G671" s="5">
        <v>5189.18</v>
      </c>
      <c r="H671" s="4">
        <f>--AND(OR(Dashboard!$A$10="All",A671=Dashboard!$A$10),OR(Dashboard!$A$14="All",D671=Dashboard!$A$14),OR(Dashboard!$A$18="All",E671=Dashboard!$A$18),OR(Dashboard!$A$22="All",F671=Dashboard!$A$22))</f>
        <v>1</v>
      </c>
    </row>
    <row r="672" spans="1:8" ht="15.75" customHeight="1">
      <c r="A672" s="4">
        <v>2025</v>
      </c>
      <c r="B672" s="4">
        <v>7</v>
      </c>
      <c r="C672" s="4" t="s">
        <v>63</v>
      </c>
      <c r="D672" s="4" t="s">
        <v>11</v>
      </c>
      <c r="E672" s="4" t="s">
        <v>9</v>
      </c>
      <c r="F672" s="4" t="s">
        <v>10</v>
      </c>
      <c r="G672" s="5">
        <v>3424.86</v>
      </c>
      <c r="H672" s="4">
        <f>--AND(OR(Dashboard!$A$10="All",A672=Dashboard!$A$10),OR(Dashboard!$A$14="All",D672=Dashboard!$A$14),OR(Dashboard!$A$18="All",E672=Dashboard!$A$18),OR(Dashboard!$A$22="All",F672=Dashboard!$A$22))</f>
        <v>1</v>
      </c>
    </row>
    <row r="673" spans="1:8" ht="15.75" customHeight="1">
      <c r="A673" s="4">
        <v>2025</v>
      </c>
      <c r="B673" s="4">
        <v>7</v>
      </c>
      <c r="C673" s="4" t="s">
        <v>63</v>
      </c>
      <c r="D673" s="4" t="s">
        <v>11</v>
      </c>
      <c r="E673" s="4" t="s">
        <v>9</v>
      </c>
      <c r="F673" s="4" t="s">
        <v>13</v>
      </c>
      <c r="G673" s="5">
        <v>2075.67</v>
      </c>
      <c r="H673" s="4">
        <f>--AND(OR(Dashboard!$A$10="All",A673=Dashboard!$A$10),OR(Dashboard!$A$14="All",D673=Dashboard!$A$14),OR(Dashboard!$A$18="All",E673=Dashboard!$A$18),OR(Dashboard!$A$22="All",F673=Dashboard!$A$22))</f>
        <v>1</v>
      </c>
    </row>
    <row r="674" spans="1:8" ht="15.75" customHeight="1">
      <c r="A674" s="4">
        <v>2025</v>
      </c>
      <c r="B674" s="4">
        <v>7</v>
      </c>
      <c r="C674" s="4" t="s">
        <v>63</v>
      </c>
      <c r="D674" s="4" t="s">
        <v>11</v>
      </c>
      <c r="E674" s="4" t="s">
        <v>12</v>
      </c>
      <c r="F674" s="4" t="s">
        <v>7</v>
      </c>
      <c r="G674" s="5">
        <v>7135.13</v>
      </c>
      <c r="H674" s="4">
        <f>--AND(OR(Dashboard!$A$10="All",A674=Dashboard!$A$10),OR(Dashboard!$A$14="All",D674=Dashboard!$A$14),OR(Dashboard!$A$18="All",E674=Dashboard!$A$18),OR(Dashboard!$A$22="All",F674=Dashboard!$A$22))</f>
        <v>1</v>
      </c>
    </row>
    <row r="675" spans="1:8" ht="15.75" customHeight="1">
      <c r="A675" s="4">
        <v>2025</v>
      </c>
      <c r="B675" s="4">
        <v>7</v>
      </c>
      <c r="C675" s="4" t="s">
        <v>63</v>
      </c>
      <c r="D675" s="4" t="s">
        <v>11</v>
      </c>
      <c r="E675" s="4" t="s">
        <v>12</v>
      </c>
      <c r="F675" s="4" t="s">
        <v>10</v>
      </c>
      <c r="G675" s="5">
        <v>4709.18</v>
      </c>
      <c r="H675" s="4">
        <f>--AND(OR(Dashboard!$A$10="All",A675=Dashboard!$A$10),OR(Dashboard!$A$14="All",D675=Dashboard!$A$14),OR(Dashboard!$A$18="All",E675=Dashboard!$A$18),OR(Dashboard!$A$22="All",F675=Dashboard!$A$22))</f>
        <v>1</v>
      </c>
    </row>
    <row r="676" spans="1:8" ht="15.75" customHeight="1">
      <c r="A676" s="4">
        <v>2025</v>
      </c>
      <c r="B676" s="4">
        <v>7</v>
      </c>
      <c r="C676" s="4" t="s">
        <v>63</v>
      </c>
      <c r="D676" s="4" t="s">
        <v>11</v>
      </c>
      <c r="E676" s="4" t="s">
        <v>12</v>
      </c>
      <c r="F676" s="4" t="s">
        <v>13</v>
      </c>
      <c r="G676" s="5">
        <v>2854.05</v>
      </c>
      <c r="H676" s="4">
        <f>--AND(OR(Dashboard!$A$10="All",A676=Dashboard!$A$10),OR(Dashboard!$A$14="All",D676=Dashboard!$A$14),OR(Dashboard!$A$18="All",E676=Dashboard!$A$18),OR(Dashboard!$A$22="All",F676=Dashboard!$A$22))</f>
        <v>1</v>
      </c>
    </row>
    <row r="677" spans="1:8" ht="15.75" customHeight="1">
      <c r="A677" s="4">
        <v>2025</v>
      </c>
      <c r="B677" s="4">
        <v>7</v>
      </c>
      <c r="C677" s="4" t="s">
        <v>63</v>
      </c>
      <c r="D677" s="4" t="s">
        <v>14</v>
      </c>
      <c r="E677" s="4" t="s">
        <v>6</v>
      </c>
      <c r="F677" s="4" t="s">
        <v>7</v>
      </c>
      <c r="G677" s="5">
        <v>5528.25</v>
      </c>
      <c r="H677" s="4">
        <f>--AND(OR(Dashboard!$A$10="All",A677=Dashboard!$A$10),OR(Dashboard!$A$14="All",D677=Dashboard!$A$14),OR(Dashboard!$A$18="All",E677=Dashboard!$A$18),OR(Dashboard!$A$22="All",F677=Dashboard!$A$22))</f>
        <v>1</v>
      </c>
    </row>
    <row r="678" spans="1:8" ht="15.75" customHeight="1">
      <c r="A678" s="4">
        <v>2025</v>
      </c>
      <c r="B678" s="4">
        <v>7</v>
      </c>
      <c r="C678" s="4" t="s">
        <v>63</v>
      </c>
      <c r="D678" s="4" t="s">
        <v>14</v>
      </c>
      <c r="E678" s="4" t="s">
        <v>6</v>
      </c>
      <c r="F678" s="4" t="s">
        <v>10</v>
      </c>
      <c r="G678" s="5">
        <v>3648.65</v>
      </c>
      <c r="H678" s="4">
        <f>--AND(OR(Dashboard!$A$10="All",A678=Dashboard!$A$10),OR(Dashboard!$A$14="All",D678=Dashboard!$A$14),OR(Dashboard!$A$18="All",E678=Dashboard!$A$18),OR(Dashboard!$A$22="All",F678=Dashboard!$A$22))</f>
        <v>1</v>
      </c>
    </row>
    <row r="679" spans="1:8" ht="15.75" customHeight="1">
      <c r="A679" s="4">
        <v>2025</v>
      </c>
      <c r="B679" s="4">
        <v>7</v>
      </c>
      <c r="C679" s="4" t="s">
        <v>63</v>
      </c>
      <c r="D679" s="4" t="s">
        <v>14</v>
      </c>
      <c r="E679" s="4" t="s">
        <v>6</v>
      </c>
      <c r="F679" s="4" t="s">
        <v>13</v>
      </c>
      <c r="G679" s="5">
        <v>2211.3000000000002</v>
      </c>
      <c r="H679" s="4">
        <f>--AND(OR(Dashboard!$A$10="All",A679=Dashboard!$A$10),OR(Dashboard!$A$14="All",D679=Dashboard!$A$14),OR(Dashboard!$A$18="All",E679=Dashboard!$A$18),OR(Dashboard!$A$22="All",F679=Dashboard!$A$22))</f>
        <v>1</v>
      </c>
    </row>
    <row r="680" spans="1:8" ht="15.75" customHeight="1">
      <c r="A680" s="4">
        <v>2025</v>
      </c>
      <c r="B680" s="4">
        <v>7</v>
      </c>
      <c r="C680" s="4" t="s">
        <v>63</v>
      </c>
      <c r="D680" s="4" t="s">
        <v>14</v>
      </c>
      <c r="E680" s="4" t="s">
        <v>9</v>
      </c>
      <c r="F680" s="4" t="s">
        <v>7</v>
      </c>
      <c r="G680" s="5">
        <v>3538.08</v>
      </c>
      <c r="H680" s="4">
        <f>--AND(OR(Dashboard!$A$10="All",A680=Dashboard!$A$10),OR(Dashboard!$A$14="All",D680=Dashboard!$A$14),OR(Dashboard!$A$18="All",E680=Dashboard!$A$18),OR(Dashboard!$A$22="All",F680=Dashboard!$A$22))</f>
        <v>1</v>
      </c>
    </row>
    <row r="681" spans="1:8" ht="15.75" customHeight="1">
      <c r="A681" s="4">
        <v>2025</v>
      </c>
      <c r="B681" s="4">
        <v>7</v>
      </c>
      <c r="C681" s="4" t="s">
        <v>63</v>
      </c>
      <c r="D681" s="4" t="s">
        <v>14</v>
      </c>
      <c r="E681" s="4" t="s">
        <v>9</v>
      </c>
      <c r="F681" s="4" t="s">
        <v>10</v>
      </c>
      <c r="G681" s="5">
        <v>2335.13</v>
      </c>
      <c r="H681" s="4">
        <f>--AND(OR(Dashboard!$A$10="All",A681=Dashboard!$A$10),OR(Dashboard!$A$14="All",D681=Dashboard!$A$14),OR(Dashboard!$A$18="All",E681=Dashboard!$A$18),OR(Dashboard!$A$22="All",F681=Dashboard!$A$22))</f>
        <v>1</v>
      </c>
    </row>
    <row r="682" spans="1:8" ht="15.75" customHeight="1">
      <c r="A682" s="4">
        <v>2025</v>
      </c>
      <c r="B682" s="4">
        <v>7</v>
      </c>
      <c r="C682" s="4" t="s">
        <v>63</v>
      </c>
      <c r="D682" s="4" t="s">
        <v>14</v>
      </c>
      <c r="E682" s="4" t="s">
        <v>9</v>
      </c>
      <c r="F682" s="4" t="s">
        <v>13</v>
      </c>
      <c r="G682" s="5">
        <v>1415.23</v>
      </c>
      <c r="H682" s="4">
        <f>--AND(OR(Dashboard!$A$10="All",A682=Dashboard!$A$10),OR(Dashboard!$A$14="All",D682=Dashboard!$A$14),OR(Dashboard!$A$18="All",E682=Dashboard!$A$18),OR(Dashboard!$A$22="All",F682=Dashboard!$A$22))</f>
        <v>1</v>
      </c>
    </row>
    <row r="683" spans="1:8" ht="15.75" customHeight="1">
      <c r="A683" s="4">
        <v>2025</v>
      </c>
      <c r="B683" s="4">
        <v>7</v>
      </c>
      <c r="C683" s="4" t="s">
        <v>63</v>
      </c>
      <c r="D683" s="4" t="s">
        <v>14</v>
      </c>
      <c r="E683" s="4" t="s">
        <v>12</v>
      </c>
      <c r="F683" s="4" t="s">
        <v>7</v>
      </c>
      <c r="G683" s="5">
        <v>4864.8599999999997</v>
      </c>
      <c r="H683" s="4">
        <f>--AND(OR(Dashboard!$A$10="All",A683=Dashboard!$A$10),OR(Dashboard!$A$14="All",D683=Dashboard!$A$14),OR(Dashboard!$A$18="All",E683=Dashboard!$A$18),OR(Dashboard!$A$22="All",F683=Dashboard!$A$22))</f>
        <v>1</v>
      </c>
    </row>
    <row r="684" spans="1:8" ht="15.75" customHeight="1">
      <c r="A684" s="4">
        <v>2025</v>
      </c>
      <c r="B684" s="4">
        <v>7</v>
      </c>
      <c r="C684" s="4" t="s">
        <v>63</v>
      </c>
      <c r="D684" s="4" t="s">
        <v>14</v>
      </c>
      <c r="E684" s="4" t="s">
        <v>12</v>
      </c>
      <c r="F684" s="4" t="s">
        <v>10</v>
      </c>
      <c r="G684" s="5">
        <v>3210.81</v>
      </c>
      <c r="H684" s="4">
        <f>--AND(OR(Dashboard!$A$10="All",A684=Dashboard!$A$10),OR(Dashboard!$A$14="All",D684=Dashboard!$A$14),OR(Dashboard!$A$18="All",E684=Dashboard!$A$18),OR(Dashboard!$A$22="All",F684=Dashboard!$A$22))</f>
        <v>1</v>
      </c>
    </row>
    <row r="685" spans="1:8" ht="15.75" customHeight="1">
      <c r="A685" s="4">
        <v>2025</v>
      </c>
      <c r="B685" s="4">
        <v>7</v>
      </c>
      <c r="C685" s="4" t="s">
        <v>63</v>
      </c>
      <c r="D685" s="4" t="s">
        <v>14</v>
      </c>
      <c r="E685" s="4" t="s">
        <v>12</v>
      </c>
      <c r="F685" s="4" t="s">
        <v>13</v>
      </c>
      <c r="G685" s="5">
        <v>1945.94</v>
      </c>
      <c r="H685" s="4">
        <f>--AND(OR(Dashboard!$A$10="All",A685=Dashboard!$A$10),OR(Dashboard!$A$14="All",D685=Dashboard!$A$14),OR(Dashboard!$A$18="All",E685=Dashboard!$A$18),OR(Dashboard!$A$22="All",F685=Dashboard!$A$22))</f>
        <v>1</v>
      </c>
    </row>
    <row r="686" spans="1:8" ht="15.75" customHeight="1">
      <c r="A686" s="4">
        <v>2025</v>
      </c>
      <c r="B686" s="4">
        <v>8</v>
      </c>
      <c r="C686" s="4" t="s">
        <v>67</v>
      </c>
      <c r="D686" s="4" t="s">
        <v>5</v>
      </c>
      <c r="E686" s="4" t="s">
        <v>6</v>
      </c>
      <c r="F686" s="4" t="s">
        <v>7</v>
      </c>
      <c r="G686" s="5">
        <v>18427.5</v>
      </c>
      <c r="H686" s="4">
        <f>--AND(OR(Dashboard!$A$10="All",A686=Dashboard!$A$10),OR(Dashboard!$A$14="All",D686=Dashboard!$A$14),OR(Dashboard!$A$18="All",E686=Dashboard!$A$18),OR(Dashboard!$A$22="All",F686=Dashboard!$A$22))</f>
        <v>1</v>
      </c>
    </row>
    <row r="687" spans="1:8" ht="15.75" customHeight="1">
      <c r="A687" s="4">
        <v>2025</v>
      </c>
      <c r="B687" s="4">
        <v>8</v>
      </c>
      <c r="C687" s="4" t="s">
        <v>67</v>
      </c>
      <c r="D687" s="4" t="s">
        <v>5</v>
      </c>
      <c r="E687" s="4" t="s">
        <v>6</v>
      </c>
      <c r="F687" s="4" t="s">
        <v>10</v>
      </c>
      <c r="G687" s="5">
        <v>12162.15</v>
      </c>
      <c r="H687" s="4">
        <f>--AND(OR(Dashboard!$A$10="All",A687=Dashboard!$A$10),OR(Dashboard!$A$14="All",D687=Dashboard!$A$14),OR(Dashboard!$A$18="All",E687=Dashboard!$A$18),OR(Dashboard!$A$22="All",F687=Dashboard!$A$22))</f>
        <v>1</v>
      </c>
    </row>
    <row r="688" spans="1:8" ht="15.75" customHeight="1">
      <c r="A688" s="4">
        <v>2025</v>
      </c>
      <c r="B688" s="4">
        <v>8</v>
      </c>
      <c r="C688" s="4" t="s">
        <v>67</v>
      </c>
      <c r="D688" s="4" t="s">
        <v>5</v>
      </c>
      <c r="E688" s="4" t="s">
        <v>6</v>
      </c>
      <c r="F688" s="4" t="s">
        <v>13</v>
      </c>
      <c r="G688" s="5">
        <v>7371</v>
      </c>
      <c r="H688" s="4">
        <f>--AND(OR(Dashboard!$A$10="All",A688=Dashboard!$A$10),OR(Dashboard!$A$14="All",D688=Dashboard!$A$14),OR(Dashboard!$A$18="All",E688=Dashboard!$A$18),OR(Dashboard!$A$22="All",F688=Dashboard!$A$22))</f>
        <v>1</v>
      </c>
    </row>
    <row r="689" spans="1:8" ht="15.75" customHeight="1">
      <c r="A689" s="4">
        <v>2025</v>
      </c>
      <c r="B689" s="4">
        <v>8</v>
      </c>
      <c r="C689" s="4" t="s">
        <v>67</v>
      </c>
      <c r="D689" s="4" t="s">
        <v>5</v>
      </c>
      <c r="E689" s="4" t="s">
        <v>9</v>
      </c>
      <c r="F689" s="4" t="s">
        <v>7</v>
      </c>
      <c r="G689" s="5">
        <v>11793.6</v>
      </c>
      <c r="H689" s="4">
        <f>--AND(OR(Dashboard!$A$10="All",A689=Dashboard!$A$10),OR(Dashboard!$A$14="All",D689=Dashboard!$A$14),OR(Dashboard!$A$18="All",E689=Dashboard!$A$18),OR(Dashboard!$A$22="All",F689=Dashboard!$A$22))</f>
        <v>1</v>
      </c>
    </row>
    <row r="690" spans="1:8" ht="15.75" customHeight="1">
      <c r="A690" s="4">
        <v>2025</v>
      </c>
      <c r="B690" s="4">
        <v>8</v>
      </c>
      <c r="C690" s="4" t="s">
        <v>67</v>
      </c>
      <c r="D690" s="4" t="s">
        <v>5</v>
      </c>
      <c r="E690" s="4" t="s">
        <v>9</v>
      </c>
      <c r="F690" s="4" t="s">
        <v>10</v>
      </c>
      <c r="G690" s="5">
        <v>7783.78</v>
      </c>
      <c r="H690" s="4">
        <f>--AND(OR(Dashboard!$A$10="All",A690=Dashboard!$A$10),OR(Dashboard!$A$14="All",D690=Dashboard!$A$14),OR(Dashboard!$A$18="All",E690=Dashboard!$A$18),OR(Dashboard!$A$22="All",F690=Dashboard!$A$22))</f>
        <v>1</v>
      </c>
    </row>
    <row r="691" spans="1:8" ht="15.75" customHeight="1">
      <c r="A691" s="4">
        <v>2025</v>
      </c>
      <c r="B691" s="4">
        <v>8</v>
      </c>
      <c r="C691" s="4" t="s">
        <v>67</v>
      </c>
      <c r="D691" s="4" t="s">
        <v>5</v>
      </c>
      <c r="E691" s="4" t="s">
        <v>9</v>
      </c>
      <c r="F691" s="4" t="s">
        <v>13</v>
      </c>
      <c r="G691" s="5">
        <v>4717.4399999999996</v>
      </c>
      <c r="H691" s="4">
        <f>--AND(OR(Dashboard!$A$10="All",A691=Dashboard!$A$10),OR(Dashboard!$A$14="All",D691=Dashboard!$A$14),OR(Dashboard!$A$18="All",E691=Dashboard!$A$18),OR(Dashboard!$A$22="All",F691=Dashboard!$A$22))</f>
        <v>1</v>
      </c>
    </row>
    <row r="692" spans="1:8" ht="15.75" customHeight="1">
      <c r="A692" s="4">
        <v>2025</v>
      </c>
      <c r="B692" s="4">
        <v>8</v>
      </c>
      <c r="C692" s="4" t="s">
        <v>67</v>
      </c>
      <c r="D692" s="4" t="s">
        <v>5</v>
      </c>
      <c r="E692" s="4" t="s">
        <v>12</v>
      </c>
      <c r="F692" s="4" t="s">
        <v>7</v>
      </c>
      <c r="G692" s="5">
        <v>16216.2</v>
      </c>
      <c r="H692" s="4">
        <f>--AND(OR(Dashboard!$A$10="All",A692=Dashboard!$A$10),OR(Dashboard!$A$14="All",D692=Dashboard!$A$14),OR(Dashboard!$A$18="All",E692=Dashboard!$A$18),OR(Dashboard!$A$22="All",F692=Dashboard!$A$22))</f>
        <v>1</v>
      </c>
    </row>
    <row r="693" spans="1:8" ht="15.75" customHeight="1">
      <c r="A693" s="4">
        <v>2025</v>
      </c>
      <c r="B693" s="4">
        <v>8</v>
      </c>
      <c r="C693" s="4" t="s">
        <v>67</v>
      </c>
      <c r="D693" s="4" t="s">
        <v>5</v>
      </c>
      <c r="E693" s="4" t="s">
        <v>12</v>
      </c>
      <c r="F693" s="4" t="s">
        <v>10</v>
      </c>
      <c r="G693" s="5">
        <v>10702.69</v>
      </c>
      <c r="H693" s="4">
        <f>--AND(OR(Dashboard!$A$10="All",A693=Dashboard!$A$10),OR(Dashboard!$A$14="All",D693=Dashboard!$A$14),OR(Dashboard!$A$18="All",E693=Dashboard!$A$18),OR(Dashboard!$A$22="All",F693=Dashboard!$A$22))</f>
        <v>1</v>
      </c>
    </row>
    <row r="694" spans="1:8" ht="15.75" customHeight="1">
      <c r="A694" s="4">
        <v>2025</v>
      </c>
      <c r="B694" s="4">
        <v>8</v>
      </c>
      <c r="C694" s="4" t="s">
        <v>67</v>
      </c>
      <c r="D694" s="4" t="s">
        <v>5</v>
      </c>
      <c r="E694" s="4" t="s">
        <v>12</v>
      </c>
      <c r="F694" s="4" t="s">
        <v>13</v>
      </c>
      <c r="G694" s="5">
        <v>6486.48</v>
      </c>
      <c r="H694" s="4">
        <f>--AND(OR(Dashboard!$A$10="All",A694=Dashboard!$A$10),OR(Dashboard!$A$14="All",D694=Dashboard!$A$14),OR(Dashboard!$A$18="All",E694=Dashboard!$A$18),OR(Dashboard!$A$22="All",F694=Dashboard!$A$22))</f>
        <v>1</v>
      </c>
    </row>
    <row r="695" spans="1:8" ht="15.75" customHeight="1">
      <c r="A695" s="4">
        <v>2025</v>
      </c>
      <c r="B695" s="4">
        <v>8</v>
      </c>
      <c r="C695" s="4" t="s">
        <v>67</v>
      </c>
      <c r="D695" s="4" t="s">
        <v>8</v>
      </c>
      <c r="E695" s="4" t="s">
        <v>6</v>
      </c>
      <c r="F695" s="4" t="s">
        <v>7</v>
      </c>
      <c r="G695" s="5">
        <v>11425.05</v>
      </c>
      <c r="H695" s="4">
        <f>--AND(OR(Dashboard!$A$10="All",A695=Dashboard!$A$10),OR(Dashboard!$A$14="All",D695=Dashboard!$A$14),OR(Dashboard!$A$18="All",E695=Dashboard!$A$18),OR(Dashboard!$A$22="All",F695=Dashboard!$A$22))</f>
        <v>1</v>
      </c>
    </row>
    <row r="696" spans="1:8" ht="15.75" customHeight="1">
      <c r="A696" s="4">
        <v>2025</v>
      </c>
      <c r="B696" s="4">
        <v>8</v>
      </c>
      <c r="C696" s="4" t="s">
        <v>67</v>
      </c>
      <c r="D696" s="4" t="s">
        <v>8</v>
      </c>
      <c r="E696" s="4" t="s">
        <v>6</v>
      </c>
      <c r="F696" s="4" t="s">
        <v>10</v>
      </c>
      <c r="G696" s="5">
        <v>7540.53</v>
      </c>
      <c r="H696" s="4">
        <f>--AND(OR(Dashboard!$A$10="All",A696=Dashboard!$A$10),OR(Dashboard!$A$14="All",D696=Dashboard!$A$14),OR(Dashboard!$A$18="All",E696=Dashboard!$A$18),OR(Dashboard!$A$22="All",F696=Dashboard!$A$22))</f>
        <v>1</v>
      </c>
    </row>
    <row r="697" spans="1:8" ht="15.75" customHeight="1">
      <c r="A697" s="4">
        <v>2025</v>
      </c>
      <c r="B697" s="4">
        <v>8</v>
      </c>
      <c r="C697" s="4" t="s">
        <v>67</v>
      </c>
      <c r="D697" s="4" t="s">
        <v>8</v>
      </c>
      <c r="E697" s="4" t="s">
        <v>6</v>
      </c>
      <c r="F697" s="4" t="s">
        <v>13</v>
      </c>
      <c r="G697" s="5">
        <v>4570.0200000000004</v>
      </c>
      <c r="H697" s="4">
        <f>--AND(OR(Dashboard!$A$10="All",A697=Dashboard!$A$10),OR(Dashboard!$A$14="All",D697=Dashboard!$A$14),OR(Dashboard!$A$18="All",E697=Dashboard!$A$18),OR(Dashboard!$A$22="All",F697=Dashboard!$A$22))</f>
        <v>1</v>
      </c>
    </row>
    <row r="698" spans="1:8" ht="15.75" customHeight="1">
      <c r="A698" s="4">
        <v>2025</v>
      </c>
      <c r="B698" s="4">
        <v>8</v>
      </c>
      <c r="C698" s="4" t="s">
        <v>67</v>
      </c>
      <c r="D698" s="4" t="s">
        <v>8</v>
      </c>
      <c r="E698" s="4" t="s">
        <v>9</v>
      </c>
      <c r="F698" s="4" t="s">
        <v>7</v>
      </c>
      <c r="G698" s="5">
        <v>7312.03</v>
      </c>
      <c r="H698" s="4">
        <f>--AND(OR(Dashboard!$A$10="All",A698=Dashboard!$A$10),OR(Dashboard!$A$14="All",D698=Dashboard!$A$14),OR(Dashboard!$A$18="All",E698=Dashboard!$A$18),OR(Dashboard!$A$22="All",F698=Dashboard!$A$22))</f>
        <v>1</v>
      </c>
    </row>
    <row r="699" spans="1:8" ht="15.75" customHeight="1">
      <c r="A699" s="4">
        <v>2025</v>
      </c>
      <c r="B699" s="4">
        <v>8</v>
      </c>
      <c r="C699" s="4" t="s">
        <v>67</v>
      </c>
      <c r="D699" s="4" t="s">
        <v>8</v>
      </c>
      <c r="E699" s="4" t="s">
        <v>9</v>
      </c>
      <c r="F699" s="4" t="s">
        <v>10</v>
      </c>
      <c r="G699" s="5">
        <v>4825.9399999999996</v>
      </c>
      <c r="H699" s="4">
        <f>--AND(OR(Dashboard!$A$10="All",A699=Dashboard!$A$10),OR(Dashboard!$A$14="All",D699=Dashboard!$A$14),OR(Dashboard!$A$18="All",E699=Dashboard!$A$18),OR(Dashboard!$A$22="All",F699=Dashboard!$A$22))</f>
        <v>1</v>
      </c>
    </row>
    <row r="700" spans="1:8" ht="15.75" customHeight="1">
      <c r="A700" s="4">
        <v>2025</v>
      </c>
      <c r="B700" s="4">
        <v>8</v>
      </c>
      <c r="C700" s="4" t="s">
        <v>67</v>
      </c>
      <c r="D700" s="4" t="s">
        <v>8</v>
      </c>
      <c r="E700" s="4" t="s">
        <v>9</v>
      </c>
      <c r="F700" s="4" t="s">
        <v>13</v>
      </c>
      <c r="G700" s="5">
        <v>2924.81</v>
      </c>
      <c r="H700" s="4">
        <f>--AND(OR(Dashboard!$A$10="All",A700=Dashboard!$A$10),OR(Dashboard!$A$14="All",D700=Dashboard!$A$14),OR(Dashboard!$A$18="All",E700=Dashboard!$A$18),OR(Dashboard!$A$22="All",F700=Dashboard!$A$22))</f>
        <v>1</v>
      </c>
    </row>
    <row r="701" spans="1:8" ht="15.75" customHeight="1">
      <c r="A701" s="4">
        <v>2025</v>
      </c>
      <c r="B701" s="4">
        <v>8</v>
      </c>
      <c r="C701" s="4" t="s">
        <v>67</v>
      </c>
      <c r="D701" s="4" t="s">
        <v>8</v>
      </c>
      <c r="E701" s="4" t="s">
        <v>12</v>
      </c>
      <c r="F701" s="4" t="s">
        <v>7</v>
      </c>
      <c r="G701" s="5">
        <v>10054.040000000001</v>
      </c>
      <c r="H701" s="4">
        <f>--AND(OR(Dashboard!$A$10="All",A701=Dashboard!$A$10),OR(Dashboard!$A$14="All",D701=Dashboard!$A$14),OR(Dashboard!$A$18="All",E701=Dashboard!$A$18),OR(Dashboard!$A$22="All",F701=Dashboard!$A$22))</f>
        <v>1</v>
      </c>
    </row>
    <row r="702" spans="1:8" ht="15.75" customHeight="1">
      <c r="A702" s="4">
        <v>2025</v>
      </c>
      <c r="B702" s="4">
        <v>8</v>
      </c>
      <c r="C702" s="4" t="s">
        <v>67</v>
      </c>
      <c r="D702" s="4" t="s">
        <v>8</v>
      </c>
      <c r="E702" s="4" t="s">
        <v>12</v>
      </c>
      <c r="F702" s="4" t="s">
        <v>10</v>
      </c>
      <c r="G702" s="5">
        <v>6635.67</v>
      </c>
      <c r="H702" s="4">
        <f>--AND(OR(Dashboard!$A$10="All",A702=Dashboard!$A$10),OR(Dashboard!$A$14="All",D702=Dashboard!$A$14),OR(Dashboard!$A$18="All",E702=Dashboard!$A$18),OR(Dashboard!$A$22="All",F702=Dashboard!$A$22))</f>
        <v>1</v>
      </c>
    </row>
    <row r="703" spans="1:8" ht="15.75" customHeight="1">
      <c r="A703" s="4">
        <v>2025</v>
      </c>
      <c r="B703" s="4">
        <v>8</v>
      </c>
      <c r="C703" s="4" t="s">
        <v>67</v>
      </c>
      <c r="D703" s="4" t="s">
        <v>8</v>
      </c>
      <c r="E703" s="4" t="s">
        <v>12</v>
      </c>
      <c r="F703" s="4" t="s">
        <v>13</v>
      </c>
      <c r="G703" s="5">
        <v>4021.62</v>
      </c>
      <c r="H703" s="4">
        <f>--AND(OR(Dashboard!$A$10="All",A703=Dashboard!$A$10),OR(Dashboard!$A$14="All",D703=Dashboard!$A$14),OR(Dashboard!$A$18="All",E703=Dashboard!$A$18),OR(Dashboard!$A$22="All",F703=Dashboard!$A$22))</f>
        <v>1</v>
      </c>
    </row>
    <row r="704" spans="1:8" ht="15.75" customHeight="1">
      <c r="A704" s="4">
        <v>2025</v>
      </c>
      <c r="B704" s="4">
        <v>8</v>
      </c>
      <c r="C704" s="4" t="s">
        <v>67</v>
      </c>
      <c r="D704" s="4" t="s">
        <v>11</v>
      </c>
      <c r="E704" s="4" t="s">
        <v>6</v>
      </c>
      <c r="F704" s="4" t="s">
        <v>7</v>
      </c>
      <c r="G704" s="5">
        <v>8108.1</v>
      </c>
      <c r="H704" s="4">
        <f>--AND(OR(Dashboard!$A$10="All",A704=Dashboard!$A$10),OR(Dashboard!$A$14="All",D704=Dashboard!$A$14),OR(Dashboard!$A$18="All",E704=Dashboard!$A$18),OR(Dashboard!$A$22="All",F704=Dashboard!$A$22))</f>
        <v>1</v>
      </c>
    </row>
    <row r="705" spans="1:8" ht="15.75" customHeight="1">
      <c r="A705" s="4">
        <v>2025</v>
      </c>
      <c r="B705" s="4">
        <v>8</v>
      </c>
      <c r="C705" s="4" t="s">
        <v>67</v>
      </c>
      <c r="D705" s="4" t="s">
        <v>11</v>
      </c>
      <c r="E705" s="4" t="s">
        <v>6</v>
      </c>
      <c r="F705" s="4" t="s">
        <v>10</v>
      </c>
      <c r="G705" s="5">
        <v>5351.35</v>
      </c>
      <c r="H705" s="4">
        <f>--AND(OR(Dashboard!$A$10="All",A705=Dashboard!$A$10),OR(Dashboard!$A$14="All",D705=Dashboard!$A$14),OR(Dashboard!$A$18="All",E705=Dashboard!$A$18),OR(Dashboard!$A$22="All",F705=Dashboard!$A$22))</f>
        <v>1</v>
      </c>
    </row>
    <row r="706" spans="1:8" ht="15.75" customHeight="1">
      <c r="A706" s="4">
        <v>2025</v>
      </c>
      <c r="B706" s="4">
        <v>8</v>
      </c>
      <c r="C706" s="4" t="s">
        <v>67</v>
      </c>
      <c r="D706" s="4" t="s">
        <v>11</v>
      </c>
      <c r="E706" s="4" t="s">
        <v>6</v>
      </c>
      <c r="F706" s="4" t="s">
        <v>13</v>
      </c>
      <c r="G706" s="5">
        <v>3243.24</v>
      </c>
      <c r="H706" s="4">
        <f>--AND(OR(Dashboard!$A$10="All",A706=Dashboard!$A$10),OR(Dashboard!$A$14="All",D706=Dashboard!$A$14),OR(Dashboard!$A$18="All",E706=Dashboard!$A$18),OR(Dashboard!$A$22="All",F706=Dashboard!$A$22))</f>
        <v>1</v>
      </c>
    </row>
    <row r="707" spans="1:8" ht="15.75" customHeight="1">
      <c r="A707" s="4">
        <v>2025</v>
      </c>
      <c r="B707" s="4">
        <v>8</v>
      </c>
      <c r="C707" s="4" t="s">
        <v>67</v>
      </c>
      <c r="D707" s="4" t="s">
        <v>11</v>
      </c>
      <c r="E707" s="4" t="s">
        <v>9</v>
      </c>
      <c r="F707" s="4" t="s">
        <v>7</v>
      </c>
      <c r="G707" s="5">
        <v>5189.18</v>
      </c>
      <c r="H707" s="4">
        <f>--AND(OR(Dashboard!$A$10="All",A707=Dashboard!$A$10),OR(Dashboard!$A$14="All",D707=Dashboard!$A$14),OR(Dashboard!$A$18="All",E707=Dashboard!$A$18),OR(Dashboard!$A$22="All",F707=Dashboard!$A$22))</f>
        <v>1</v>
      </c>
    </row>
    <row r="708" spans="1:8" ht="15.75" customHeight="1">
      <c r="A708" s="4">
        <v>2025</v>
      </c>
      <c r="B708" s="4">
        <v>8</v>
      </c>
      <c r="C708" s="4" t="s">
        <v>67</v>
      </c>
      <c r="D708" s="4" t="s">
        <v>11</v>
      </c>
      <c r="E708" s="4" t="s">
        <v>9</v>
      </c>
      <c r="F708" s="4" t="s">
        <v>10</v>
      </c>
      <c r="G708" s="5">
        <v>3424.86</v>
      </c>
      <c r="H708" s="4">
        <f>--AND(OR(Dashboard!$A$10="All",A708=Dashboard!$A$10),OR(Dashboard!$A$14="All",D708=Dashboard!$A$14),OR(Dashboard!$A$18="All",E708=Dashboard!$A$18),OR(Dashboard!$A$22="All",F708=Dashboard!$A$22))</f>
        <v>1</v>
      </c>
    </row>
    <row r="709" spans="1:8" ht="15.75" customHeight="1">
      <c r="A709" s="4">
        <v>2025</v>
      </c>
      <c r="B709" s="4">
        <v>8</v>
      </c>
      <c r="C709" s="4" t="s">
        <v>67</v>
      </c>
      <c r="D709" s="4" t="s">
        <v>11</v>
      </c>
      <c r="E709" s="4" t="s">
        <v>9</v>
      </c>
      <c r="F709" s="4" t="s">
        <v>13</v>
      </c>
      <c r="G709" s="5">
        <v>2075.67</v>
      </c>
      <c r="H709" s="4">
        <f>--AND(OR(Dashboard!$A$10="All",A709=Dashboard!$A$10),OR(Dashboard!$A$14="All",D709=Dashboard!$A$14),OR(Dashboard!$A$18="All",E709=Dashboard!$A$18),OR(Dashboard!$A$22="All",F709=Dashboard!$A$22))</f>
        <v>1</v>
      </c>
    </row>
    <row r="710" spans="1:8" ht="15.75" customHeight="1">
      <c r="A710" s="4">
        <v>2025</v>
      </c>
      <c r="B710" s="4">
        <v>8</v>
      </c>
      <c r="C710" s="4" t="s">
        <v>67</v>
      </c>
      <c r="D710" s="4" t="s">
        <v>11</v>
      </c>
      <c r="E710" s="4" t="s">
        <v>12</v>
      </c>
      <c r="F710" s="4" t="s">
        <v>7</v>
      </c>
      <c r="G710" s="5">
        <v>7135.13</v>
      </c>
      <c r="H710" s="4">
        <f>--AND(OR(Dashboard!$A$10="All",A710=Dashboard!$A$10),OR(Dashboard!$A$14="All",D710=Dashboard!$A$14),OR(Dashboard!$A$18="All",E710=Dashboard!$A$18),OR(Dashboard!$A$22="All",F710=Dashboard!$A$22))</f>
        <v>1</v>
      </c>
    </row>
    <row r="711" spans="1:8" ht="15.75" customHeight="1">
      <c r="A711" s="4">
        <v>2025</v>
      </c>
      <c r="B711" s="4">
        <v>8</v>
      </c>
      <c r="C711" s="4" t="s">
        <v>67</v>
      </c>
      <c r="D711" s="4" t="s">
        <v>11</v>
      </c>
      <c r="E711" s="4" t="s">
        <v>12</v>
      </c>
      <c r="F711" s="4" t="s">
        <v>10</v>
      </c>
      <c r="G711" s="5">
        <v>4709.18</v>
      </c>
      <c r="H711" s="4">
        <f>--AND(OR(Dashboard!$A$10="All",A711=Dashboard!$A$10),OR(Dashboard!$A$14="All",D711=Dashboard!$A$14),OR(Dashboard!$A$18="All",E711=Dashboard!$A$18),OR(Dashboard!$A$22="All",F711=Dashboard!$A$22))</f>
        <v>1</v>
      </c>
    </row>
    <row r="712" spans="1:8" ht="15.75" customHeight="1">
      <c r="A712" s="4">
        <v>2025</v>
      </c>
      <c r="B712" s="4">
        <v>8</v>
      </c>
      <c r="C712" s="4" t="s">
        <v>67</v>
      </c>
      <c r="D712" s="4" t="s">
        <v>11</v>
      </c>
      <c r="E712" s="4" t="s">
        <v>12</v>
      </c>
      <c r="F712" s="4" t="s">
        <v>13</v>
      </c>
      <c r="G712" s="5">
        <v>2854.05</v>
      </c>
      <c r="H712" s="4">
        <f>--AND(OR(Dashboard!$A$10="All",A712=Dashboard!$A$10),OR(Dashboard!$A$14="All",D712=Dashboard!$A$14),OR(Dashboard!$A$18="All",E712=Dashboard!$A$18),OR(Dashboard!$A$22="All",F712=Dashboard!$A$22))</f>
        <v>1</v>
      </c>
    </row>
    <row r="713" spans="1:8" ht="15.75" customHeight="1">
      <c r="A713" s="4">
        <v>2025</v>
      </c>
      <c r="B713" s="4">
        <v>8</v>
      </c>
      <c r="C713" s="4" t="s">
        <v>67</v>
      </c>
      <c r="D713" s="4" t="s">
        <v>14</v>
      </c>
      <c r="E713" s="4" t="s">
        <v>6</v>
      </c>
      <c r="F713" s="4" t="s">
        <v>7</v>
      </c>
      <c r="G713" s="5">
        <v>5528.25</v>
      </c>
      <c r="H713" s="4">
        <f>--AND(OR(Dashboard!$A$10="All",A713=Dashboard!$A$10),OR(Dashboard!$A$14="All",D713=Dashboard!$A$14),OR(Dashboard!$A$18="All",E713=Dashboard!$A$18),OR(Dashboard!$A$22="All",F713=Dashboard!$A$22))</f>
        <v>1</v>
      </c>
    </row>
    <row r="714" spans="1:8" ht="15.75" customHeight="1">
      <c r="A714" s="4">
        <v>2025</v>
      </c>
      <c r="B714" s="4">
        <v>8</v>
      </c>
      <c r="C714" s="4" t="s">
        <v>67</v>
      </c>
      <c r="D714" s="4" t="s">
        <v>14</v>
      </c>
      <c r="E714" s="4" t="s">
        <v>6</v>
      </c>
      <c r="F714" s="4" t="s">
        <v>10</v>
      </c>
      <c r="G714" s="5">
        <v>3648.65</v>
      </c>
      <c r="H714" s="4">
        <f>--AND(OR(Dashboard!$A$10="All",A714=Dashboard!$A$10),OR(Dashboard!$A$14="All",D714=Dashboard!$A$14),OR(Dashboard!$A$18="All",E714=Dashboard!$A$18),OR(Dashboard!$A$22="All",F714=Dashboard!$A$22))</f>
        <v>1</v>
      </c>
    </row>
    <row r="715" spans="1:8" ht="15.75" customHeight="1">
      <c r="A715" s="4">
        <v>2025</v>
      </c>
      <c r="B715" s="4">
        <v>8</v>
      </c>
      <c r="C715" s="4" t="s">
        <v>67</v>
      </c>
      <c r="D715" s="4" t="s">
        <v>14</v>
      </c>
      <c r="E715" s="4" t="s">
        <v>6</v>
      </c>
      <c r="F715" s="4" t="s">
        <v>13</v>
      </c>
      <c r="G715" s="5">
        <v>2211.3000000000002</v>
      </c>
      <c r="H715" s="4">
        <f>--AND(OR(Dashboard!$A$10="All",A715=Dashboard!$A$10),OR(Dashboard!$A$14="All",D715=Dashboard!$A$14),OR(Dashboard!$A$18="All",E715=Dashboard!$A$18),OR(Dashboard!$A$22="All",F715=Dashboard!$A$22))</f>
        <v>1</v>
      </c>
    </row>
    <row r="716" spans="1:8" ht="15.75" customHeight="1">
      <c r="A716" s="4">
        <v>2025</v>
      </c>
      <c r="B716" s="4">
        <v>8</v>
      </c>
      <c r="C716" s="4" t="s">
        <v>67</v>
      </c>
      <c r="D716" s="4" t="s">
        <v>14</v>
      </c>
      <c r="E716" s="4" t="s">
        <v>9</v>
      </c>
      <c r="F716" s="4" t="s">
        <v>7</v>
      </c>
      <c r="G716" s="5">
        <v>3538.08</v>
      </c>
      <c r="H716" s="4">
        <f>--AND(OR(Dashboard!$A$10="All",A716=Dashboard!$A$10),OR(Dashboard!$A$14="All",D716=Dashboard!$A$14),OR(Dashboard!$A$18="All",E716=Dashboard!$A$18),OR(Dashboard!$A$22="All",F716=Dashboard!$A$22))</f>
        <v>1</v>
      </c>
    </row>
    <row r="717" spans="1:8" ht="15.75" customHeight="1">
      <c r="A717" s="4">
        <v>2025</v>
      </c>
      <c r="B717" s="4">
        <v>8</v>
      </c>
      <c r="C717" s="4" t="s">
        <v>67</v>
      </c>
      <c r="D717" s="4" t="s">
        <v>14</v>
      </c>
      <c r="E717" s="4" t="s">
        <v>9</v>
      </c>
      <c r="F717" s="4" t="s">
        <v>10</v>
      </c>
      <c r="G717" s="5">
        <v>2335.13</v>
      </c>
      <c r="H717" s="4">
        <f>--AND(OR(Dashboard!$A$10="All",A717=Dashboard!$A$10),OR(Dashboard!$A$14="All",D717=Dashboard!$A$14),OR(Dashboard!$A$18="All",E717=Dashboard!$A$18),OR(Dashboard!$A$22="All",F717=Dashboard!$A$22))</f>
        <v>1</v>
      </c>
    </row>
    <row r="718" spans="1:8" ht="15.75" customHeight="1">
      <c r="A718" s="4">
        <v>2025</v>
      </c>
      <c r="B718" s="4">
        <v>8</v>
      </c>
      <c r="C718" s="4" t="s">
        <v>67</v>
      </c>
      <c r="D718" s="4" t="s">
        <v>14</v>
      </c>
      <c r="E718" s="4" t="s">
        <v>9</v>
      </c>
      <c r="F718" s="4" t="s">
        <v>13</v>
      </c>
      <c r="G718" s="5">
        <v>1415.23</v>
      </c>
      <c r="H718" s="4">
        <f>--AND(OR(Dashboard!$A$10="All",A718=Dashboard!$A$10),OR(Dashboard!$A$14="All",D718=Dashboard!$A$14),OR(Dashboard!$A$18="All",E718=Dashboard!$A$18),OR(Dashboard!$A$22="All",F718=Dashboard!$A$22))</f>
        <v>1</v>
      </c>
    </row>
    <row r="719" spans="1:8" ht="15.75" customHeight="1">
      <c r="A719" s="4">
        <v>2025</v>
      </c>
      <c r="B719" s="4">
        <v>8</v>
      </c>
      <c r="C719" s="4" t="s">
        <v>67</v>
      </c>
      <c r="D719" s="4" t="s">
        <v>14</v>
      </c>
      <c r="E719" s="4" t="s">
        <v>12</v>
      </c>
      <c r="F719" s="4" t="s">
        <v>7</v>
      </c>
      <c r="G719" s="5">
        <v>4864.8599999999997</v>
      </c>
      <c r="H719" s="4">
        <f>--AND(OR(Dashboard!$A$10="All",A719=Dashboard!$A$10),OR(Dashboard!$A$14="All",D719=Dashboard!$A$14),OR(Dashboard!$A$18="All",E719=Dashboard!$A$18),OR(Dashboard!$A$22="All",F719=Dashboard!$A$22))</f>
        <v>1</v>
      </c>
    </row>
    <row r="720" spans="1:8" ht="15.75" customHeight="1">
      <c r="A720" s="4">
        <v>2025</v>
      </c>
      <c r="B720" s="4">
        <v>8</v>
      </c>
      <c r="C720" s="4" t="s">
        <v>67</v>
      </c>
      <c r="D720" s="4" t="s">
        <v>14</v>
      </c>
      <c r="E720" s="4" t="s">
        <v>12</v>
      </c>
      <c r="F720" s="4" t="s">
        <v>10</v>
      </c>
      <c r="G720" s="5">
        <v>3210.81</v>
      </c>
      <c r="H720" s="4">
        <f>--AND(OR(Dashboard!$A$10="All",A720=Dashboard!$A$10),OR(Dashboard!$A$14="All",D720=Dashboard!$A$14),OR(Dashboard!$A$18="All",E720=Dashboard!$A$18),OR(Dashboard!$A$22="All",F720=Dashboard!$A$22))</f>
        <v>1</v>
      </c>
    </row>
    <row r="721" spans="1:8" ht="15.75" customHeight="1">
      <c r="A721" s="4">
        <v>2025</v>
      </c>
      <c r="B721" s="4">
        <v>8</v>
      </c>
      <c r="C721" s="4" t="s">
        <v>67</v>
      </c>
      <c r="D721" s="4" t="s">
        <v>14</v>
      </c>
      <c r="E721" s="4" t="s">
        <v>12</v>
      </c>
      <c r="F721" s="4" t="s">
        <v>13</v>
      </c>
      <c r="G721" s="5">
        <v>1945.94</v>
      </c>
      <c r="H721" s="4">
        <f>--AND(OR(Dashboard!$A$10="All",A721=Dashboard!$A$10),OR(Dashboard!$A$14="All",D721=Dashboard!$A$14),OR(Dashboard!$A$18="All",E721=Dashboard!$A$18),OR(Dashboard!$A$22="All",F721=Dashboard!$A$22))</f>
        <v>1</v>
      </c>
    </row>
    <row r="722" spans="1:8" ht="15.75" customHeight="1">
      <c r="A722" s="4">
        <v>2025</v>
      </c>
      <c r="B722" s="4">
        <v>9</v>
      </c>
      <c r="C722" s="4" t="s">
        <v>79</v>
      </c>
      <c r="D722" s="4" t="s">
        <v>5</v>
      </c>
      <c r="E722" s="4" t="s">
        <v>6</v>
      </c>
      <c r="F722" s="4" t="s">
        <v>7</v>
      </c>
      <c r="G722" s="5">
        <v>17062.5</v>
      </c>
      <c r="H722" s="4">
        <f>--AND(OR(Dashboard!$A$10="All",A722=Dashboard!$A$10),OR(Dashboard!$A$14="All",D722=Dashboard!$A$14),OR(Dashboard!$A$18="All",E722=Dashboard!$A$18),OR(Dashboard!$A$22="All",F722=Dashboard!$A$22))</f>
        <v>1</v>
      </c>
    </row>
    <row r="723" spans="1:8" ht="15.75" customHeight="1">
      <c r="A723" s="4">
        <v>2025</v>
      </c>
      <c r="B723" s="4">
        <v>9</v>
      </c>
      <c r="C723" s="4" t="s">
        <v>79</v>
      </c>
      <c r="D723" s="4" t="s">
        <v>5</v>
      </c>
      <c r="E723" s="4" t="s">
        <v>6</v>
      </c>
      <c r="F723" s="4" t="s">
        <v>10</v>
      </c>
      <c r="G723" s="5">
        <v>11261.25</v>
      </c>
      <c r="H723" s="4">
        <f>--AND(OR(Dashboard!$A$10="All",A723=Dashboard!$A$10),OR(Dashboard!$A$14="All",D723=Dashboard!$A$14),OR(Dashboard!$A$18="All",E723=Dashboard!$A$18),OR(Dashboard!$A$22="All",F723=Dashboard!$A$22))</f>
        <v>1</v>
      </c>
    </row>
    <row r="724" spans="1:8" ht="15.75" customHeight="1">
      <c r="A724" s="4">
        <v>2025</v>
      </c>
      <c r="B724" s="4">
        <v>9</v>
      </c>
      <c r="C724" s="4" t="s">
        <v>79</v>
      </c>
      <c r="D724" s="4" t="s">
        <v>5</v>
      </c>
      <c r="E724" s="4" t="s">
        <v>6</v>
      </c>
      <c r="F724" s="4" t="s">
        <v>13</v>
      </c>
      <c r="G724" s="5">
        <v>6825</v>
      </c>
      <c r="H724" s="4">
        <f>--AND(OR(Dashboard!$A$10="All",A724=Dashboard!$A$10),OR(Dashboard!$A$14="All",D724=Dashboard!$A$14),OR(Dashboard!$A$18="All",E724=Dashboard!$A$18),OR(Dashboard!$A$22="All",F724=Dashboard!$A$22))</f>
        <v>1</v>
      </c>
    </row>
    <row r="725" spans="1:8" ht="15.75" customHeight="1">
      <c r="A725" s="4">
        <v>2025</v>
      </c>
      <c r="B725" s="4">
        <v>9</v>
      </c>
      <c r="C725" s="4" t="s">
        <v>79</v>
      </c>
      <c r="D725" s="4" t="s">
        <v>5</v>
      </c>
      <c r="E725" s="4" t="s">
        <v>9</v>
      </c>
      <c r="F725" s="4" t="s">
        <v>7</v>
      </c>
      <c r="G725" s="5">
        <v>10920</v>
      </c>
      <c r="H725" s="4">
        <f>--AND(OR(Dashboard!$A$10="All",A725=Dashboard!$A$10),OR(Dashboard!$A$14="All",D725=Dashboard!$A$14),OR(Dashboard!$A$18="All",E725=Dashboard!$A$18),OR(Dashboard!$A$22="All",F725=Dashboard!$A$22))</f>
        <v>1</v>
      </c>
    </row>
    <row r="726" spans="1:8" ht="15.75" customHeight="1">
      <c r="A726" s="4">
        <v>2025</v>
      </c>
      <c r="B726" s="4">
        <v>9</v>
      </c>
      <c r="C726" s="4" t="s">
        <v>79</v>
      </c>
      <c r="D726" s="4" t="s">
        <v>5</v>
      </c>
      <c r="E726" s="4" t="s">
        <v>9</v>
      </c>
      <c r="F726" s="4" t="s">
        <v>10</v>
      </c>
      <c r="G726" s="5">
        <v>7207.2</v>
      </c>
      <c r="H726" s="4">
        <f>--AND(OR(Dashboard!$A$10="All",A726=Dashboard!$A$10),OR(Dashboard!$A$14="All",D726=Dashboard!$A$14),OR(Dashboard!$A$18="All",E726=Dashboard!$A$18),OR(Dashboard!$A$22="All",F726=Dashboard!$A$22))</f>
        <v>1</v>
      </c>
    </row>
    <row r="727" spans="1:8" ht="15.75" customHeight="1">
      <c r="A727" s="4">
        <v>2025</v>
      </c>
      <c r="B727" s="4">
        <v>9</v>
      </c>
      <c r="C727" s="4" t="s">
        <v>79</v>
      </c>
      <c r="D727" s="4" t="s">
        <v>5</v>
      </c>
      <c r="E727" s="4" t="s">
        <v>9</v>
      </c>
      <c r="F727" s="4" t="s">
        <v>13</v>
      </c>
      <c r="G727" s="5">
        <v>4368</v>
      </c>
      <c r="H727" s="4">
        <f>--AND(OR(Dashboard!$A$10="All",A727=Dashboard!$A$10),OR(Dashboard!$A$14="All",D727=Dashboard!$A$14),OR(Dashboard!$A$18="All",E727=Dashboard!$A$18),OR(Dashboard!$A$22="All",F727=Dashboard!$A$22))</f>
        <v>1</v>
      </c>
    </row>
    <row r="728" spans="1:8" ht="15.75" customHeight="1">
      <c r="A728" s="4">
        <v>2025</v>
      </c>
      <c r="B728" s="4">
        <v>9</v>
      </c>
      <c r="C728" s="4" t="s">
        <v>79</v>
      </c>
      <c r="D728" s="4" t="s">
        <v>5</v>
      </c>
      <c r="E728" s="4" t="s">
        <v>12</v>
      </c>
      <c r="F728" s="4" t="s">
        <v>7</v>
      </c>
      <c r="G728" s="5">
        <v>15015</v>
      </c>
      <c r="H728" s="4">
        <f>--AND(OR(Dashboard!$A$10="All",A728=Dashboard!$A$10),OR(Dashboard!$A$14="All",D728=Dashboard!$A$14),OR(Dashboard!$A$18="All",E728=Dashboard!$A$18),OR(Dashboard!$A$22="All",F728=Dashboard!$A$22))</f>
        <v>1</v>
      </c>
    </row>
    <row r="729" spans="1:8" ht="15.75" customHeight="1">
      <c r="A729" s="4">
        <v>2025</v>
      </c>
      <c r="B729" s="4">
        <v>9</v>
      </c>
      <c r="C729" s="4" t="s">
        <v>79</v>
      </c>
      <c r="D729" s="4" t="s">
        <v>5</v>
      </c>
      <c r="E729" s="4" t="s">
        <v>12</v>
      </c>
      <c r="F729" s="4" t="s">
        <v>10</v>
      </c>
      <c r="G729" s="5">
        <v>9909.9</v>
      </c>
      <c r="H729" s="4">
        <f>--AND(OR(Dashboard!$A$10="All",A729=Dashboard!$A$10),OR(Dashboard!$A$14="All",D729=Dashboard!$A$14),OR(Dashboard!$A$18="All",E729=Dashboard!$A$18),OR(Dashboard!$A$22="All",F729=Dashboard!$A$22))</f>
        <v>1</v>
      </c>
    </row>
    <row r="730" spans="1:8" ht="15.75" customHeight="1">
      <c r="A730" s="4">
        <v>2025</v>
      </c>
      <c r="B730" s="4">
        <v>9</v>
      </c>
      <c r="C730" s="4" t="s">
        <v>79</v>
      </c>
      <c r="D730" s="4" t="s">
        <v>5</v>
      </c>
      <c r="E730" s="4" t="s">
        <v>12</v>
      </c>
      <c r="F730" s="4" t="s">
        <v>13</v>
      </c>
      <c r="G730" s="5">
        <v>6006</v>
      </c>
      <c r="H730" s="4">
        <f>--AND(OR(Dashboard!$A$10="All",A730=Dashboard!$A$10),OR(Dashboard!$A$14="All",D730=Dashboard!$A$14),OR(Dashboard!$A$18="All",E730=Dashboard!$A$18),OR(Dashboard!$A$22="All",F730=Dashboard!$A$22))</f>
        <v>1</v>
      </c>
    </row>
    <row r="731" spans="1:8" ht="15.75" customHeight="1">
      <c r="A731" s="4">
        <v>2025</v>
      </c>
      <c r="B731" s="4">
        <v>9</v>
      </c>
      <c r="C731" s="4" t="s">
        <v>79</v>
      </c>
      <c r="D731" s="4" t="s">
        <v>8</v>
      </c>
      <c r="E731" s="4" t="s">
        <v>6</v>
      </c>
      <c r="F731" s="4" t="s">
        <v>7</v>
      </c>
      <c r="G731" s="5">
        <v>10578.75</v>
      </c>
      <c r="H731" s="4">
        <f>--AND(OR(Dashboard!$A$10="All",A731=Dashboard!$A$10),OR(Dashboard!$A$14="All",D731=Dashboard!$A$14),OR(Dashboard!$A$18="All",E731=Dashboard!$A$18),OR(Dashboard!$A$22="All",F731=Dashboard!$A$22))</f>
        <v>1</v>
      </c>
    </row>
    <row r="732" spans="1:8" ht="15.75" customHeight="1">
      <c r="A732" s="4">
        <v>2025</v>
      </c>
      <c r="B732" s="4">
        <v>9</v>
      </c>
      <c r="C732" s="4" t="s">
        <v>79</v>
      </c>
      <c r="D732" s="4" t="s">
        <v>8</v>
      </c>
      <c r="E732" s="4" t="s">
        <v>6</v>
      </c>
      <c r="F732" s="4" t="s">
        <v>10</v>
      </c>
      <c r="G732" s="5">
        <v>6981.98</v>
      </c>
      <c r="H732" s="4">
        <f>--AND(OR(Dashboard!$A$10="All",A732=Dashboard!$A$10),OR(Dashboard!$A$14="All",D732=Dashboard!$A$14),OR(Dashboard!$A$18="All",E732=Dashboard!$A$18),OR(Dashboard!$A$22="All",F732=Dashboard!$A$22))</f>
        <v>1</v>
      </c>
    </row>
    <row r="733" spans="1:8" ht="15.75" customHeight="1">
      <c r="A733" s="4">
        <v>2025</v>
      </c>
      <c r="B733" s="4">
        <v>9</v>
      </c>
      <c r="C733" s="4" t="s">
        <v>79</v>
      </c>
      <c r="D733" s="4" t="s">
        <v>8</v>
      </c>
      <c r="E733" s="4" t="s">
        <v>6</v>
      </c>
      <c r="F733" s="4" t="s">
        <v>13</v>
      </c>
      <c r="G733" s="5">
        <v>4231.5</v>
      </c>
      <c r="H733" s="4">
        <f>--AND(OR(Dashboard!$A$10="All",A733=Dashboard!$A$10),OR(Dashboard!$A$14="All",D733=Dashboard!$A$14),OR(Dashboard!$A$18="All",E733=Dashboard!$A$18),OR(Dashboard!$A$22="All",F733=Dashboard!$A$22))</f>
        <v>1</v>
      </c>
    </row>
    <row r="734" spans="1:8" ht="15.75" customHeight="1">
      <c r="A734" s="4">
        <v>2025</v>
      </c>
      <c r="B734" s="4">
        <v>9</v>
      </c>
      <c r="C734" s="4" t="s">
        <v>79</v>
      </c>
      <c r="D734" s="4" t="s">
        <v>8</v>
      </c>
      <c r="E734" s="4" t="s">
        <v>9</v>
      </c>
      <c r="F734" s="4" t="s">
        <v>7</v>
      </c>
      <c r="G734" s="5">
        <v>6770.4</v>
      </c>
      <c r="H734" s="4">
        <f>--AND(OR(Dashboard!$A$10="All",A734=Dashboard!$A$10),OR(Dashboard!$A$14="All",D734=Dashboard!$A$14),OR(Dashboard!$A$18="All",E734=Dashboard!$A$18),OR(Dashboard!$A$22="All",F734=Dashboard!$A$22))</f>
        <v>1</v>
      </c>
    </row>
    <row r="735" spans="1:8" ht="15.75" customHeight="1">
      <c r="A735" s="4">
        <v>2025</v>
      </c>
      <c r="B735" s="4">
        <v>9</v>
      </c>
      <c r="C735" s="4" t="s">
        <v>79</v>
      </c>
      <c r="D735" s="4" t="s">
        <v>8</v>
      </c>
      <c r="E735" s="4" t="s">
        <v>9</v>
      </c>
      <c r="F735" s="4" t="s">
        <v>10</v>
      </c>
      <c r="G735" s="5">
        <v>4468.46</v>
      </c>
      <c r="H735" s="4">
        <f>--AND(OR(Dashboard!$A$10="All",A735=Dashboard!$A$10),OR(Dashboard!$A$14="All",D735=Dashboard!$A$14),OR(Dashboard!$A$18="All",E735=Dashboard!$A$18),OR(Dashboard!$A$22="All",F735=Dashboard!$A$22))</f>
        <v>1</v>
      </c>
    </row>
    <row r="736" spans="1:8" ht="15.75" customHeight="1">
      <c r="A736" s="4">
        <v>2025</v>
      </c>
      <c r="B736" s="4">
        <v>9</v>
      </c>
      <c r="C736" s="4" t="s">
        <v>79</v>
      </c>
      <c r="D736" s="4" t="s">
        <v>8</v>
      </c>
      <c r="E736" s="4" t="s">
        <v>9</v>
      </c>
      <c r="F736" s="4" t="s">
        <v>13</v>
      </c>
      <c r="G736" s="5">
        <v>2708.16</v>
      </c>
      <c r="H736" s="4">
        <f>--AND(OR(Dashboard!$A$10="All",A736=Dashboard!$A$10),OR(Dashboard!$A$14="All",D736=Dashboard!$A$14),OR(Dashboard!$A$18="All",E736=Dashboard!$A$18),OR(Dashboard!$A$22="All",F736=Dashboard!$A$22))</f>
        <v>1</v>
      </c>
    </row>
    <row r="737" spans="1:8" ht="15.75" customHeight="1">
      <c r="A737" s="4">
        <v>2025</v>
      </c>
      <c r="B737" s="4">
        <v>9</v>
      </c>
      <c r="C737" s="4" t="s">
        <v>79</v>
      </c>
      <c r="D737" s="4" t="s">
        <v>8</v>
      </c>
      <c r="E737" s="4" t="s">
        <v>12</v>
      </c>
      <c r="F737" s="4" t="s">
        <v>7</v>
      </c>
      <c r="G737" s="5">
        <v>9309.2999999999993</v>
      </c>
      <c r="H737" s="4">
        <f>--AND(OR(Dashboard!$A$10="All",A737=Dashboard!$A$10),OR(Dashboard!$A$14="All",D737=Dashboard!$A$14),OR(Dashboard!$A$18="All",E737=Dashboard!$A$18),OR(Dashboard!$A$22="All",F737=Dashboard!$A$22))</f>
        <v>1</v>
      </c>
    </row>
    <row r="738" spans="1:8" ht="15.75" customHeight="1">
      <c r="A738" s="4">
        <v>2025</v>
      </c>
      <c r="B738" s="4">
        <v>9</v>
      </c>
      <c r="C738" s="4" t="s">
        <v>79</v>
      </c>
      <c r="D738" s="4" t="s">
        <v>8</v>
      </c>
      <c r="E738" s="4" t="s">
        <v>12</v>
      </c>
      <c r="F738" s="4" t="s">
        <v>10</v>
      </c>
      <c r="G738" s="5">
        <v>6144.14</v>
      </c>
      <c r="H738" s="4">
        <f>--AND(OR(Dashboard!$A$10="All",A738=Dashboard!$A$10),OR(Dashboard!$A$14="All",D738=Dashboard!$A$14),OR(Dashboard!$A$18="All",E738=Dashboard!$A$18),OR(Dashboard!$A$22="All",F738=Dashboard!$A$22))</f>
        <v>1</v>
      </c>
    </row>
    <row r="739" spans="1:8" ht="15.75" customHeight="1">
      <c r="A739" s="4">
        <v>2025</v>
      </c>
      <c r="B739" s="4">
        <v>9</v>
      </c>
      <c r="C739" s="4" t="s">
        <v>79</v>
      </c>
      <c r="D739" s="4" t="s">
        <v>8</v>
      </c>
      <c r="E739" s="4" t="s">
        <v>12</v>
      </c>
      <c r="F739" s="4" t="s">
        <v>13</v>
      </c>
      <c r="G739" s="5">
        <v>3723.72</v>
      </c>
      <c r="H739" s="4">
        <f>--AND(OR(Dashboard!$A$10="All",A739=Dashboard!$A$10),OR(Dashboard!$A$14="All",D739=Dashboard!$A$14),OR(Dashboard!$A$18="All",E739=Dashboard!$A$18),OR(Dashboard!$A$22="All",F739=Dashboard!$A$22))</f>
        <v>1</v>
      </c>
    </row>
    <row r="740" spans="1:8" ht="15.75" customHeight="1">
      <c r="A740" s="4">
        <v>2025</v>
      </c>
      <c r="B740" s="4">
        <v>9</v>
      </c>
      <c r="C740" s="4" t="s">
        <v>79</v>
      </c>
      <c r="D740" s="4" t="s">
        <v>11</v>
      </c>
      <c r="E740" s="4" t="s">
        <v>6</v>
      </c>
      <c r="F740" s="4" t="s">
        <v>7</v>
      </c>
      <c r="G740" s="5">
        <v>7507.5</v>
      </c>
      <c r="H740" s="4">
        <f>--AND(OR(Dashboard!$A$10="All",A740=Dashboard!$A$10),OR(Dashboard!$A$14="All",D740=Dashboard!$A$14),OR(Dashboard!$A$18="All",E740=Dashboard!$A$18),OR(Dashboard!$A$22="All",F740=Dashboard!$A$22))</f>
        <v>1</v>
      </c>
    </row>
    <row r="741" spans="1:8" ht="15.75" customHeight="1">
      <c r="A741" s="4">
        <v>2025</v>
      </c>
      <c r="B741" s="4">
        <v>9</v>
      </c>
      <c r="C741" s="4" t="s">
        <v>79</v>
      </c>
      <c r="D741" s="4" t="s">
        <v>11</v>
      </c>
      <c r="E741" s="4" t="s">
        <v>6</v>
      </c>
      <c r="F741" s="4" t="s">
        <v>10</v>
      </c>
      <c r="G741" s="5">
        <v>4954.95</v>
      </c>
      <c r="H741" s="4">
        <f>--AND(OR(Dashboard!$A$10="All",A741=Dashboard!$A$10),OR(Dashboard!$A$14="All",D741=Dashboard!$A$14),OR(Dashboard!$A$18="All",E741=Dashboard!$A$18),OR(Dashboard!$A$22="All",F741=Dashboard!$A$22))</f>
        <v>1</v>
      </c>
    </row>
    <row r="742" spans="1:8" ht="15.75" customHeight="1">
      <c r="A742" s="4">
        <v>2025</v>
      </c>
      <c r="B742" s="4">
        <v>9</v>
      </c>
      <c r="C742" s="4" t="s">
        <v>79</v>
      </c>
      <c r="D742" s="4" t="s">
        <v>11</v>
      </c>
      <c r="E742" s="4" t="s">
        <v>6</v>
      </c>
      <c r="F742" s="4" t="s">
        <v>13</v>
      </c>
      <c r="G742" s="5">
        <v>3003</v>
      </c>
      <c r="H742" s="4">
        <f>--AND(OR(Dashboard!$A$10="All",A742=Dashboard!$A$10),OR(Dashboard!$A$14="All",D742=Dashboard!$A$14),OR(Dashboard!$A$18="All",E742=Dashboard!$A$18),OR(Dashboard!$A$22="All",F742=Dashboard!$A$22))</f>
        <v>1</v>
      </c>
    </row>
    <row r="743" spans="1:8" ht="15.75" customHeight="1">
      <c r="A743" s="4">
        <v>2025</v>
      </c>
      <c r="B743" s="4">
        <v>9</v>
      </c>
      <c r="C743" s="4" t="s">
        <v>79</v>
      </c>
      <c r="D743" s="4" t="s">
        <v>11</v>
      </c>
      <c r="E743" s="4" t="s">
        <v>9</v>
      </c>
      <c r="F743" s="4" t="s">
        <v>7</v>
      </c>
      <c r="G743" s="5">
        <v>4804.8</v>
      </c>
      <c r="H743" s="4">
        <f>--AND(OR(Dashboard!$A$10="All",A743=Dashboard!$A$10),OR(Dashboard!$A$14="All",D743=Dashboard!$A$14),OR(Dashboard!$A$18="All",E743=Dashboard!$A$18),OR(Dashboard!$A$22="All",F743=Dashboard!$A$22))</f>
        <v>1</v>
      </c>
    </row>
    <row r="744" spans="1:8" ht="15.75" customHeight="1">
      <c r="A744" s="4">
        <v>2025</v>
      </c>
      <c r="B744" s="4">
        <v>9</v>
      </c>
      <c r="C744" s="4" t="s">
        <v>79</v>
      </c>
      <c r="D744" s="4" t="s">
        <v>11</v>
      </c>
      <c r="E744" s="4" t="s">
        <v>9</v>
      </c>
      <c r="F744" s="4" t="s">
        <v>10</v>
      </c>
      <c r="G744" s="5">
        <v>3171.17</v>
      </c>
      <c r="H744" s="4">
        <f>--AND(OR(Dashboard!$A$10="All",A744=Dashboard!$A$10),OR(Dashboard!$A$14="All",D744=Dashboard!$A$14),OR(Dashboard!$A$18="All",E744=Dashboard!$A$18),OR(Dashboard!$A$22="All",F744=Dashboard!$A$22))</f>
        <v>1</v>
      </c>
    </row>
    <row r="745" spans="1:8" ht="15.75" customHeight="1">
      <c r="A745" s="4">
        <v>2025</v>
      </c>
      <c r="B745" s="4">
        <v>9</v>
      </c>
      <c r="C745" s="4" t="s">
        <v>79</v>
      </c>
      <c r="D745" s="4" t="s">
        <v>11</v>
      </c>
      <c r="E745" s="4" t="s">
        <v>9</v>
      </c>
      <c r="F745" s="4" t="s">
        <v>13</v>
      </c>
      <c r="G745" s="5">
        <v>1921.92</v>
      </c>
      <c r="H745" s="4">
        <f>--AND(OR(Dashboard!$A$10="All",A745=Dashboard!$A$10),OR(Dashboard!$A$14="All",D745=Dashboard!$A$14),OR(Dashboard!$A$18="All",E745=Dashboard!$A$18),OR(Dashboard!$A$22="All",F745=Dashboard!$A$22))</f>
        <v>1</v>
      </c>
    </row>
    <row r="746" spans="1:8" ht="15.75" customHeight="1">
      <c r="A746" s="4">
        <v>2025</v>
      </c>
      <c r="B746" s="4">
        <v>9</v>
      </c>
      <c r="C746" s="4" t="s">
        <v>79</v>
      </c>
      <c r="D746" s="4" t="s">
        <v>11</v>
      </c>
      <c r="E746" s="4" t="s">
        <v>12</v>
      </c>
      <c r="F746" s="4" t="s">
        <v>7</v>
      </c>
      <c r="G746" s="5">
        <v>6606.6</v>
      </c>
      <c r="H746" s="4">
        <f>--AND(OR(Dashboard!$A$10="All",A746=Dashboard!$A$10),OR(Dashboard!$A$14="All",D746=Dashboard!$A$14),OR(Dashboard!$A$18="All",E746=Dashboard!$A$18),OR(Dashboard!$A$22="All",F746=Dashboard!$A$22))</f>
        <v>1</v>
      </c>
    </row>
    <row r="747" spans="1:8" ht="15.75" customHeight="1">
      <c r="A747" s="4">
        <v>2025</v>
      </c>
      <c r="B747" s="4">
        <v>9</v>
      </c>
      <c r="C747" s="4" t="s">
        <v>79</v>
      </c>
      <c r="D747" s="4" t="s">
        <v>11</v>
      </c>
      <c r="E747" s="4" t="s">
        <v>12</v>
      </c>
      <c r="F747" s="4" t="s">
        <v>10</v>
      </c>
      <c r="G747" s="5">
        <v>4360.3599999999997</v>
      </c>
      <c r="H747" s="4">
        <f>--AND(OR(Dashboard!$A$10="All",A747=Dashboard!$A$10),OR(Dashboard!$A$14="All",D747=Dashboard!$A$14),OR(Dashboard!$A$18="All",E747=Dashboard!$A$18),OR(Dashboard!$A$22="All",F747=Dashboard!$A$22))</f>
        <v>1</v>
      </c>
    </row>
    <row r="748" spans="1:8" ht="15.75" customHeight="1">
      <c r="A748" s="4">
        <v>2025</v>
      </c>
      <c r="B748" s="4">
        <v>9</v>
      </c>
      <c r="C748" s="4" t="s">
        <v>79</v>
      </c>
      <c r="D748" s="4" t="s">
        <v>11</v>
      </c>
      <c r="E748" s="4" t="s">
        <v>12</v>
      </c>
      <c r="F748" s="4" t="s">
        <v>13</v>
      </c>
      <c r="G748" s="5">
        <v>2642.64</v>
      </c>
      <c r="H748" s="4">
        <f>--AND(OR(Dashboard!$A$10="All",A748=Dashboard!$A$10),OR(Dashboard!$A$14="All",D748=Dashboard!$A$14),OR(Dashboard!$A$18="All",E748=Dashboard!$A$18),OR(Dashboard!$A$22="All",F748=Dashboard!$A$22))</f>
        <v>1</v>
      </c>
    </row>
    <row r="749" spans="1:8" ht="15.75" customHeight="1">
      <c r="A749" s="4">
        <v>2025</v>
      </c>
      <c r="B749" s="4">
        <v>9</v>
      </c>
      <c r="C749" s="4" t="s">
        <v>79</v>
      </c>
      <c r="D749" s="4" t="s">
        <v>14</v>
      </c>
      <c r="E749" s="4" t="s">
        <v>6</v>
      </c>
      <c r="F749" s="4" t="s">
        <v>7</v>
      </c>
      <c r="G749" s="5">
        <v>5118.75</v>
      </c>
      <c r="H749" s="4">
        <f>--AND(OR(Dashboard!$A$10="All",A749=Dashboard!$A$10),OR(Dashboard!$A$14="All",D749=Dashboard!$A$14),OR(Dashboard!$A$18="All",E749=Dashboard!$A$18),OR(Dashboard!$A$22="All",F749=Dashboard!$A$22))</f>
        <v>1</v>
      </c>
    </row>
    <row r="750" spans="1:8" ht="15.75" customHeight="1">
      <c r="A750" s="4">
        <v>2025</v>
      </c>
      <c r="B750" s="4">
        <v>9</v>
      </c>
      <c r="C750" s="4" t="s">
        <v>79</v>
      </c>
      <c r="D750" s="4" t="s">
        <v>14</v>
      </c>
      <c r="E750" s="4" t="s">
        <v>6</v>
      </c>
      <c r="F750" s="4" t="s">
        <v>10</v>
      </c>
      <c r="G750" s="5">
        <v>3378.38</v>
      </c>
      <c r="H750" s="4">
        <f>--AND(OR(Dashboard!$A$10="All",A750=Dashboard!$A$10),OR(Dashboard!$A$14="All",D750=Dashboard!$A$14),OR(Dashboard!$A$18="All",E750=Dashboard!$A$18),OR(Dashboard!$A$22="All",F750=Dashboard!$A$22))</f>
        <v>1</v>
      </c>
    </row>
    <row r="751" spans="1:8" ht="15.75" customHeight="1">
      <c r="A751" s="4">
        <v>2025</v>
      </c>
      <c r="B751" s="4">
        <v>9</v>
      </c>
      <c r="C751" s="4" t="s">
        <v>79</v>
      </c>
      <c r="D751" s="4" t="s">
        <v>14</v>
      </c>
      <c r="E751" s="4" t="s">
        <v>6</v>
      </c>
      <c r="F751" s="4" t="s">
        <v>13</v>
      </c>
      <c r="G751" s="5">
        <v>2047.5</v>
      </c>
      <c r="H751" s="4">
        <f>--AND(OR(Dashboard!$A$10="All",A751=Dashboard!$A$10),OR(Dashboard!$A$14="All",D751=Dashboard!$A$14),OR(Dashboard!$A$18="All",E751=Dashboard!$A$18),OR(Dashboard!$A$22="All",F751=Dashboard!$A$22))</f>
        <v>1</v>
      </c>
    </row>
    <row r="752" spans="1:8" ht="15.75" customHeight="1">
      <c r="A752" s="4">
        <v>2025</v>
      </c>
      <c r="B752" s="4">
        <v>9</v>
      </c>
      <c r="C752" s="4" t="s">
        <v>79</v>
      </c>
      <c r="D752" s="4" t="s">
        <v>14</v>
      </c>
      <c r="E752" s="4" t="s">
        <v>9</v>
      </c>
      <c r="F752" s="4" t="s">
        <v>7</v>
      </c>
      <c r="G752" s="5">
        <v>3276</v>
      </c>
      <c r="H752" s="4">
        <f>--AND(OR(Dashboard!$A$10="All",A752=Dashboard!$A$10),OR(Dashboard!$A$14="All",D752=Dashboard!$A$14),OR(Dashboard!$A$18="All",E752=Dashboard!$A$18),OR(Dashboard!$A$22="All",F752=Dashboard!$A$22))</f>
        <v>1</v>
      </c>
    </row>
    <row r="753" spans="1:8" ht="15.75" customHeight="1">
      <c r="A753" s="4">
        <v>2025</v>
      </c>
      <c r="B753" s="4">
        <v>9</v>
      </c>
      <c r="C753" s="4" t="s">
        <v>79</v>
      </c>
      <c r="D753" s="4" t="s">
        <v>14</v>
      </c>
      <c r="E753" s="4" t="s">
        <v>9</v>
      </c>
      <c r="F753" s="4" t="s">
        <v>10</v>
      </c>
      <c r="G753" s="5">
        <v>2162.16</v>
      </c>
      <c r="H753" s="4">
        <f>--AND(OR(Dashboard!$A$10="All",A753=Dashboard!$A$10),OR(Dashboard!$A$14="All",D753=Dashboard!$A$14),OR(Dashboard!$A$18="All",E753=Dashboard!$A$18),OR(Dashboard!$A$22="All",F753=Dashboard!$A$22))</f>
        <v>1</v>
      </c>
    </row>
    <row r="754" spans="1:8" ht="15.75" customHeight="1">
      <c r="A754" s="4">
        <v>2025</v>
      </c>
      <c r="B754" s="4">
        <v>9</v>
      </c>
      <c r="C754" s="4" t="s">
        <v>79</v>
      </c>
      <c r="D754" s="4" t="s">
        <v>14</v>
      </c>
      <c r="E754" s="4" t="s">
        <v>9</v>
      </c>
      <c r="F754" s="4" t="s">
        <v>13</v>
      </c>
      <c r="G754" s="5">
        <v>1310.4000000000001</v>
      </c>
      <c r="H754" s="4">
        <f>--AND(OR(Dashboard!$A$10="All",A754=Dashboard!$A$10),OR(Dashboard!$A$14="All",D754=Dashboard!$A$14),OR(Dashboard!$A$18="All",E754=Dashboard!$A$18),OR(Dashboard!$A$22="All",F754=Dashboard!$A$22))</f>
        <v>1</v>
      </c>
    </row>
    <row r="755" spans="1:8" ht="15.75" customHeight="1">
      <c r="A755" s="4">
        <v>2025</v>
      </c>
      <c r="B755" s="4">
        <v>9</v>
      </c>
      <c r="C755" s="4" t="s">
        <v>79</v>
      </c>
      <c r="D755" s="4" t="s">
        <v>14</v>
      </c>
      <c r="E755" s="4" t="s">
        <v>12</v>
      </c>
      <c r="F755" s="4" t="s">
        <v>7</v>
      </c>
      <c r="G755" s="5">
        <v>4504.5</v>
      </c>
      <c r="H755" s="4">
        <f>--AND(OR(Dashboard!$A$10="All",A755=Dashboard!$A$10),OR(Dashboard!$A$14="All",D755=Dashboard!$A$14),OR(Dashboard!$A$18="All",E755=Dashboard!$A$18),OR(Dashboard!$A$22="All",F755=Dashboard!$A$22))</f>
        <v>1</v>
      </c>
    </row>
    <row r="756" spans="1:8" ht="15.75" customHeight="1">
      <c r="A756" s="4">
        <v>2025</v>
      </c>
      <c r="B756" s="4">
        <v>9</v>
      </c>
      <c r="C756" s="4" t="s">
        <v>79</v>
      </c>
      <c r="D756" s="4" t="s">
        <v>14</v>
      </c>
      <c r="E756" s="4" t="s">
        <v>12</v>
      </c>
      <c r="F756" s="4" t="s">
        <v>10</v>
      </c>
      <c r="G756" s="5">
        <v>2972.97</v>
      </c>
      <c r="H756" s="4">
        <f>--AND(OR(Dashboard!$A$10="All",A756=Dashboard!$A$10),OR(Dashboard!$A$14="All",D756=Dashboard!$A$14),OR(Dashboard!$A$18="All",E756=Dashboard!$A$18),OR(Dashboard!$A$22="All",F756=Dashboard!$A$22))</f>
        <v>1</v>
      </c>
    </row>
    <row r="757" spans="1:8" ht="15.75" customHeight="1">
      <c r="A757" s="4">
        <v>2025</v>
      </c>
      <c r="B757" s="4">
        <v>9</v>
      </c>
      <c r="C757" s="4" t="s">
        <v>79</v>
      </c>
      <c r="D757" s="4" t="s">
        <v>14</v>
      </c>
      <c r="E757" s="4" t="s">
        <v>12</v>
      </c>
      <c r="F757" s="4" t="s">
        <v>13</v>
      </c>
      <c r="G757" s="5">
        <v>1801.8</v>
      </c>
      <c r="H757" s="4">
        <f>--AND(OR(Dashboard!$A$10="All",A757=Dashboard!$A$10),OR(Dashboard!$A$14="All",D757=Dashboard!$A$14),OR(Dashboard!$A$18="All",E757=Dashboard!$A$18),OR(Dashboard!$A$22="All",F757=Dashboard!$A$22))</f>
        <v>1</v>
      </c>
    </row>
    <row r="758" spans="1:8" ht="15.75" customHeight="1">
      <c r="A758" s="4">
        <v>2025</v>
      </c>
      <c r="B758" s="4">
        <v>10</v>
      </c>
      <c r="C758" s="4" t="s">
        <v>120</v>
      </c>
      <c r="D758" s="4" t="s">
        <v>5</v>
      </c>
      <c r="E758" s="4" t="s">
        <v>6</v>
      </c>
      <c r="F758" s="4" t="s">
        <v>7</v>
      </c>
      <c r="G758" s="5">
        <v>17062.5</v>
      </c>
      <c r="H758" s="4">
        <f>--AND(OR(Dashboard!$A$10="All",A758=Dashboard!$A$10),OR(Dashboard!$A$14="All",D758=Dashboard!$A$14),OR(Dashboard!$A$18="All",E758=Dashboard!$A$18),OR(Dashboard!$A$22="All",F758=Dashboard!$A$22))</f>
        <v>1</v>
      </c>
    </row>
    <row r="759" spans="1:8" ht="15.75" customHeight="1">
      <c r="A759" s="4">
        <v>2025</v>
      </c>
      <c r="B759" s="4">
        <v>10</v>
      </c>
      <c r="C759" s="4" t="s">
        <v>120</v>
      </c>
      <c r="D759" s="4" t="s">
        <v>5</v>
      </c>
      <c r="E759" s="4" t="s">
        <v>6</v>
      </c>
      <c r="F759" s="4" t="s">
        <v>10</v>
      </c>
      <c r="G759" s="5">
        <v>11261.25</v>
      </c>
      <c r="H759" s="4">
        <f>--AND(OR(Dashboard!$A$10="All",A759=Dashboard!$A$10),OR(Dashboard!$A$14="All",D759=Dashboard!$A$14),OR(Dashboard!$A$18="All",E759=Dashboard!$A$18),OR(Dashboard!$A$22="All",F759=Dashboard!$A$22))</f>
        <v>1</v>
      </c>
    </row>
    <row r="760" spans="1:8" ht="15.75" customHeight="1">
      <c r="A760" s="4">
        <v>2025</v>
      </c>
      <c r="B760" s="4">
        <v>10</v>
      </c>
      <c r="C760" s="4" t="s">
        <v>120</v>
      </c>
      <c r="D760" s="4" t="s">
        <v>5</v>
      </c>
      <c r="E760" s="4" t="s">
        <v>6</v>
      </c>
      <c r="F760" s="4" t="s">
        <v>13</v>
      </c>
      <c r="G760" s="5">
        <v>6825</v>
      </c>
      <c r="H760" s="4">
        <f>--AND(OR(Dashboard!$A$10="All",A760=Dashboard!$A$10),OR(Dashboard!$A$14="All",D760=Dashboard!$A$14),OR(Dashboard!$A$18="All",E760=Dashboard!$A$18),OR(Dashboard!$A$22="All",F760=Dashboard!$A$22))</f>
        <v>1</v>
      </c>
    </row>
    <row r="761" spans="1:8" ht="15.75" customHeight="1">
      <c r="A761" s="4">
        <v>2025</v>
      </c>
      <c r="B761" s="4">
        <v>10</v>
      </c>
      <c r="C761" s="4" t="s">
        <v>120</v>
      </c>
      <c r="D761" s="4" t="s">
        <v>5</v>
      </c>
      <c r="E761" s="4" t="s">
        <v>9</v>
      </c>
      <c r="F761" s="4" t="s">
        <v>7</v>
      </c>
      <c r="G761" s="5">
        <v>10920</v>
      </c>
      <c r="H761" s="4">
        <f>--AND(OR(Dashboard!$A$10="All",A761=Dashboard!$A$10),OR(Dashboard!$A$14="All",D761=Dashboard!$A$14),OR(Dashboard!$A$18="All",E761=Dashboard!$A$18),OR(Dashboard!$A$22="All",F761=Dashboard!$A$22))</f>
        <v>1</v>
      </c>
    </row>
    <row r="762" spans="1:8" ht="15.75" customHeight="1">
      <c r="A762" s="4">
        <v>2025</v>
      </c>
      <c r="B762" s="4">
        <v>10</v>
      </c>
      <c r="C762" s="4" t="s">
        <v>120</v>
      </c>
      <c r="D762" s="4" t="s">
        <v>5</v>
      </c>
      <c r="E762" s="4" t="s">
        <v>9</v>
      </c>
      <c r="F762" s="4" t="s">
        <v>10</v>
      </c>
      <c r="G762" s="5">
        <v>7207.2</v>
      </c>
      <c r="H762" s="4">
        <f>--AND(OR(Dashboard!$A$10="All",A762=Dashboard!$A$10),OR(Dashboard!$A$14="All",D762=Dashboard!$A$14),OR(Dashboard!$A$18="All",E762=Dashboard!$A$18),OR(Dashboard!$A$22="All",F762=Dashboard!$A$22))</f>
        <v>1</v>
      </c>
    </row>
    <row r="763" spans="1:8" ht="15.75" customHeight="1">
      <c r="A763" s="4">
        <v>2025</v>
      </c>
      <c r="B763" s="4">
        <v>10</v>
      </c>
      <c r="C763" s="4" t="s">
        <v>120</v>
      </c>
      <c r="D763" s="4" t="s">
        <v>5</v>
      </c>
      <c r="E763" s="4" t="s">
        <v>9</v>
      </c>
      <c r="F763" s="4" t="s">
        <v>13</v>
      </c>
      <c r="G763" s="5">
        <v>4368</v>
      </c>
      <c r="H763" s="4">
        <f>--AND(OR(Dashboard!$A$10="All",A763=Dashboard!$A$10),OR(Dashboard!$A$14="All",D763=Dashboard!$A$14),OR(Dashboard!$A$18="All",E763=Dashboard!$A$18),OR(Dashboard!$A$22="All",F763=Dashboard!$A$22))</f>
        <v>1</v>
      </c>
    </row>
    <row r="764" spans="1:8" ht="15.75" customHeight="1">
      <c r="A764" s="4">
        <v>2025</v>
      </c>
      <c r="B764" s="4">
        <v>10</v>
      </c>
      <c r="C764" s="4" t="s">
        <v>120</v>
      </c>
      <c r="D764" s="4" t="s">
        <v>5</v>
      </c>
      <c r="E764" s="4" t="s">
        <v>12</v>
      </c>
      <c r="F764" s="4" t="s">
        <v>7</v>
      </c>
      <c r="G764" s="5">
        <v>15015</v>
      </c>
      <c r="H764" s="4">
        <f>--AND(OR(Dashboard!$A$10="All",A764=Dashboard!$A$10),OR(Dashboard!$A$14="All",D764=Dashboard!$A$14),OR(Dashboard!$A$18="All",E764=Dashboard!$A$18),OR(Dashboard!$A$22="All",F764=Dashboard!$A$22))</f>
        <v>1</v>
      </c>
    </row>
    <row r="765" spans="1:8" ht="15.75" customHeight="1">
      <c r="A765" s="4">
        <v>2025</v>
      </c>
      <c r="B765" s="4">
        <v>10</v>
      </c>
      <c r="C765" s="4" t="s">
        <v>120</v>
      </c>
      <c r="D765" s="4" t="s">
        <v>5</v>
      </c>
      <c r="E765" s="4" t="s">
        <v>12</v>
      </c>
      <c r="F765" s="4" t="s">
        <v>10</v>
      </c>
      <c r="G765" s="5">
        <v>9909.9</v>
      </c>
      <c r="H765" s="4">
        <f>--AND(OR(Dashboard!$A$10="All",A765=Dashboard!$A$10),OR(Dashboard!$A$14="All",D765=Dashboard!$A$14),OR(Dashboard!$A$18="All",E765=Dashboard!$A$18),OR(Dashboard!$A$22="All",F765=Dashboard!$A$22))</f>
        <v>1</v>
      </c>
    </row>
    <row r="766" spans="1:8" ht="15.75" customHeight="1">
      <c r="A766" s="4">
        <v>2025</v>
      </c>
      <c r="B766" s="4">
        <v>10</v>
      </c>
      <c r="C766" s="4" t="s">
        <v>120</v>
      </c>
      <c r="D766" s="4" t="s">
        <v>5</v>
      </c>
      <c r="E766" s="4" t="s">
        <v>12</v>
      </c>
      <c r="F766" s="4" t="s">
        <v>13</v>
      </c>
      <c r="G766" s="5">
        <v>6006</v>
      </c>
      <c r="H766" s="4">
        <f>--AND(OR(Dashboard!$A$10="All",A766=Dashboard!$A$10),OR(Dashboard!$A$14="All",D766=Dashboard!$A$14),OR(Dashboard!$A$18="All",E766=Dashboard!$A$18),OR(Dashboard!$A$22="All",F766=Dashboard!$A$22))</f>
        <v>1</v>
      </c>
    </row>
    <row r="767" spans="1:8" ht="15.75" customHeight="1">
      <c r="A767" s="4">
        <v>2025</v>
      </c>
      <c r="B767" s="4">
        <v>10</v>
      </c>
      <c r="C767" s="4" t="s">
        <v>120</v>
      </c>
      <c r="D767" s="4" t="s">
        <v>8</v>
      </c>
      <c r="E767" s="4" t="s">
        <v>6</v>
      </c>
      <c r="F767" s="4" t="s">
        <v>7</v>
      </c>
      <c r="G767" s="5">
        <v>10578.75</v>
      </c>
      <c r="H767" s="4">
        <f>--AND(OR(Dashboard!$A$10="All",A767=Dashboard!$A$10),OR(Dashboard!$A$14="All",D767=Dashboard!$A$14),OR(Dashboard!$A$18="All",E767=Dashboard!$A$18),OR(Dashboard!$A$22="All",F767=Dashboard!$A$22))</f>
        <v>1</v>
      </c>
    </row>
    <row r="768" spans="1:8" ht="15.75" customHeight="1">
      <c r="A768" s="4">
        <v>2025</v>
      </c>
      <c r="B768" s="4">
        <v>10</v>
      </c>
      <c r="C768" s="4" t="s">
        <v>120</v>
      </c>
      <c r="D768" s="4" t="s">
        <v>8</v>
      </c>
      <c r="E768" s="4" t="s">
        <v>6</v>
      </c>
      <c r="F768" s="4" t="s">
        <v>10</v>
      </c>
      <c r="G768" s="5">
        <v>6981.98</v>
      </c>
      <c r="H768" s="4">
        <f>--AND(OR(Dashboard!$A$10="All",A768=Dashboard!$A$10),OR(Dashboard!$A$14="All",D768=Dashboard!$A$14),OR(Dashboard!$A$18="All",E768=Dashboard!$A$18),OR(Dashboard!$A$22="All",F768=Dashboard!$A$22))</f>
        <v>1</v>
      </c>
    </row>
    <row r="769" spans="1:8" ht="15.75" customHeight="1">
      <c r="A769" s="4">
        <v>2025</v>
      </c>
      <c r="B769" s="4">
        <v>10</v>
      </c>
      <c r="C769" s="4" t="s">
        <v>120</v>
      </c>
      <c r="D769" s="4" t="s">
        <v>8</v>
      </c>
      <c r="E769" s="4" t="s">
        <v>6</v>
      </c>
      <c r="F769" s="4" t="s">
        <v>13</v>
      </c>
      <c r="G769" s="5">
        <v>4231.5</v>
      </c>
      <c r="H769" s="4">
        <f>--AND(OR(Dashboard!$A$10="All",A769=Dashboard!$A$10),OR(Dashboard!$A$14="All",D769=Dashboard!$A$14),OR(Dashboard!$A$18="All",E769=Dashboard!$A$18),OR(Dashboard!$A$22="All",F769=Dashboard!$A$22))</f>
        <v>1</v>
      </c>
    </row>
    <row r="770" spans="1:8" ht="15.75" customHeight="1">
      <c r="A770" s="4">
        <v>2025</v>
      </c>
      <c r="B770" s="4">
        <v>10</v>
      </c>
      <c r="C770" s="4" t="s">
        <v>120</v>
      </c>
      <c r="D770" s="4" t="s">
        <v>8</v>
      </c>
      <c r="E770" s="4" t="s">
        <v>9</v>
      </c>
      <c r="F770" s="4" t="s">
        <v>7</v>
      </c>
      <c r="G770" s="5">
        <v>6770.4</v>
      </c>
      <c r="H770" s="4">
        <f>--AND(OR(Dashboard!$A$10="All",A770=Dashboard!$A$10),OR(Dashboard!$A$14="All",D770=Dashboard!$A$14),OR(Dashboard!$A$18="All",E770=Dashboard!$A$18),OR(Dashboard!$A$22="All",F770=Dashboard!$A$22))</f>
        <v>1</v>
      </c>
    </row>
    <row r="771" spans="1:8" ht="15.75" customHeight="1">
      <c r="A771" s="4">
        <v>2025</v>
      </c>
      <c r="B771" s="4">
        <v>10</v>
      </c>
      <c r="C771" s="4" t="s">
        <v>120</v>
      </c>
      <c r="D771" s="4" t="s">
        <v>8</v>
      </c>
      <c r="E771" s="4" t="s">
        <v>9</v>
      </c>
      <c r="F771" s="4" t="s">
        <v>10</v>
      </c>
      <c r="G771" s="5">
        <v>4468.46</v>
      </c>
      <c r="H771" s="4">
        <f>--AND(OR(Dashboard!$A$10="All",A771=Dashboard!$A$10),OR(Dashboard!$A$14="All",D771=Dashboard!$A$14),OR(Dashboard!$A$18="All",E771=Dashboard!$A$18),OR(Dashboard!$A$22="All",F771=Dashboard!$A$22))</f>
        <v>1</v>
      </c>
    </row>
    <row r="772" spans="1:8" ht="15.75" customHeight="1">
      <c r="A772" s="4">
        <v>2025</v>
      </c>
      <c r="B772" s="4">
        <v>10</v>
      </c>
      <c r="C772" s="4" t="s">
        <v>120</v>
      </c>
      <c r="D772" s="4" t="s">
        <v>8</v>
      </c>
      <c r="E772" s="4" t="s">
        <v>9</v>
      </c>
      <c r="F772" s="4" t="s">
        <v>13</v>
      </c>
      <c r="G772" s="5">
        <v>2708.16</v>
      </c>
      <c r="H772" s="4">
        <f>--AND(OR(Dashboard!$A$10="All",A772=Dashboard!$A$10),OR(Dashboard!$A$14="All",D772=Dashboard!$A$14),OR(Dashboard!$A$18="All",E772=Dashboard!$A$18),OR(Dashboard!$A$22="All",F772=Dashboard!$A$22))</f>
        <v>1</v>
      </c>
    </row>
    <row r="773" spans="1:8" ht="15.75" customHeight="1">
      <c r="A773" s="4">
        <v>2025</v>
      </c>
      <c r="B773" s="4">
        <v>10</v>
      </c>
      <c r="C773" s="4" t="s">
        <v>120</v>
      </c>
      <c r="D773" s="4" t="s">
        <v>8</v>
      </c>
      <c r="E773" s="4" t="s">
        <v>12</v>
      </c>
      <c r="F773" s="4" t="s">
        <v>7</v>
      </c>
      <c r="G773" s="5">
        <v>9309.2999999999993</v>
      </c>
      <c r="H773" s="4">
        <f>--AND(OR(Dashboard!$A$10="All",A773=Dashboard!$A$10),OR(Dashboard!$A$14="All",D773=Dashboard!$A$14),OR(Dashboard!$A$18="All",E773=Dashboard!$A$18),OR(Dashboard!$A$22="All",F773=Dashboard!$A$22))</f>
        <v>1</v>
      </c>
    </row>
    <row r="774" spans="1:8" ht="15.75" customHeight="1">
      <c r="A774" s="4">
        <v>2025</v>
      </c>
      <c r="B774" s="4">
        <v>10</v>
      </c>
      <c r="C774" s="4" t="s">
        <v>120</v>
      </c>
      <c r="D774" s="4" t="s">
        <v>8</v>
      </c>
      <c r="E774" s="4" t="s">
        <v>12</v>
      </c>
      <c r="F774" s="4" t="s">
        <v>10</v>
      </c>
      <c r="G774" s="5">
        <v>6144.14</v>
      </c>
      <c r="H774" s="4">
        <f>--AND(OR(Dashboard!$A$10="All",A774=Dashboard!$A$10),OR(Dashboard!$A$14="All",D774=Dashboard!$A$14),OR(Dashboard!$A$18="All",E774=Dashboard!$A$18),OR(Dashboard!$A$22="All",F774=Dashboard!$A$22))</f>
        <v>1</v>
      </c>
    </row>
    <row r="775" spans="1:8" ht="15.75" customHeight="1">
      <c r="A775" s="4">
        <v>2025</v>
      </c>
      <c r="B775" s="4">
        <v>10</v>
      </c>
      <c r="C775" s="4" t="s">
        <v>120</v>
      </c>
      <c r="D775" s="4" t="s">
        <v>8</v>
      </c>
      <c r="E775" s="4" t="s">
        <v>12</v>
      </c>
      <c r="F775" s="4" t="s">
        <v>13</v>
      </c>
      <c r="G775" s="5">
        <v>3723.72</v>
      </c>
      <c r="H775" s="4">
        <f>--AND(OR(Dashboard!$A$10="All",A775=Dashboard!$A$10),OR(Dashboard!$A$14="All",D775=Dashboard!$A$14),OR(Dashboard!$A$18="All",E775=Dashboard!$A$18),OR(Dashboard!$A$22="All",F775=Dashboard!$A$22))</f>
        <v>1</v>
      </c>
    </row>
    <row r="776" spans="1:8" ht="15.75" customHeight="1">
      <c r="A776" s="4">
        <v>2025</v>
      </c>
      <c r="B776" s="4">
        <v>10</v>
      </c>
      <c r="C776" s="4" t="s">
        <v>120</v>
      </c>
      <c r="D776" s="4" t="s">
        <v>11</v>
      </c>
      <c r="E776" s="4" t="s">
        <v>6</v>
      </c>
      <c r="F776" s="4" t="s">
        <v>7</v>
      </c>
      <c r="G776" s="5">
        <v>7507.5</v>
      </c>
      <c r="H776" s="4">
        <f>--AND(OR(Dashboard!$A$10="All",A776=Dashboard!$A$10),OR(Dashboard!$A$14="All",D776=Dashboard!$A$14),OR(Dashboard!$A$18="All",E776=Dashboard!$A$18),OR(Dashboard!$A$22="All",F776=Dashboard!$A$22))</f>
        <v>1</v>
      </c>
    </row>
    <row r="777" spans="1:8" ht="15.75" customHeight="1">
      <c r="A777" s="4">
        <v>2025</v>
      </c>
      <c r="B777" s="4">
        <v>10</v>
      </c>
      <c r="C777" s="4" t="s">
        <v>120</v>
      </c>
      <c r="D777" s="4" t="s">
        <v>11</v>
      </c>
      <c r="E777" s="4" t="s">
        <v>6</v>
      </c>
      <c r="F777" s="4" t="s">
        <v>10</v>
      </c>
      <c r="G777" s="5">
        <v>4954.95</v>
      </c>
      <c r="H777" s="4">
        <f>--AND(OR(Dashboard!$A$10="All",A777=Dashboard!$A$10),OR(Dashboard!$A$14="All",D777=Dashboard!$A$14),OR(Dashboard!$A$18="All",E777=Dashboard!$A$18),OR(Dashboard!$A$22="All",F777=Dashboard!$A$22))</f>
        <v>1</v>
      </c>
    </row>
    <row r="778" spans="1:8" ht="15.75" customHeight="1">
      <c r="A778" s="4">
        <v>2025</v>
      </c>
      <c r="B778" s="4">
        <v>10</v>
      </c>
      <c r="C778" s="4" t="s">
        <v>120</v>
      </c>
      <c r="D778" s="4" t="s">
        <v>11</v>
      </c>
      <c r="E778" s="4" t="s">
        <v>6</v>
      </c>
      <c r="F778" s="4" t="s">
        <v>13</v>
      </c>
      <c r="G778" s="5">
        <v>3003</v>
      </c>
      <c r="H778" s="4">
        <f>--AND(OR(Dashboard!$A$10="All",A778=Dashboard!$A$10),OR(Dashboard!$A$14="All",D778=Dashboard!$A$14),OR(Dashboard!$A$18="All",E778=Dashboard!$A$18),OR(Dashboard!$A$22="All",F778=Dashboard!$A$22))</f>
        <v>1</v>
      </c>
    </row>
    <row r="779" spans="1:8" ht="15.75" customHeight="1">
      <c r="A779" s="4">
        <v>2025</v>
      </c>
      <c r="B779" s="4">
        <v>10</v>
      </c>
      <c r="C779" s="4" t="s">
        <v>120</v>
      </c>
      <c r="D779" s="4" t="s">
        <v>11</v>
      </c>
      <c r="E779" s="4" t="s">
        <v>9</v>
      </c>
      <c r="F779" s="4" t="s">
        <v>7</v>
      </c>
      <c r="G779" s="5">
        <v>4804.8</v>
      </c>
      <c r="H779" s="4">
        <f>--AND(OR(Dashboard!$A$10="All",A779=Dashboard!$A$10),OR(Dashboard!$A$14="All",D779=Dashboard!$A$14),OR(Dashboard!$A$18="All",E779=Dashboard!$A$18),OR(Dashboard!$A$22="All",F779=Dashboard!$A$22))</f>
        <v>1</v>
      </c>
    </row>
    <row r="780" spans="1:8" ht="15.75" customHeight="1">
      <c r="A780" s="4">
        <v>2025</v>
      </c>
      <c r="B780" s="4">
        <v>10</v>
      </c>
      <c r="C780" s="4" t="s">
        <v>120</v>
      </c>
      <c r="D780" s="4" t="s">
        <v>11</v>
      </c>
      <c r="E780" s="4" t="s">
        <v>9</v>
      </c>
      <c r="F780" s="4" t="s">
        <v>10</v>
      </c>
      <c r="G780" s="5">
        <v>3171.17</v>
      </c>
      <c r="H780" s="4">
        <f>--AND(OR(Dashboard!$A$10="All",A780=Dashboard!$A$10),OR(Dashboard!$A$14="All",D780=Dashboard!$A$14),OR(Dashboard!$A$18="All",E780=Dashboard!$A$18),OR(Dashboard!$A$22="All",F780=Dashboard!$A$22))</f>
        <v>1</v>
      </c>
    </row>
    <row r="781" spans="1:8" ht="15.75" customHeight="1">
      <c r="A781" s="4">
        <v>2025</v>
      </c>
      <c r="B781" s="4">
        <v>10</v>
      </c>
      <c r="C781" s="4" t="s">
        <v>120</v>
      </c>
      <c r="D781" s="4" t="s">
        <v>11</v>
      </c>
      <c r="E781" s="4" t="s">
        <v>9</v>
      </c>
      <c r="F781" s="4" t="s">
        <v>13</v>
      </c>
      <c r="G781" s="5">
        <v>1921.92</v>
      </c>
      <c r="H781" s="4">
        <f>--AND(OR(Dashboard!$A$10="All",A781=Dashboard!$A$10),OR(Dashboard!$A$14="All",D781=Dashboard!$A$14),OR(Dashboard!$A$18="All",E781=Dashboard!$A$18),OR(Dashboard!$A$22="All",F781=Dashboard!$A$22))</f>
        <v>1</v>
      </c>
    </row>
    <row r="782" spans="1:8" ht="15.75" customHeight="1">
      <c r="A782" s="4">
        <v>2025</v>
      </c>
      <c r="B782" s="4">
        <v>10</v>
      </c>
      <c r="C782" s="4" t="s">
        <v>120</v>
      </c>
      <c r="D782" s="4" t="s">
        <v>11</v>
      </c>
      <c r="E782" s="4" t="s">
        <v>12</v>
      </c>
      <c r="F782" s="4" t="s">
        <v>7</v>
      </c>
      <c r="G782" s="5">
        <v>6606.6</v>
      </c>
      <c r="H782" s="4">
        <f>--AND(OR(Dashboard!$A$10="All",A782=Dashboard!$A$10),OR(Dashboard!$A$14="All",D782=Dashboard!$A$14),OR(Dashboard!$A$18="All",E782=Dashboard!$A$18),OR(Dashboard!$A$22="All",F782=Dashboard!$A$22))</f>
        <v>1</v>
      </c>
    </row>
    <row r="783" spans="1:8" ht="15.75" customHeight="1">
      <c r="A783" s="4">
        <v>2025</v>
      </c>
      <c r="B783" s="4">
        <v>10</v>
      </c>
      <c r="C783" s="4" t="s">
        <v>120</v>
      </c>
      <c r="D783" s="4" t="s">
        <v>11</v>
      </c>
      <c r="E783" s="4" t="s">
        <v>12</v>
      </c>
      <c r="F783" s="4" t="s">
        <v>10</v>
      </c>
      <c r="G783" s="5">
        <v>4360.3599999999997</v>
      </c>
      <c r="H783" s="4">
        <f>--AND(OR(Dashboard!$A$10="All",A783=Dashboard!$A$10),OR(Dashboard!$A$14="All",D783=Dashboard!$A$14),OR(Dashboard!$A$18="All",E783=Dashboard!$A$18),OR(Dashboard!$A$22="All",F783=Dashboard!$A$22))</f>
        <v>1</v>
      </c>
    </row>
    <row r="784" spans="1:8" ht="15.75" customHeight="1">
      <c r="A784" s="4">
        <v>2025</v>
      </c>
      <c r="B784" s="4">
        <v>10</v>
      </c>
      <c r="C784" s="4" t="s">
        <v>120</v>
      </c>
      <c r="D784" s="4" t="s">
        <v>11</v>
      </c>
      <c r="E784" s="4" t="s">
        <v>12</v>
      </c>
      <c r="F784" s="4" t="s">
        <v>13</v>
      </c>
      <c r="G784" s="5">
        <v>2642.64</v>
      </c>
      <c r="H784" s="4">
        <f>--AND(OR(Dashboard!$A$10="All",A784=Dashboard!$A$10),OR(Dashboard!$A$14="All",D784=Dashboard!$A$14),OR(Dashboard!$A$18="All",E784=Dashboard!$A$18),OR(Dashboard!$A$22="All",F784=Dashboard!$A$22))</f>
        <v>1</v>
      </c>
    </row>
    <row r="785" spans="1:8" ht="15.75" customHeight="1">
      <c r="A785" s="4">
        <v>2025</v>
      </c>
      <c r="B785" s="4">
        <v>10</v>
      </c>
      <c r="C785" s="4" t="s">
        <v>120</v>
      </c>
      <c r="D785" s="4" t="s">
        <v>14</v>
      </c>
      <c r="E785" s="4" t="s">
        <v>6</v>
      </c>
      <c r="F785" s="4" t="s">
        <v>7</v>
      </c>
      <c r="G785" s="5">
        <v>5118.75</v>
      </c>
      <c r="H785" s="4">
        <f>--AND(OR(Dashboard!$A$10="All",A785=Dashboard!$A$10),OR(Dashboard!$A$14="All",D785=Dashboard!$A$14),OR(Dashboard!$A$18="All",E785=Dashboard!$A$18),OR(Dashboard!$A$22="All",F785=Dashboard!$A$22))</f>
        <v>1</v>
      </c>
    </row>
    <row r="786" spans="1:8" ht="15.75" customHeight="1">
      <c r="A786" s="4">
        <v>2025</v>
      </c>
      <c r="B786" s="4">
        <v>10</v>
      </c>
      <c r="C786" s="4" t="s">
        <v>120</v>
      </c>
      <c r="D786" s="4" t="s">
        <v>14</v>
      </c>
      <c r="E786" s="4" t="s">
        <v>6</v>
      </c>
      <c r="F786" s="4" t="s">
        <v>10</v>
      </c>
      <c r="G786" s="5">
        <v>3378.38</v>
      </c>
      <c r="H786" s="4">
        <f>--AND(OR(Dashboard!$A$10="All",A786=Dashboard!$A$10),OR(Dashboard!$A$14="All",D786=Dashboard!$A$14),OR(Dashboard!$A$18="All",E786=Dashboard!$A$18),OR(Dashboard!$A$22="All",F786=Dashboard!$A$22))</f>
        <v>1</v>
      </c>
    </row>
    <row r="787" spans="1:8" ht="15.75" customHeight="1">
      <c r="A787" s="4">
        <v>2025</v>
      </c>
      <c r="B787" s="4">
        <v>10</v>
      </c>
      <c r="C787" s="4" t="s">
        <v>120</v>
      </c>
      <c r="D787" s="4" t="s">
        <v>14</v>
      </c>
      <c r="E787" s="4" t="s">
        <v>6</v>
      </c>
      <c r="F787" s="4" t="s">
        <v>13</v>
      </c>
      <c r="G787" s="5">
        <v>2047.5</v>
      </c>
      <c r="H787" s="4">
        <f>--AND(OR(Dashboard!$A$10="All",A787=Dashboard!$A$10),OR(Dashboard!$A$14="All",D787=Dashboard!$A$14),OR(Dashboard!$A$18="All",E787=Dashboard!$A$18),OR(Dashboard!$A$22="All",F787=Dashboard!$A$22))</f>
        <v>1</v>
      </c>
    </row>
    <row r="788" spans="1:8" ht="15.75" customHeight="1">
      <c r="A788" s="4">
        <v>2025</v>
      </c>
      <c r="B788" s="4">
        <v>10</v>
      </c>
      <c r="C788" s="4" t="s">
        <v>120</v>
      </c>
      <c r="D788" s="4" t="s">
        <v>14</v>
      </c>
      <c r="E788" s="4" t="s">
        <v>9</v>
      </c>
      <c r="F788" s="4" t="s">
        <v>7</v>
      </c>
      <c r="G788" s="5">
        <v>3276</v>
      </c>
      <c r="H788" s="4">
        <f>--AND(OR(Dashboard!$A$10="All",A788=Dashboard!$A$10),OR(Dashboard!$A$14="All",D788=Dashboard!$A$14),OR(Dashboard!$A$18="All",E788=Dashboard!$A$18),OR(Dashboard!$A$22="All",F788=Dashboard!$A$22))</f>
        <v>1</v>
      </c>
    </row>
    <row r="789" spans="1:8" ht="15.75" customHeight="1">
      <c r="A789" s="4">
        <v>2025</v>
      </c>
      <c r="B789" s="4">
        <v>10</v>
      </c>
      <c r="C789" s="4" t="s">
        <v>120</v>
      </c>
      <c r="D789" s="4" t="s">
        <v>14</v>
      </c>
      <c r="E789" s="4" t="s">
        <v>9</v>
      </c>
      <c r="F789" s="4" t="s">
        <v>10</v>
      </c>
      <c r="G789" s="5">
        <v>2162.16</v>
      </c>
      <c r="H789" s="4">
        <f>--AND(OR(Dashboard!$A$10="All",A789=Dashboard!$A$10),OR(Dashboard!$A$14="All",D789=Dashboard!$A$14),OR(Dashboard!$A$18="All",E789=Dashboard!$A$18),OR(Dashboard!$A$22="All",F789=Dashboard!$A$22))</f>
        <v>1</v>
      </c>
    </row>
    <row r="790" spans="1:8" ht="15.75" customHeight="1">
      <c r="A790" s="4">
        <v>2025</v>
      </c>
      <c r="B790" s="4">
        <v>10</v>
      </c>
      <c r="C790" s="4" t="s">
        <v>120</v>
      </c>
      <c r="D790" s="4" t="s">
        <v>14</v>
      </c>
      <c r="E790" s="4" t="s">
        <v>9</v>
      </c>
      <c r="F790" s="4" t="s">
        <v>13</v>
      </c>
      <c r="G790" s="5">
        <v>1310.4000000000001</v>
      </c>
      <c r="H790" s="4">
        <f>--AND(OR(Dashboard!$A$10="All",A790=Dashboard!$A$10),OR(Dashboard!$A$14="All",D790=Dashboard!$A$14),OR(Dashboard!$A$18="All",E790=Dashboard!$A$18),OR(Dashboard!$A$22="All",F790=Dashboard!$A$22))</f>
        <v>1</v>
      </c>
    </row>
    <row r="791" spans="1:8" ht="15.75" customHeight="1">
      <c r="A791" s="4">
        <v>2025</v>
      </c>
      <c r="B791" s="4">
        <v>10</v>
      </c>
      <c r="C791" s="4" t="s">
        <v>120</v>
      </c>
      <c r="D791" s="4" t="s">
        <v>14</v>
      </c>
      <c r="E791" s="4" t="s">
        <v>12</v>
      </c>
      <c r="F791" s="4" t="s">
        <v>7</v>
      </c>
      <c r="G791" s="5">
        <v>4504.5</v>
      </c>
      <c r="H791" s="4">
        <f>--AND(OR(Dashboard!$A$10="All",A791=Dashboard!$A$10),OR(Dashboard!$A$14="All",D791=Dashboard!$A$14),OR(Dashboard!$A$18="All",E791=Dashboard!$A$18),OR(Dashboard!$A$22="All",F791=Dashboard!$A$22))</f>
        <v>1</v>
      </c>
    </row>
    <row r="792" spans="1:8" ht="15.75" customHeight="1">
      <c r="A792" s="4">
        <v>2025</v>
      </c>
      <c r="B792" s="4">
        <v>10</v>
      </c>
      <c r="C792" s="4" t="s">
        <v>120</v>
      </c>
      <c r="D792" s="4" t="s">
        <v>14</v>
      </c>
      <c r="E792" s="4" t="s">
        <v>12</v>
      </c>
      <c r="F792" s="4" t="s">
        <v>10</v>
      </c>
      <c r="G792" s="5">
        <v>2972.97</v>
      </c>
      <c r="H792" s="4">
        <f>--AND(OR(Dashboard!$A$10="All",A792=Dashboard!$A$10),OR(Dashboard!$A$14="All",D792=Dashboard!$A$14),OR(Dashboard!$A$18="All",E792=Dashboard!$A$18),OR(Dashboard!$A$22="All",F792=Dashboard!$A$22))</f>
        <v>1</v>
      </c>
    </row>
    <row r="793" spans="1:8" ht="15.75" customHeight="1">
      <c r="A793" s="4">
        <v>2025</v>
      </c>
      <c r="B793" s="4">
        <v>10</v>
      </c>
      <c r="C793" s="4" t="s">
        <v>120</v>
      </c>
      <c r="D793" s="4" t="s">
        <v>14</v>
      </c>
      <c r="E793" s="4" t="s">
        <v>12</v>
      </c>
      <c r="F793" s="4" t="s">
        <v>13</v>
      </c>
      <c r="G793" s="5">
        <v>1801.8</v>
      </c>
      <c r="H793" s="4">
        <f>--AND(OR(Dashboard!$A$10="All",A793=Dashboard!$A$10),OR(Dashboard!$A$14="All",D793=Dashboard!$A$14),OR(Dashboard!$A$18="All",E793=Dashboard!$A$18),OR(Dashboard!$A$22="All",F793=Dashboard!$A$22))</f>
        <v>1</v>
      </c>
    </row>
    <row r="794" spans="1:8" ht="15.75" customHeight="1">
      <c r="A794" s="4">
        <v>2025</v>
      </c>
      <c r="B794" s="4">
        <v>11</v>
      </c>
      <c r="C794" s="4" t="s">
        <v>89</v>
      </c>
      <c r="D794" s="4" t="s">
        <v>5</v>
      </c>
      <c r="E794" s="4" t="s">
        <v>6</v>
      </c>
      <c r="F794" s="4" t="s">
        <v>7</v>
      </c>
      <c r="G794" s="5">
        <v>20475</v>
      </c>
      <c r="H794" s="4">
        <f>--AND(OR(Dashboard!$A$10="All",A794=Dashboard!$A$10),OR(Dashboard!$A$14="All",D794=Dashboard!$A$14),OR(Dashboard!$A$18="All",E794=Dashboard!$A$18),OR(Dashboard!$A$22="All",F794=Dashboard!$A$22))</f>
        <v>1</v>
      </c>
    </row>
    <row r="795" spans="1:8" ht="15.75" customHeight="1">
      <c r="A795" s="4">
        <v>2025</v>
      </c>
      <c r="B795" s="4">
        <v>11</v>
      </c>
      <c r="C795" s="4" t="s">
        <v>89</v>
      </c>
      <c r="D795" s="4" t="s">
        <v>5</v>
      </c>
      <c r="E795" s="4" t="s">
        <v>6</v>
      </c>
      <c r="F795" s="4" t="s">
        <v>10</v>
      </c>
      <c r="G795" s="5">
        <v>13513.5</v>
      </c>
      <c r="H795" s="4">
        <f>--AND(OR(Dashboard!$A$10="All",A795=Dashboard!$A$10),OR(Dashboard!$A$14="All",D795=Dashboard!$A$14),OR(Dashboard!$A$18="All",E795=Dashboard!$A$18),OR(Dashboard!$A$22="All",F795=Dashboard!$A$22))</f>
        <v>1</v>
      </c>
    </row>
    <row r="796" spans="1:8" ht="15.75" customHeight="1">
      <c r="A796" s="4">
        <v>2025</v>
      </c>
      <c r="B796" s="4">
        <v>11</v>
      </c>
      <c r="C796" s="4" t="s">
        <v>89</v>
      </c>
      <c r="D796" s="4" t="s">
        <v>5</v>
      </c>
      <c r="E796" s="4" t="s">
        <v>6</v>
      </c>
      <c r="F796" s="4" t="s">
        <v>13</v>
      </c>
      <c r="G796" s="5">
        <v>8190</v>
      </c>
      <c r="H796" s="4">
        <f>--AND(OR(Dashboard!$A$10="All",A796=Dashboard!$A$10),OR(Dashboard!$A$14="All",D796=Dashboard!$A$14),OR(Dashboard!$A$18="All",E796=Dashboard!$A$18),OR(Dashboard!$A$22="All",F796=Dashboard!$A$22))</f>
        <v>1</v>
      </c>
    </row>
    <row r="797" spans="1:8" ht="15.75" customHeight="1">
      <c r="A797" s="4">
        <v>2025</v>
      </c>
      <c r="B797" s="4">
        <v>11</v>
      </c>
      <c r="C797" s="4" t="s">
        <v>89</v>
      </c>
      <c r="D797" s="4" t="s">
        <v>5</v>
      </c>
      <c r="E797" s="4" t="s">
        <v>9</v>
      </c>
      <c r="F797" s="4" t="s">
        <v>7</v>
      </c>
      <c r="G797" s="5">
        <v>13104</v>
      </c>
      <c r="H797" s="4">
        <f>--AND(OR(Dashboard!$A$10="All",A797=Dashboard!$A$10),OR(Dashboard!$A$14="All",D797=Dashboard!$A$14),OR(Dashboard!$A$18="All",E797=Dashboard!$A$18),OR(Dashboard!$A$22="All",F797=Dashboard!$A$22))</f>
        <v>1</v>
      </c>
    </row>
    <row r="798" spans="1:8" ht="15.75" customHeight="1">
      <c r="A798" s="4">
        <v>2025</v>
      </c>
      <c r="B798" s="4">
        <v>11</v>
      </c>
      <c r="C798" s="4" t="s">
        <v>89</v>
      </c>
      <c r="D798" s="4" t="s">
        <v>5</v>
      </c>
      <c r="E798" s="4" t="s">
        <v>9</v>
      </c>
      <c r="F798" s="4" t="s">
        <v>10</v>
      </c>
      <c r="G798" s="5">
        <v>8648.64</v>
      </c>
      <c r="H798" s="4">
        <f>--AND(OR(Dashboard!$A$10="All",A798=Dashboard!$A$10),OR(Dashboard!$A$14="All",D798=Dashboard!$A$14),OR(Dashboard!$A$18="All",E798=Dashboard!$A$18),OR(Dashboard!$A$22="All",F798=Dashboard!$A$22))</f>
        <v>1</v>
      </c>
    </row>
    <row r="799" spans="1:8" ht="15.75" customHeight="1">
      <c r="A799" s="4">
        <v>2025</v>
      </c>
      <c r="B799" s="4">
        <v>11</v>
      </c>
      <c r="C799" s="4" t="s">
        <v>89</v>
      </c>
      <c r="D799" s="4" t="s">
        <v>5</v>
      </c>
      <c r="E799" s="4" t="s">
        <v>9</v>
      </c>
      <c r="F799" s="4" t="s">
        <v>13</v>
      </c>
      <c r="G799" s="5">
        <v>5241.6000000000004</v>
      </c>
      <c r="H799" s="4">
        <f>--AND(OR(Dashboard!$A$10="All",A799=Dashboard!$A$10),OR(Dashboard!$A$14="All",D799=Dashboard!$A$14),OR(Dashboard!$A$18="All",E799=Dashboard!$A$18),OR(Dashboard!$A$22="All",F799=Dashboard!$A$22))</f>
        <v>1</v>
      </c>
    </row>
    <row r="800" spans="1:8" ht="15.75" customHeight="1">
      <c r="A800" s="4">
        <v>2025</v>
      </c>
      <c r="B800" s="4">
        <v>11</v>
      </c>
      <c r="C800" s="4" t="s">
        <v>89</v>
      </c>
      <c r="D800" s="4" t="s">
        <v>5</v>
      </c>
      <c r="E800" s="4" t="s">
        <v>12</v>
      </c>
      <c r="F800" s="4" t="s">
        <v>7</v>
      </c>
      <c r="G800" s="5">
        <v>18018</v>
      </c>
      <c r="H800" s="4">
        <f>--AND(OR(Dashboard!$A$10="All",A800=Dashboard!$A$10),OR(Dashboard!$A$14="All",D800=Dashboard!$A$14),OR(Dashboard!$A$18="All",E800=Dashboard!$A$18),OR(Dashboard!$A$22="All",F800=Dashboard!$A$22))</f>
        <v>1</v>
      </c>
    </row>
    <row r="801" spans="1:8" ht="15.75" customHeight="1">
      <c r="A801" s="4">
        <v>2025</v>
      </c>
      <c r="B801" s="4">
        <v>11</v>
      </c>
      <c r="C801" s="4" t="s">
        <v>89</v>
      </c>
      <c r="D801" s="4" t="s">
        <v>5</v>
      </c>
      <c r="E801" s="4" t="s">
        <v>12</v>
      </c>
      <c r="F801" s="4" t="s">
        <v>10</v>
      </c>
      <c r="G801" s="5">
        <v>11891.88</v>
      </c>
      <c r="H801" s="4">
        <f>--AND(OR(Dashboard!$A$10="All",A801=Dashboard!$A$10),OR(Dashboard!$A$14="All",D801=Dashboard!$A$14),OR(Dashboard!$A$18="All",E801=Dashboard!$A$18),OR(Dashboard!$A$22="All",F801=Dashboard!$A$22))</f>
        <v>1</v>
      </c>
    </row>
    <row r="802" spans="1:8" ht="15.75" customHeight="1">
      <c r="A802" s="4">
        <v>2025</v>
      </c>
      <c r="B802" s="4">
        <v>11</v>
      </c>
      <c r="C802" s="4" t="s">
        <v>89</v>
      </c>
      <c r="D802" s="4" t="s">
        <v>5</v>
      </c>
      <c r="E802" s="4" t="s">
        <v>12</v>
      </c>
      <c r="F802" s="4" t="s">
        <v>13</v>
      </c>
      <c r="G802" s="5">
        <v>7207.2</v>
      </c>
      <c r="H802" s="4">
        <f>--AND(OR(Dashboard!$A$10="All",A802=Dashboard!$A$10),OR(Dashboard!$A$14="All",D802=Dashboard!$A$14),OR(Dashboard!$A$18="All",E802=Dashboard!$A$18),OR(Dashboard!$A$22="All",F802=Dashboard!$A$22))</f>
        <v>1</v>
      </c>
    </row>
    <row r="803" spans="1:8" ht="15.75" customHeight="1">
      <c r="A803" s="4">
        <v>2025</v>
      </c>
      <c r="B803" s="4">
        <v>11</v>
      </c>
      <c r="C803" s="4" t="s">
        <v>89</v>
      </c>
      <c r="D803" s="4" t="s">
        <v>8</v>
      </c>
      <c r="E803" s="4" t="s">
        <v>6</v>
      </c>
      <c r="F803" s="4" t="s">
        <v>7</v>
      </c>
      <c r="G803" s="5">
        <v>12694.5</v>
      </c>
      <c r="H803" s="4">
        <f>--AND(OR(Dashboard!$A$10="All",A803=Dashboard!$A$10),OR(Dashboard!$A$14="All",D803=Dashboard!$A$14),OR(Dashboard!$A$18="All",E803=Dashboard!$A$18),OR(Dashboard!$A$22="All",F803=Dashboard!$A$22))</f>
        <v>1</v>
      </c>
    </row>
    <row r="804" spans="1:8" ht="15.75" customHeight="1">
      <c r="A804" s="4">
        <v>2025</v>
      </c>
      <c r="B804" s="4">
        <v>11</v>
      </c>
      <c r="C804" s="4" t="s">
        <v>89</v>
      </c>
      <c r="D804" s="4" t="s">
        <v>8</v>
      </c>
      <c r="E804" s="4" t="s">
        <v>6</v>
      </c>
      <c r="F804" s="4" t="s">
        <v>10</v>
      </c>
      <c r="G804" s="5">
        <v>8378.3700000000008</v>
      </c>
      <c r="H804" s="4">
        <f>--AND(OR(Dashboard!$A$10="All",A804=Dashboard!$A$10),OR(Dashboard!$A$14="All",D804=Dashboard!$A$14),OR(Dashboard!$A$18="All",E804=Dashboard!$A$18),OR(Dashboard!$A$22="All",F804=Dashboard!$A$22))</f>
        <v>1</v>
      </c>
    </row>
    <row r="805" spans="1:8" ht="15.75" customHeight="1">
      <c r="A805" s="4">
        <v>2025</v>
      </c>
      <c r="B805" s="4">
        <v>11</v>
      </c>
      <c r="C805" s="4" t="s">
        <v>89</v>
      </c>
      <c r="D805" s="4" t="s">
        <v>8</v>
      </c>
      <c r="E805" s="4" t="s">
        <v>6</v>
      </c>
      <c r="F805" s="4" t="s">
        <v>13</v>
      </c>
      <c r="G805" s="5">
        <v>5077.8</v>
      </c>
      <c r="H805" s="4">
        <f>--AND(OR(Dashboard!$A$10="All",A805=Dashboard!$A$10),OR(Dashboard!$A$14="All",D805=Dashboard!$A$14),OR(Dashboard!$A$18="All",E805=Dashboard!$A$18),OR(Dashboard!$A$22="All",F805=Dashboard!$A$22))</f>
        <v>1</v>
      </c>
    </row>
    <row r="806" spans="1:8" ht="15.75" customHeight="1">
      <c r="A806" s="4">
        <v>2025</v>
      </c>
      <c r="B806" s="4">
        <v>11</v>
      </c>
      <c r="C806" s="4" t="s">
        <v>89</v>
      </c>
      <c r="D806" s="4" t="s">
        <v>8</v>
      </c>
      <c r="E806" s="4" t="s">
        <v>9</v>
      </c>
      <c r="F806" s="4" t="s">
        <v>7</v>
      </c>
      <c r="G806" s="5">
        <v>8124.48</v>
      </c>
      <c r="H806" s="4">
        <f>--AND(OR(Dashboard!$A$10="All",A806=Dashboard!$A$10),OR(Dashboard!$A$14="All",D806=Dashboard!$A$14),OR(Dashboard!$A$18="All",E806=Dashboard!$A$18),OR(Dashboard!$A$22="All",F806=Dashboard!$A$22))</f>
        <v>1</v>
      </c>
    </row>
    <row r="807" spans="1:8" ht="15.75" customHeight="1">
      <c r="A807" s="4">
        <v>2025</v>
      </c>
      <c r="B807" s="4">
        <v>11</v>
      </c>
      <c r="C807" s="4" t="s">
        <v>89</v>
      </c>
      <c r="D807" s="4" t="s">
        <v>8</v>
      </c>
      <c r="E807" s="4" t="s">
        <v>9</v>
      </c>
      <c r="F807" s="4" t="s">
        <v>10</v>
      </c>
      <c r="G807" s="5">
        <v>5362.16</v>
      </c>
      <c r="H807" s="4">
        <f>--AND(OR(Dashboard!$A$10="All",A807=Dashboard!$A$10),OR(Dashboard!$A$14="All",D807=Dashboard!$A$14),OR(Dashboard!$A$18="All",E807=Dashboard!$A$18),OR(Dashboard!$A$22="All",F807=Dashboard!$A$22))</f>
        <v>1</v>
      </c>
    </row>
    <row r="808" spans="1:8" ht="15.75" customHeight="1">
      <c r="A808" s="4">
        <v>2025</v>
      </c>
      <c r="B808" s="4">
        <v>11</v>
      </c>
      <c r="C808" s="4" t="s">
        <v>89</v>
      </c>
      <c r="D808" s="4" t="s">
        <v>8</v>
      </c>
      <c r="E808" s="4" t="s">
        <v>9</v>
      </c>
      <c r="F808" s="4" t="s">
        <v>13</v>
      </c>
      <c r="G808" s="5">
        <v>3249.79</v>
      </c>
      <c r="H808" s="4">
        <f>--AND(OR(Dashboard!$A$10="All",A808=Dashboard!$A$10),OR(Dashboard!$A$14="All",D808=Dashboard!$A$14),OR(Dashboard!$A$18="All",E808=Dashboard!$A$18),OR(Dashboard!$A$22="All",F808=Dashboard!$A$22))</f>
        <v>1</v>
      </c>
    </row>
    <row r="809" spans="1:8" ht="15.75" customHeight="1">
      <c r="A809" s="4">
        <v>2025</v>
      </c>
      <c r="B809" s="4">
        <v>11</v>
      </c>
      <c r="C809" s="4" t="s">
        <v>89</v>
      </c>
      <c r="D809" s="4" t="s">
        <v>8</v>
      </c>
      <c r="E809" s="4" t="s">
        <v>12</v>
      </c>
      <c r="F809" s="4" t="s">
        <v>7</v>
      </c>
      <c r="G809" s="5">
        <v>11171.16</v>
      </c>
      <c r="H809" s="4">
        <f>--AND(OR(Dashboard!$A$10="All",A809=Dashboard!$A$10),OR(Dashboard!$A$14="All",D809=Dashboard!$A$14),OR(Dashboard!$A$18="All",E809=Dashboard!$A$18),OR(Dashboard!$A$22="All",F809=Dashboard!$A$22))</f>
        <v>1</v>
      </c>
    </row>
    <row r="810" spans="1:8" ht="15.75" customHeight="1">
      <c r="A810" s="4">
        <v>2025</v>
      </c>
      <c r="B810" s="4">
        <v>11</v>
      </c>
      <c r="C810" s="4" t="s">
        <v>89</v>
      </c>
      <c r="D810" s="4" t="s">
        <v>8</v>
      </c>
      <c r="E810" s="4" t="s">
        <v>12</v>
      </c>
      <c r="F810" s="4" t="s">
        <v>10</v>
      </c>
      <c r="G810" s="5">
        <v>7372.97</v>
      </c>
      <c r="H810" s="4">
        <f>--AND(OR(Dashboard!$A$10="All",A810=Dashboard!$A$10),OR(Dashboard!$A$14="All",D810=Dashboard!$A$14),OR(Dashboard!$A$18="All",E810=Dashboard!$A$18),OR(Dashboard!$A$22="All",F810=Dashboard!$A$22))</f>
        <v>1</v>
      </c>
    </row>
    <row r="811" spans="1:8" ht="15.75" customHeight="1">
      <c r="A811" s="4">
        <v>2025</v>
      </c>
      <c r="B811" s="4">
        <v>11</v>
      </c>
      <c r="C811" s="4" t="s">
        <v>89</v>
      </c>
      <c r="D811" s="4" t="s">
        <v>8</v>
      </c>
      <c r="E811" s="4" t="s">
        <v>12</v>
      </c>
      <c r="F811" s="4" t="s">
        <v>13</v>
      </c>
      <c r="G811" s="5">
        <v>4468.46</v>
      </c>
      <c r="H811" s="4">
        <f>--AND(OR(Dashboard!$A$10="All",A811=Dashboard!$A$10),OR(Dashboard!$A$14="All",D811=Dashboard!$A$14),OR(Dashboard!$A$18="All",E811=Dashboard!$A$18),OR(Dashboard!$A$22="All",F811=Dashboard!$A$22))</f>
        <v>1</v>
      </c>
    </row>
    <row r="812" spans="1:8" ht="15.75" customHeight="1">
      <c r="A812" s="4">
        <v>2025</v>
      </c>
      <c r="B812" s="4">
        <v>11</v>
      </c>
      <c r="C812" s="4" t="s">
        <v>89</v>
      </c>
      <c r="D812" s="4" t="s">
        <v>11</v>
      </c>
      <c r="E812" s="4" t="s">
        <v>6</v>
      </c>
      <c r="F812" s="4" t="s">
        <v>7</v>
      </c>
      <c r="G812" s="5">
        <v>9009</v>
      </c>
      <c r="H812" s="4">
        <f>--AND(OR(Dashboard!$A$10="All",A812=Dashboard!$A$10),OR(Dashboard!$A$14="All",D812=Dashboard!$A$14),OR(Dashboard!$A$18="All",E812=Dashboard!$A$18),OR(Dashboard!$A$22="All",F812=Dashboard!$A$22))</f>
        <v>1</v>
      </c>
    </row>
    <row r="813" spans="1:8" ht="15.75" customHeight="1">
      <c r="A813" s="4">
        <v>2025</v>
      </c>
      <c r="B813" s="4">
        <v>11</v>
      </c>
      <c r="C813" s="4" t="s">
        <v>89</v>
      </c>
      <c r="D813" s="4" t="s">
        <v>11</v>
      </c>
      <c r="E813" s="4" t="s">
        <v>6</v>
      </c>
      <c r="F813" s="4" t="s">
        <v>10</v>
      </c>
      <c r="G813" s="5">
        <v>5945.94</v>
      </c>
      <c r="H813" s="4">
        <f>--AND(OR(Dashboard!$A$10="All",A813=Dashboard!$A$10),OR(Dashboard!$A$14="All",D813=Dashboard!$A$14),OR(Dashboard!$A$18="All",E813=Dashboard!$A$18),OR(Dashboard!$A$22="All",F813=Dashboard!$A$22))</f>
        <v>1</v>
      </c>
    </row>
    <row r="814" spans="1:8" ht="15.75" customHeight="1">
      <c r="A814" s="4">
        <v>2025</v>
      </c>
      <c r="B814" s="4">
        <v>11</v>
      </c>
      <c r="C814" s="4" t="s">
        <v>89</v>
      </c>
      <c r="D814" s="4" t="s">
        <v>11</v>
      </c>
      <c r="E814" s="4" t="s">
        <v>6</v>
      </c>
      <c r="F814" s="4" t="s">
        <v>13</v>
      </c>
      <c r="G814" s="5">
        <v>3603.6</v>
      </c>
      <c r="H814" s="4">
        <f>--AND(OR(Dashboard!$A$10="All",A814=Dashboard!$A$10),OR(Dashboard!$A$14="All",D814=Dashboard!$A$14),OR(Dashboard!$A$18="All",E814=Dashboard!$A$18),OR(Dashboard!$A$22="All",F814=Dashboard!$A$22))</f>
        <v>1</v>
      </c>
    </row>
    <row r="815" spans="1:8" ht="15.75" customHeight="1">
      <c r="A815" s="4">
        <v>2025</v>
      </c>
      <c r="B815" s="4">
        <v>11</v>
      </c>
      <c r="C815" s="4" t="s">
        <v>89</v>
      </c>
      <c r="D815" s="4" t="s">
        <v>11</v>
      </c>
      <c r="E815" s="4" t="s">
        <v>9</v>
      </c>
      <c r="F815" s="4" t="s">
        <v>7</v>
      </c>
      <c r="G815" s="5">
        <v>5765.76</v>
      </c>
      <c r="H815" s="4">
        <f>--AND(OR(Dashboard!$A$10="All",A815=Dashboard!$A$10),OR(Dashboard!$A$14="All",D815=Dashboard!$A$14),OR(Dashboard!$A$18="All",E815=Dashboard!$A$18),OR(Dashboard!$A$22="All",F815=Dashboard!$A$22))</f>
        <v>1</v>
      </c>
    </row>
    <row r="816" spans="1:8" ht="15.75" customHeight="1">
      <c r="A816" s="4">
        <v>2025</v>
      </c>
      <c r="B816" s="4">
        <v>11</v>
      </c>
      <c r="C816" s="4" t="s">
        <v>89</v>
      </c>
      <c r="D816" s="4" t="s">
        <v>11</v>
      </c>
      <c r="E816" s="4" t="s">
        <v>9</v>
      </c>
      <c r="F816" s="4" t="s">
        <v>10</v>
      </c>
      <c r="G816" s="5">
        <v>3805.4</v>
      </c>
      <c r="H816" s="4">
        <f>--AND(OR(Dashboard!$A$10="All",A816=Dashboard!$A$10),OR(Dashboard!$A$14="All",D816=Dashboard!$A$14),OR(Dashboard!$A$18="All",E816=Dashboard!$A$18),OR(Dashboard!$A$22="All",F816=Dashboard!$A$22))</f>
        <v>1</v>
      </c>
    </row>
    <row r="817" spans="1:8" ht="15.75" customHeight="1">
      <c r="A817" s="4">
        <v>2025</v>
      </c>
      <c r="B817" s="4">
        <v>11</v>
      </c>
      <c r="C817" s="4" t="s">
        <v>89</v>
      </c>
      <c r="D817" s="4" t="s">
        <v>11</v>
      </c>
      <c r="E817" s="4" t="s">
        <v>9</v>
      </c>
      <c r="F817" s="4" t="s">
        <v>13</v>
      </c>
      <c r="G817" s="5">
        <v>2306.3000000000002</v>
      </c>
      <c r="H817" s="4">
        <f>--AND(OR(Dashboard!$A$10="All",A817=Dashboard!$A$10),OR(Dashboard!$A$14="All",D817=Dashboard!$A$14),OR(Dashboard!$A$18="All",E817=Dashboard!$A$18),OR(Dashboard!$A$22="All",F817=Dashboard!$A$22))</f>
        <v>1</v>
      </c>
    </row>
    <row r="818" spans="1:8" ht="15.75" customHeight="1">
      <c r="A818" s="4">
        <v>2025</v>
      </c>
      <c r="B818" s="4">
        <v>11</v>
      </c>
      <c r="C818" s="4" t="s">
        <v>89</v>
      </c>
      <c r="D818" s="4" t="s">
        <v>11</v>
      </c>
      <c r="E818" s="4" t="s">
        <v>12</v>
      </c>
      <c r="F818" s="4" t="s">
        <v>7</v>
      </c>
      <c r="G818" s="5">
        <v>7927.92</v>
      </c>
      <c r="H818" s="4">
        <f>--AND(OR(Dashboard!$A$10="All",A818=Dashboard!$A$10),OR(Dashboard!$A$14="All",D818=Dashboard!$A$14),OR(Dashboard!$A$18="All",E818=Dashboard!$A$18),OR(Dashboard!$A$22="All",F818=Dashboard!$A$22))</f>
        <v>1</v>
      </c>
    </row>
    <row r="819" spans="1:8" ht="15.75" customHeight="1">
      <c r="A819" s="4">
        <v>2025</v>
      </c>
      <c r="B819" s="4">
        <v>11</v>
      </c>
      <c r="C819" s="4" t="s">
        <v>89</v>
      </c>
      <c r="D819" s="4" t="s">
        <v>11</v>
      </c>
      <c r="E819" s="4" t="s">
        <v>12</v>
      </c>
      <c r="F819" s="4" t="s">
        <v>10</v>
      </c>
      <c r="G819" s="5">
        <v>5232.43</v>
      </c>
      <c r="H819" s="4">
        <f>--AND(OR(Dashboard!$A$10="All",A819=Dashboard!$A$10),OR(Dashboard!$A$14="All",D819=Dashboard!$A$14),OR(Dashboard!$A$18="All",E819=Dashboard!$A$18),OR(Dashboard!$A$22="All",F819=Dashboard!$A$22))</f>
        <v>1</v>
      </c>
    </row>
    <row r="820" spans="1:8" ht="15.75" customHeight="1">
      <c r="A820" s="4">
        <v>2025</v>
      </c>
      <c r="B820" s="4">
        <v>11</v>
      </c>
      <c r="C820" s="4" t="s">
        <v>89</v>
      </c>
      <c r="D820" s="4" t="s">
        <v>11</v>
      </c>
      <c r="E820" s="4" t="s">
        <v>12</v>
      </c>
      <c r="F820" s="4" t="s">
        <v>13</v>
      </c>
      <c r="G820" s="5">
        <v>3171.17</v>
      </c>
      <c r="H820" s="4">
        <f>--AND(OR(Dashboard!$A$10="All",A820=Dashboard!$A$10),OR(Dashboard!$A$14="All",D820=Dashboard!$A$14),OR(Dashboard!$A$18="All",E820=Dashboard!$A$18),OR(Dashboard!$A$22="All",F820=Dashboard!$A$22))</f>
        <v>1</v>
      </c>
    </row>
    <row r="821" spans="1:8" ht="15.75" customHeight="1">
      <c r="A821" s="4">
        <v>2025</v>
      </c>
      <c r="B821" s="4">
        <v>11</v>
      </c>
      <c r="C821" s="4" t="s">
        <v>89</v>
      </c>
      <c r="D821" s="4" t="s">
        <v>14</v>
      </c>
      <c r="E821" s="4" t="s">
        <v>6</v>
      </c>
      <c r="F821" s="4" t="s">
        <v>7</v>
      </c>
      <c r="G821" s="5">
        <v>6142.5</v>
      </c>
      <c r="H821" s="4">
        <f>--AND(OR(Dashboard!$A$10="All",A821=Dashboard!$A$10),OR(Dashboard!$A$14="All",D821=Dashboard!$A$14),OR(Dashboard!$A$18="All",E821=Dashboard!$A$18),OR(Dashboard!$A$22="All",F821=Dashboard!$A$22))</f>
        <v>1</v>
      </c>
    </row>
    <row r="822" spans="1:8" ht="15.75" customHeight="1">
      <c r="A822" s="4">
        <v>2025</v>
      </c>
      <c r="B822" s="4">
        <v>11</v>
      </c>
      <c r="C822" s="4" t="s">
        <v>89</v>
      </c>
      <c r="D822" s="4" t="s">
        <v>14</v>
      </c>
      <c r="E822" s="4" t="s">
        <v>6</v>
      </c>
      <c r="F822" s="4" t="s">
        <v>10</v>
      </c>
      <c r="G822" s="5">
        <v>4054.05</v>
      </c>
      <c r="H822" s="4">
        <f>--AND(OR(Dashboard!$A$10="All",A822=Dashboard!$A$10),OR(Dashboard!$A$14="All",D822=Dashboard!$A$14),OR(Dashboard!$A$18="All",E822=Dashboard!$A$18),OR(Dashboard!$A$22="All",F822=Dashboard!$A$22))</f>
        <v>1</v>
      </c>
    </row>
    <row r="823" spans="1:8" ht="15.75" customHeight="1">
      <c r="A823" s="4">
        <v>2025</v>
      </c>
      <c r="B823" s="4">
        <v>11</v>
      </c>
      <c r="C823" s="4" t="s">
        <v>89</v>
      </c>
      <c r="D823" s="4" t="s">
        <v>14</v>
      </c>
      <c r="E823" s="4" t="s">
        <v>6</v>
      </c>
      <c r="F823" s="4" t="s">
        <v>13</v>
      </c>
      <c r="G823" s="5">
        <v>2457</v>
      </c>
      <c r="H823" s="4">
        <f>--AND(OR(Dashboard!$A$10="All",A823=Dashboard!$A$10),OR(Dashboard!$A$14="All",D823=Dashboard!$A$14),OR(Dashboard!$A$18="All",E823=Dashboard!$A$18),OR(Dashboard!$A$22="All",F823=Dashboard!$A$22))</f>
        <v>1</v>
      </c>
    </row>
    <row r="824" spans="1:8" ht="15.75" customHeight="1">
      <c r="A824" s="4">
        <v>2025</v>
      </c>
      <c r="B824" s="4">
        <v>11</v>
      </c>
      <c r="C824" s="4" t="s">
        <v>89</v>
      </c>
      <c r="D824" s="4" t="s">
        <v>14</v>
      </c>
      <c r="E824" s="4" t="s">
        <v>9</v>
      </c>
      <c r="F824" s="4" t="s">
        <v>7</v>
      </c>
      <c r="G824" s="5">
        <v>3931.2</v>
      </c>
      <c r="H824" s="4">
        <f>--AND(OR(Dashboard!$A$10="All",A824=Dashboard!$A$10),OR(Dashboard!$A$14="All",D824=Dashboard!$A$14),OR(Dashboard!$A$18="All",E824=Dashboard!$A$18),OR(Dashboard!$A$22="All",F824=Dashboard!$A$22))</f>
        <v>1</v>
      </c>
    </row>
    <row r="825" spans="1:8" ht="15.75" customHeight="1">
      <c r="A825" s="4">
        <v>2025</v>
      </c>
      <c r="B825" s="4">
        <v>11</v>
      </c>
      <c r="C825" s="4" t="s">
        <v>89</v>
      </c>
      <c r="D825" s="4" t="s">
        <v>14</v>
      </c>
      <c r="E825" s="4" t="s">
        <v>9</v>
      </c>
      <c r="F825" s="4" t="s">
        <v>10</v>
      </c>
      <c r="G825" s="5">
        <v>2594.59</v>
      </c>
      <c r="H825" s="4">
        <f>--AND(OR(Dashboard!$A$10="All",A825=Dashboard!$A$10),OR(Dashboard!$A$14="All",D825=Dashboard!$A$14),OR(Dashboard!$A$18="All",E825=Dashboard!$A$18),OR(Dashboard!$A$22="All",F825=Dashboard!$A$22))</f>
        <v>1</v>
      </c>
    </row>
    <row r="826" spans="1:8" ht="15.75" customHeight="1">
      <c r="A826" s="4">
        <v>2025</v>
      </c>
      <c r="B826" s="4">
        <v>11</v>
      </c>
      <c r="C826" s="4" t="s">
        <v>89</v>
      </c>
      <c r="D826" s="4" t="s">
        <v>14</v>
      </c>
      <c r="E826" s="4" t="s">
        <v>9</v>
      </c>
      <c r="F826" s="4" t="s">
        <v>13</v>
      </c>
      <c r="G826" s="5">
        <v>1572.48</v>
      </c>
      <c r="H826" s="4">
        <f>--AND(OR(Dashboard!$A$10="All",A826=Dashboard!$A$10),OR(Dashboard!$A$14="All",D826=Dashboard!$A$14),OR(Dashboard!$A$18="All",E826=Dashboard!$A$18),OR(Dashboard!$A$22="All",F826=Dashboard!$A$22))</f>
        <v>1</v>
      </c>
    </row>
    <row r="827" spans="1:8" ht="15.75" customHeight="1">
      <c r="A827" s="4">
        <v>2025</v>
      </c>
      <c r="B827" s="4">
        <v>11</v>
      </c>
      <c r="C827" s="4" t="s">
        <v>89</v>
      </c>
      <c r="D827" s="4" t="s">
        <v>14</v>
      </c>
      <c r="E827" s="4" t="s">
        <v>12</v>
      </c>
      <c r="F827" s="4" t="s">
        <v>7</v>
      </c>
      <c r="G827" s="5">
        <v>5405.4</v>
      </c>
      <c r="H827" s="4">
        <f>--AND(OR(Dashboard!$A$10="All",A827=Dashboard!$A$10),OR(Dashboard!$A$14="All",D827=Dashboard!$A$14),OR(Dashboard!$A$18="All",E827=Dashboard!$A$18),OR(Dashboard!$A$22="All",F827=Dashboard!$A$22))</f>
        <v>1</v>
      </c>
    </row>
    <row r="828" spans="1:8" ht="15.75" customHeight="1">
      <c r="A828" s="4">
        <v>2025</v>
      </c>
      <c r="B828" s="4">
        <v>11</v>
      </c>
      <c r="C828" s="4" t="s">
        <v>89</v>
      </c>
      <c r="D828" s="4" t="s">
        <v>14</v>
      </c>
      <c r="E828" s="4" t="s">
        <v>12</v>
      </c>
      <c r="F828" s="4" t="s">
        <v>10</v>
      </c>
      <c r="G828" s="5">
        <v>3567.56</v>
      </c>
      <c r="H828" s="4">
        <f>--AND(OR(Dashboard!$A$10="All",A828=Dashboard!$A$10),OR(Dashboard!$A$14="All",D828=Dashboard!$A$14),OR(Dashboard!$A$18="All",E828=Dashboard!$A$18),OR(Dashboard!$A$22="All",F828=Dashboard!$A$22))</f>
        <v>1</v>
      </c>
    </row>
    <row r="829" spans="1:8" ht="15.75" customHeight="1">
      <c r="A829" s="4">
        <v>2025</v>
      </c>
      <c r="B829" s="4">
        <v>11</v>
      </c>
      <c r="C829" s="4" t="s">
        <v>89</v>
      </c>
      <c r="D829" s="4" t="s">
        <v>14</v>
      </c>
      <c r="E829" s="4" t="s">
        <v>12</v>
      </c>
      <c r="F829" s="4" t="s">
        <v>13</v>
      </c>
      <c r="G829" s="5">
        <v>2162.16</v>
      </c>
      <c r="H829" s="4">
        <f>--AND(OR(Dashboard!$A$10="All",A829=Dashboard!$A$10),OR(Dashboard!$A$14="All",D829=Dashboard!$A$14),OR(Dashboard!$A$18="All",E829=Dashboard!$A$18),OR(Dashboard!$A$22="All",F829=Dashboard!$A$22))</f>
        <v>1</v>
      </c>
    </row>
    <row r="830" spans="1:8" ht="15.75" customHeight="1">
      <c r="A830" s="4">
        <v>2025</v>
      </c>
      <c r="B830" s="4">
        <v>12</v>
      </c>
      <c r="C830" s="4" t="s">
        <v>57</v>
      </c>
      <c r="D830" s="4" t="s">
        <v>5</v>
      </c>
      <c r="E830" s="4" t="s">
        <v>6</v>
      </c>
      <c r="F830" s="4" t="s">
        <v>7</v>
      </c>
      <c r="G830" s="5">
        <v>20475</v>
      </c>
      <c r="H830" s="4">
        <f>--AND(OR(Dashboard!$A$10="All",A830=Dashboard!$A$10),OR(Dashboard!$A$14="All",D830=Dashboard!$A$14),OR(Dashboard!$A$18="All",E830=Dashboard!$A$18),OR(Dashboard!$A$22="All",F830=Dashboard!$A$22))</f>
        <v>1</v>
      </c>
    </row>
    <row r="831" spans="1:8" ht="15.75" customHeight="1">
      <c r="A831" s="4">
        <v>2025</v>
      </c>
      <c r="B831" s="4">
        <v>12</v>
      </c>
      <c r="C831" s="4" t="s">
        <v>57</v>
      </c>
      <c r="D831" s="4" t="s">
        <v>5</v>
      </c>
      <c r="E831" s="4" t="s">
        <v>6</v>
      </c>
      <c r="F831" s="4" t="s">
        <v>10</v>
      </c>
      <c r="G831" s="5">
        <v>13513.5</v>
      </c>
      <c r="H831" s="4">
        <f>--AND(OR(Dashboard!$A$10="All",A831=Dashboard!$A$10),OR(Dashboard!$A$14="All",D831=Dashboard!$A$14),OR(Dashboard!$A$18="All",E831=Dashboard!$A$18),OR(Dashboard!$A$22="All",F831=Dashboard!$A$22))</f>
        <v>1</v>
      </c>
    </row>
    <row r="832" spans="1:8" ht="15.75" customHeight="1">
      <c r="A832" s="4">
        <v>2025</v>
      </c>
      <c r="B832" s="4">
        <v>12</v>
      </c>
      <c r="C832" s="4" t="s">
        <v>57</v>
      </c>
      <c r="D832" s="4" t="s">
        <v>5</v>
      </c>
      <c r="E832" s="4" t="s">
        <v>6</v>
      </c>
      <c r="F832" s="4" t="s">
        <v>13</v>
      </c>
      <c r="G832" s="5">
        <v>8190</v>
      </c>
      <c r="H832" s="4">
        <f>--AND(OR(Dashboard!$A$10="All",A832=Dashboard!$A$10),OR(Dashboard!$A$14="All",D832=Dashboard!$A$14),OR(Dashboard!$A$18="All",E832=Dashboard!$A$18),OR(Dashboard!$A$22="All",F832=Dashboard!$A$22))</f>
        <v>1</v>
      </c>
    </row>
    <row r="833" spans="1:8" ht="15.75" customHeight="1">
      <c r="A833" s="4">
        <v>2025</v>
      </c>
      <c r="B833" s="4">
        <v>12</v>
      </c>
      <c r="C833" s="4" t="s">
        <v>57</v>
      </c>
      <c r="D833" s="4" t="s">
        <v>5</v>
      </c>
      <c r="E833" s="4" t="s">
        <v>9</v>
      </c>
      <c r="F833" s="4" t="s">
        <v>7</v>
      </c>
      <c r="G833" s="5">
        <v>13104</v>
      </c>
      <c r="H833" s="4">
        <f>--AND(OR(Dashboard!$A$10="All",A833=Dashboard!$A$10),OR(Dashboard!$A$14="All",D833=Dashboard!$A$14),OR(Dashboard!$A$18="All",E833=Dashboard!$A$18),OR(Dashboard!$A$22="All",F833=Dashboard!$A$22))</f>
        <v>1</v>
      </c>
    </row>
    <row r="834" spans="1:8" ht="15.75" customHeight="1">
      <c r="A834" s="4">
        <v>2025</v>
      </c>
      <c r="B834" s="4">
        <v>12</v>
      </c>
      <c r="C834" s="4" t="s">
        <v>57</v>
      </c>
      <c r="D834" s="4" t="s">
        <v>5</v>
      </c>
      <c r="E834" s="4" t="s">
        <v>9</v>
      </c>
      <c r="F834" s="4" t="s">
        <v>10</v>
      </c>
      <c r="G834" s="5">
        <v>8648.64</v>
      </c>
      <c r="H834" s="4">
        <f>--AND(OR(Dashboard!$A$10="All",A834=Dashboard!$A$10),OR(Dashboard!$A$14="All",D834=Dashboard!$A$14),OR(Dashboard!$A$18="All",E834=Dashboard!$A$18),OR(Dashboard!$A$22="All",F834=Dashboard!$A$22))</f>
        <v>1</v>
      </c>
    </row>
    <row r="835" spans="1:8" ht="15.75" customHeight="1">
      <c r="A835" s="4">
        <v>2025</v>
      </c>
      <c r="B835" s="4">
        <v>12</v>
      </c>
      <c r="C835" s="4" t="s">
        <v>57</v>
      </c>
      <c r="D835" s="4" t="s">
        <v>5</v>
      </c>
      <c r="E835" s="4" t="s">
        <v>9</v>
      </c>
      <c r="F835" s="4" t="s">
        <v>13</v>
      </c>
      <c r="G835" s="5">
        <v>5241.6000000000004</v>
      </c>
      <c r="H835" s="4">
        <f>--AND(OR(Dashboard!$A$10="All",A835=Dashboard!$A$10),OR(Dashboard!$A$14="All",D835=Dashboard!$A$14),OR(Dashboard!$A$18="All",E835=Dashboard!$A$18),OR(Dashboard!$A$22="All",F835=Dashboard!$A$22))</f>
        <v>1</v>
      </c>
    </row>
    <row r="836" spans="1:8" ht="15.75" customHeight="1">
      <c r="A836" s="4">
        <v>2025</v>
      </c>
      <c r="B836" s="4">
        <v>12</v>
      </c>
      <c r="C836" s="4" t="s">
        <v>57</v>
      </c>
      <c r="D836" s="4" t="s">
        <v>5</v>
      </c>
      <c r="E836" s="4" t="s">
        <v>12</v>
      </c>
      <c r="F836" s="4" t="s">
        <v>7</v>
      </c>
      <c r="G836" s="5">
        <v>18018</v>
      </c>
      <c r="H836" s="4">
        <f>--AND(OR(Dashboard!$A$10="All",A836=Dashboard!$A$10),OR(Dashboard!$A$14="All",D836=Dashboard!$A$14),OR(Dashboard!$A$18="All",E836=Dashboard!$A$18),OR(Dashboard!$A$22="All",F836=Dashboard!$A$22))</f>
        <v>1</v>
      </c>
    </row>
    <row r="837" spans="1:8" ht="15.75" customHeight="1">
      <c r="A837" s="4">
        <v>2025</v>
      </c>
      <c r="B837" s="4">
        <v>12</v>
      </c>
      <c r="C837" s="4" t="s">
        <v>57</v>
      </c>
      <c r="D837" s="4" t="s">
        <v>5</v>
      </c>
      <c r="E837" s="4" t="s">
        <v>12</v>
      </c>
      <c r="F837" s="4" t="s">
        <v>10</v>
      </c>
      <c r="G837" s="5">
        <v>11891.88</v>
      </c>
      <c r="H837" s="4">
        <f>--AND(OR(Dashboard!$A$10="All",A837=Dashboard!$A$10),OR(Dashboard!$A$14="All",D837=Dashboard!$A$14),OR(Dashboard!$A$18="All",E837=Dashboard!$A$18),OR(Dashboard!$A$22="All",F837=Dashboard!$A$22))</f>
        <v>1</v>
      </c>
    </row>
    <row r="838" spans="1:8" ht="15.75" customHeight="1">
      <c r="A838" s="4">
        <v>2025</v>
      </c>
      <c r="B838" s="4">
        <v>12</v>
      </c>
      <c r="C838" s="4" t="s">
        <v>57</v>
      </c>
      <c r="D838" s="4" t="s">
        <v>5</v>
      </c>
      <c r="E838" s="4" t="s">
        <v>12</v>
      </c>
      <c r="F838" s="4" t="s">
        <v>13</v>
      </c>
      <c r="G838" s="5">
        <v>7207.2</v>
      </c>
      <c r="H838" s="4">
        <f>--AND(OR(Dashboard!$A$10="All",A838=Dashboard!$A$10),OR(Dashboard!$A$14="All",D838=Dashboard!$A$14),OR(Dashboard!$A$18="All",E838=Dashboard!$A$18),OR(Dashboard!$A$22="All",F838=Dashboard!$A$22))</f>
        <v>1</v>
      </c>
    </row>
    <row r="839" spans="1:8" ht="15.75" customHeight="1">
      <c r="A839" s="4">
        <v>2025</v>
      </c>
      <c r="B839" s="4">
        <v>12</v>
      </c>
      <c r="C839" s="4" t="s">
        <v>57</v>
      </c>
      <c r="D839" s="4" t="s">
        <v>8</v>
      </c>
      <c r="E839" s="4" t="s">
        <v>6</v>
      </c>
      <c r="F839" s="4" t="s">
        <v>7</v>
      </c>
      <c r="G839" s="5">
        <v>12694.5</v>
      </c>
      <c r="H839" s="4">
        <f>--AND(OR(Dashboard!$A$10="All",A839=Dashboard!$A$10),OR(Dashboard!$A$14="All",D839=Dashboard!$A$14),OR(Dashboard!$A$18="All",E839=Dashboard!$A$18),OR(Dashboard!$A$22="All",F839=Dashboard!$A$22))</f>
        <v>1</v>
      </c>
    </row>
    <row r="840" spans="1:8" ht="15.75" customHeight="1">
      <c r="A840" s="4">
        <v>2025</v>
      </c>
      <c r="B840" s="4">
        <v>12</v>
      </c>
      <c r="C840" s="4" t="s">
        <v>57</v>
      </c>
      <c r="D840" s="4" t="s">
        <v>8</v>
      </c>
      <c r="E840" s="4" t="s">
        <v>6</v>
      </c>
      <c r="F840" s="4" t="s">
        <v>10</v>
      </c>
      <c r="G840" s="5">
        <v>8378.3700000000008</v>
      </c>
      <c r="H840" s="4">
        <f>--AND(OR(Dashboard!$A$10="All",A840=Dashboard!$A$10),OR(Dashboard!$A$14="All",D840=Dashboard!$A$14),OR(Dashboard!$A$18="All",E840=Dashboard!$A$18),OR(Dashboard!$A$22="All",F840=Dashboard!$A$22))</f>
        <v>1</v>
      </c>
    </row>
    <row r="841" spans="1:8" ht="15.75" customHeight="1">
      <c r="A841" s="4">
        <v>2025</v>
      </c>
      <c r="B841" s="4">
        <v>12</v>
      </c>
      <c r="C841" s="4" t="s">
        <v>57</v>
      </c>
      <c r="D841" s="4" t="s">
        <v>8</v>
      </c>
      <c r="E841" s="4" t="s">
        <v>6</v>
      </c>
      <c r="F841" s="4" t="s">
        <v>13</v>
      </c>
      <c r="G841" s="5">
        <v>5077.8</v>
      </c>
      <c r="H841" s="4">
        <f>--AND(OR(Dashboard!$A$10="All",A841=Dashboard!$A$10),OR(Dashboard!$A$14="All",D841=Dashboard!$A$14),OR(Dashboard!$A$18="All",E841=Dashboard!$A$18),OR(Dashboard!$A$22="All",F841=Dashboard!$A$22))</f>
        <v>1</v>
      </c>
    </row>
    <row r="842" spans="1:8" ht="15.75" customHeight="1">
      <c r="A842" s="4">
        <v>2025</v>
      </c>
      <c r="B842" s="4">
        <v>12</v>
      </c>
      <c r="C842" s="4" t="s">
        <v>57</v>
      </c>
      <c r="D842" s="4" t="s">
        <v>8</v>
      </c>
      <c r="E842" s="4" t="s">
        <v>9</v>
      </c>
      <c r="F842" s="4" t="s">
        <v>7</v>
      </c>
      <c r="G842" s="5">
        <v>8124.48</v>
      </c>
      <c r="H842" s="4">
        <f>--AND(OR(Dashboard!$A$10="All",A842=Dashboard!$A$10),OR(Dashboard!$A$14="All",D842=Dashboard!$A$14),OR(Dashboard!$A$18="All",E842=Dashboard!$A$18),OR(Dashboard!$A$22="All",F842=Dashboard!$A$22))</f>
        <v>1</v>
      </c>
    </row>
    <row r="843" spans="1:8" ht="15.75" customHeight="1">
      <c r="A843" s="4">
        <v>2025</v>
      </c>
      <c r="B843" s="4">
        <v>12</v>
      </c>
      <c r="C843" s="4" t="s">
        <v>57</v>
      </c>
      <c r="D843" s="4" t="s">
        <v>8</v>
      </c>
      <c r="E843" s="4" t="s">
        <v>9</v>
      </c>
      <c r="F843" s="4" t="s">
        <v>10</v>
      </c>
      <c r="G843" s="5">
        <v>5362.16</v>
      </c>
      <c r="H843" s="4">
        <f>--AND(OR(Dashboard!$A$10="All",A843=Dashboard!$A$10),OR(Dashboard!$A$14="All",D843=Dashboard!$A$14),OR(Dashboard!$A$18="All",E843=Dashboard!$A$18),OR(Dashboard!$A$22="All",F843=Dashboard!$A$22))</f>
        <v>1</v>
      </c>
    </row>
    <row r="844" spans="1:8" ht="15.75" customHeight="1">
      <c r="A844" s="4">
        <v>2025</v>
      </c>
      <c r="B844" s="4">
        <v>12</v>
      </c>
      <c r="C844" s="4" t="s">
        <v>57</v>
      </c>
      <c r="D844" s="4" t="s">
        <v>8</v>
      </c>
      <c r="E844" s="4" t="s">
        <v>9</v>
      </c>
      <c r="F844" s="4" t="s">
        <v>13</v>
      </c>
      <c r="G844" s="5">
        <v>3249.79</v>
      </c>
      <c r="H844" s="4">
        <f>--AND(OR(Dashboard!$A$10="All",A844=Dashboard!$A$10),OR(Dashboard!$A$14="All",D844=Dashboard!$A$14),OR(Dashboard!$A$18="All",E844=Dashboard!$A$18),OR(Dashboard!$A$22="All",F844=Dashboard!$A$22))</f>
        <v>1</v>
      </c>
    </row>
    <row r="845" spans="1:8" ht="15.75" customHeight="1">
      <c r="A845" s="4">
        <v>2025</v>
      </c>
      <c r="B845" s="4">
        <v>12</v>
      </c>
      <c r="C845" s="4" t="s">
        <v>57</v>
      </c>
      <c r="D845" s="4" t="s">
        <v>8</v>
      </c>
      <c r="E845" s="4" t="s">
        <v>12</v>
      </c>
      <c r="F845" s="4" t="s">
        <v>7</v>
      </c>
      <c r="G845" s="5">
        <v>11171.16</v>
      </c>
      <c r="H845" s="4">
        <f>--AND(OR(Dashboard!$A$10="All",A845=Dashboard!$A$10),OR(Dashboard!$A$14="All",D845=Dashboard!$A$14),OR(Dashboard!$A$18="All",E845=Dashboard!$A$18),OR(Dashboard!$A$22="All",F845=Dashboard!$A$22))</f>
        <v>1</v>
      </c>
    </row>
    <row r="846" spans="1:8" ht="15.75" customHeight="1">
      <c r="A846" s="4">
        <v>2025</v>
      </c>
      <c r="B846" s="4">
        <v>12</v>
      </c>
      <c r="C846" s="4" t="s">
        <v>57</v>
      </c>
      <c r="D846" s="4" t="s">
        <v>8</v>
      </c>
      <c r="E846" s="4" t="s">
        <v>12</v>
      </c>
      <c r="F846" s="4" t="s">
        <v>10</v>
      </c>
      <c r="G846" s="5">
        <v>7372.97</v>
      </c>
      <c r="H846" s="4">
        <f>--AND(OR(Dashboard!$A$10="All",A846=Dashboard!$A$10),OR(Dashboard!$A$14="All",D846=Dashboard!$A$14),OR(Dashboard!$A$18="All",E846=Dashboard!$A$18),OR(Dashboard!$A$22="All",F846=Dashboard!$A$22))</f>
        <v>1</v>
      </c>
    </row>
    <row r="847" spans="1:8" ht="15.75" customHeight="1">
      <c r="A847" s="4">
        <v>2025</v>
      </c>
      <c r="B847" s="4">
        <v>12</v>
      </c>
      <c r="C847" s="4" t="s">
        <v>57</v>
      </c>
      <c r="D847" s="4" t="s">
        <v>8</v>
      </c>
      <c r="E847" s="4" t="s">
        <v>12</v>
      </c>
      <c r="F847" s="4" t="s">
        <v>13</v>
      </c>
      <c r="G847" s="5">
        <v>4468.46</v>
      </c>
      <c r="H847" s="4">
        <f>--AND(OR(Dashboard!$A$10="All",A847=Dashboard!$A$10),OR(Dashboard!$A$14="All",D847=Dashboard!$A$14),OR(Dashboard!$A$18="All",E847=Dashboard!$A$18),OR(Dashboard!$A$22="All",F847=Dashboard!$A$22))</f>
        <v>1</v>
      </c>
    </row>
    <row r="848" spans="1:8" ht="15.75" customHeight="1">
      <c r="A848" s="4">
        <v>2025</v>
      </c>
      <c r="B848" s="4">
        <v>12</v>
      </c>
      <c r="C848" s="4" t="s">
        <v>57</v>
      </c>
      <c r="D848" s="4" t="s">
        <v>11</v>
      </c>
      <c r="E848" s="4" t="s">
        <v>6</v>
      </c>
      <c r="F848" s="4" t="s">
        <v>7</v>
      </c>
      <c r="G848" s="5">
        <v>9009</v>
      </c>
      <c r="H848" s="4">
        <f>--AND(OR(Dashboard!$A$10="All",A848=Dashboard!$A$10),OR(Dashboard!$A$14="All",D848=Dashboard!$A$14),OR(Dashboard!$A$18="All",E848=Dashboard!$A$18),OR(Dashboard!$A$22="All",F848=Dashboard!$A$22))</f>
        <v>1</v>
      </c>
    </row>
    <row r="849" spans="1:8" ht="15.75" customHeight="1">
      <c r="A849" s="4">
        <v>2025</v>
      </c>
      <c r="B849" s="4">
        <v>12</v>
      </c>
      <c r="C849" s="4" t="s">
        <v>57</v>
      </c>
      <c r="D849" s="4" t="s">
        <v>11</v>
      </c>
      <c r="E849" s="4" t="s">
        <v>6</v>
      </c>
      <c r="F849" s="4" t="s">
        <v>10</v>
      </c>
      <c r="G849" s="5">
        <v>5945.94</v>
      </c>
      <c r="H849" s="4">
        <f>--AND(OR(Dashboard!$A$10="All",A849=Dashboard!$A$10),OR(Dashboard!$A$14="All",D849=Dashboard!$A$14),OR(Dashboard!$A$18="All",E849=Dashboard!$A$18),OR(Dashboard!$A$22="All",F849=Dashboard!$A$22))</f>
        <v>1</v>
      </c>
    </row>
    <row r="850" spans="1:8" ht="15.75" customHeight="1">
      <c r="A850" s="4">
        <v>2025</v>
      </c>
      <c r="B850" s="4">
        <v>12</v>
      </c>
      <c r="C850" s="4" t="s">
        <v>57</v>
      </c>
      <c r="D850" s="4" t="s">
        <v>11</v>
      </c>
      <c r="E850" s="4" t="s">
        <v>6</v>
      </c>
      <c r="F850" s="4" t="s">
        <v>13</v>
      </c>
      <c r="G850" s="5">
        <v>3603.6</v>
      </c>
      <c r="H850" s="4">
        <f>--AND(OR(Dashboard!$A$10="All",A850=Dashboard!$A$10),OR(Dashboard!$A$14="All",D850=Dashboard!$A$14),OR(Dashboard!$A$18="All",E850=Dashboard!$A$18),OR(Dashboard!$A$22="All",F850=Dashboard!$A$22))</f>
        <v>1</v>
      </c>
    </row>
    <row r="851" spans="1:8" ht="15.75" customHeight="1">
      <c r="A851" s="4">
        <v>2025</v>
      </c>
      <c r="B851" s="4">
        <v>12</v>
      </c>
      <c r="C851" s="4" t="s">
        <v>57</v>
      </c>
      <c r="D851" s="4" t="s">
        <v>11</v>
      </c>
      <c r="E851" s="4" t="s">
        <v>9</v>
      </c>
      <c r="F851" s="4" t="s">
        <v>7</v>
      </c>
      <c r="G851" s="5">
        <v>5765.76</v>
      </c>
      <c r="H851" s="4">
        <f>--AND(OR(Dashboard!$A$10="All",A851=Dashboard!$A$10),OR(Dashboard!$A$14="All",D851=Dashboard!$A$14),OR(Dashboard!$A$18="All",E851=Dashboard!$A$18),OR(Dashboard!$A$22="All",F851=Dashboard!$A$22))</f>
        <v>1</v>
      </c>
    </row>
    <row r="852" spans="1:8" ht="15.75" customHeight="1">
      <c r="A852" s="4">
        <v>2025</v>
      </c>
      <c r="B852" s="4">
        <v>12</v>
      </c>
      <c r="C852" s="4" t="s">
        <v>57</v>
      </c>
      <c r="D852" s="4" t="s">
        <v>11</v>
      </c>
      <c r="E852" s="4" t="s">
        <v>9</v>
      </c>
      <c r="F852" s="4" t="s">
        <v>10</v>
      </c>
      <c r="G852" s="5">
        <v>3805.4</v>
      </c>
      <c r="H852" s="4">
        <f>--AND(OR(Dashboard!$A$10="All",A852=Dashboard!$A$10),OR(Dashboard!$A$14="All",D852=Dashboard!$A$14),OR(Dashboard!$A$18="All",E852=Dashboard!$A$18),OR(Dashboard!$A$22="All",F852=Dashboard!$A$22))</f>
        <v>1</v>
      </c>
    </row>
    <row r="853" spans="1:8" ht="15.75" customHeight="1">
      <c r="A853" s="4">
        <v>2025</v>
      </c>
      <c r="B853" s="4">
        <v>12</v>
      </c>
      <c r="C853" s="4" t="s">
        <v>57</v>
      </c>
      <c r="D853" s="4" t="s">
        <v>11</v>
      </c>
      <c r="E853" s="4" t="s">
        <v>9</v>
      </c>
      <c r="F853" s="4" t="s">
        <v>13</v>
      </c>
      <c r="G853" s="5">
        <v>2306.3000000000002</v>
      </c>
      <c r="H853" s="4">
        <f>--AND(OR(Dashboard!$A$10="All",A853=Dashboard!$A$10),OR(Dashboard!$A$14="All",D853=Dashboard!$A$14),OR(Dashboard!$A$18="All",E853=Dashboard!$A$18),OR(Dashboard!$A$22="All",F853=Dashboard!$A$22))</f>
        <v>1</v>
      </c>
    </row>
    <row r="854" spans="1:8" ht="15.75" customHeight="1">
      <c r="A854" s="4">
        <v>2025</v>
      </c>
      <c r="B854" s="4">
        <v>12</v>
      </c>
      <c r="C854" s="4" t="s">
        <v>57</v>
      </c>
      <c r="D854" s="4" t="s">
        <v>11</v>
      </c>
      <c r="E854" s="4" t="s">
        <v>12</v>
      </c>
      <c r="F854" s="4" t="s">
        <v>7</v>
      </c>
      <c r="G854" s="5">
        <v>7927.92</v>
      </c>
      <c r="H854" s="4">
        <f>--AND(OR(Dashboard!$A$10="All",A854=Dashboard!$A$10),OR(Dashboard!$A$14="All",D854=Dashboard!$A$14),OR(Dashboard!$A$18="All",E854=Dashboard!$A$18),OR(Dashboard!$A$22="All",F854=Dashboard!$A$22))</f>
        <v>1</v>
      </c>
    </row>
    <row r="855" spans="1:8" ht="15.75" customHeight="1">
      <c r="A855" s="4">
        <v>2025</v>
      </c>
      <c r="B855" s="4">
        <v>12</v>
      </c>
      <c r="C855" s="4" t="s">
        <v>57</v>
      </c>
      <c r="D855" s="4" t="s">
        <v>11</v>
      </c>
      <c r="E855" s="4" t="s">
        <v>12</v>
      </c>
      <c r="F855" s="4" t="s">
        <v>10</v>
      </c>
      <c r="G855" s="5">
        <v>5232.43</v>
      </c>
      <c r="H855" s="4">
        <f>--AND(OR(Dashboard!$A$10="All",A855=Dashboard!$A$10),OR(Dashboard!$A$14="All",D855=Dashboard!$A$14),OR(Dashboard!$A$18="All",E855=Dashboard!$A$18),OR(Dashboard!$A$22="All",F855=Dashboard!$A$22))</f>
        <v>1</v>
      </c>
    </row>
    <row r="856" spans="1:8" ht="15.75" customHeight="1">
      <c r="A856" s="4">
        <v>2025</v>
      </c>
      <c r="B856" s="4">
        <v>12</v>
      </c>
      <c r="C856" s="4" t="s">
        <v>57</v>
      </c>
      <c r="D856" s="4" t="s">
        <v>11</v>
      </c>
      <c r="E856" s="4" t="s">
        <v>12</v>
      </c>
      <c r="F856" s="4" t="s">
        <v>13</v>
      </c>
      <c r="G856" s="5">
        <v>3171.17</v>
      </c>
      <c r="H856" s="4">
        <f>--AND(OR(Dashboard!$A$10="All",A856=Dashboard!$A$10),OR(Dashboard!$A$14="All",D856=Dashboard!$A$14),OR(Dashboard!$A$18="All",E856=Dashboard!$A$18),OR(Dashboard!$A$22="All",F856=Dashboard!$A$22))</f>
        <v>1</v>
      </c>
    </row>
    <row r="857" spans="1:8" ht="15.75" customHeight="1">
      <c r="A857" s="4">
        <v>2025</v>
      </c>
      <c r="B857" s="4">
        <v>12</v>
      </c>
      <c r="C857" s="4" t="s">
        <v>57</v>
      </c>
      <c r="D857" s="4" t="s">
        <v>14</v>
      </c>
      <c r="E857" s="4" t="s">
        <v>6</v>
      </c>
      <c r="F857" s="4" t="s">
        <v>7</v>
      </c>
      <c r="G857" s="5">
        <v>6142.5</v>
      </c>
      <c r="H857" s="4">
        <f>--AND(OR(Dashboard!$A$10="All",A857=Dashboard!$A$10),OR(Dashboard!$A$14="All",D857=Dashboard!$A$14),OR(Dashboard!$A$18="All",E857=Dashboard!$A$18),OR(Dashboard!$A$22="All",F857=Dashboard!$A$22))</f>
        <v>1</v>
      </c>
    </row>
    <row r="858" spans="1:8" ht="15.75" customHeight="1">
      <c r="A858" s="4">
        <v>2025</v>
      </c>
      <c r="B858" s="4">
        <v>12</v>
      </c>
      <c r="C858" s="4" t="s">
        <v>57</v>
      </c>
      <c r="D858" s="4" t="s">
        <v>14</v>
      </c>
      <c r="E858" s="4" t="s">
        <v>6</v>
      </c>
      <c r="F858" s="4" t="s">
        <v>10</v>
      </c>
      <c r="G858" s="5">
        <v>4054.05</v>
      </c>
      <c r="H858" s="4">
        <f>--AND(OR(Dashboard!$A$10="All",A858=Dashboard!$A$10),OR(Dashboard!$A$14="All",D858=Dashboard!$A$14),OR(Dashboard!$A$18="All",E858=Dashboard!$A$18),OR(Dashboard!$A$22="All",F858=Dashboard!$A$22))</f>
        <v>1</v>
      </c>
    </row>
    <row r="859" spans="1:8" ht="15.75" customHeight="1">
      <c r="A859" s="4">
        <v>2025</v>
      </c>
      <c r="B859" s="4">
        <v>12</v>
      </c>
      <c r="C859" s="4" t="s">
        <v>57</v>
      </c>
      <c r="D859" s="4" t="s">
        <v>14</v>
      </c>
      <c r="E859" s="4" t="s">
        <v>6</v>
      </c>
      <c r="F859" s="4" t="s">
        <v>13</v>
      </c>
      <c r="G859" s="5">
        <v>2457</v>
      </c>
      <c r="H859" s="4">
        <f>--AND(OR(Dashboard!$A$10="All",A859=Dashboard!$A$10),OR(Dashboard!$A$14="All",D859=Dashboard!$A$14),OR(Dashboard!$A$18="All",E859=Dashboard!$A$18),OR(Dashboard!$A$22="All",F859=Dashboard!$A$22))</f>
        <v>1</v>
      </c>
    </row>
    <row r="860" spans="1:8" ht="15.75" customHeight="1">
      <c r="A860" s="4">
        <v>2025</v>
      </c>
      <c r="B860" s="4">
        <v>12</v>
      </c>
      <c r="C860" s="4" t="s">
        <v>57</v>
      </c>
      <c r="D860" s="4" t="s">
        <v>14</v>
      </c>
      <c r="E860" s="4" t="s">
        <v>9</v>
      </c>
      <c r="F860" s="4" t="s">
        <v>7</v>
      </c>
      <c r="G860" s="5">
        <v>3931.2</v>
      </c>
      <c r="H860" s="4">
        <f>--AND(OR(Dashboard!$A$10="All",A860=Dashboard!$A$10),OR(Dashboard!$A$14="All",D860=Dashboard!$A$14),OR(Dashboard!$A$18="All",E860=Dashboard!$A$18),OR(Dashboard!$A$22="All",F860=Dashboard!$A$22))</f>
        <v>1</v>
      </c>
    </row>
    <row r="861" spans="1:8" ht="15.75" customHeight="1">
      <c r="A861" s="4">
        <v>2025</v>
      </c>
      <c r="B861" s="4">
        <v>12</v>
      </c>
      <c r="C861" s="4" t="s">
        <v>57</v>
      </c>
      <c r="D861" s="4" t="s">
        <v>14</v>
      </c>
      <c r="E861" s="4" t="s">
        <v>9</v>
      </c>
      <c r="F861" s="4" t="s">
        <v>10</v>
      </c>
      <c r="G861" s="5">
        <v>2594.59</v>
      </c>
      <c r="H861" s="4">
        <f>--AND(OR(Dashboard!$A$10="All",A861=Dashboard!$A$10),OR(Dashboard!$A$14="All",D861=Dashboard!$A$14),OR(Dashboard!$A$18="All",E861=Dashboard!$A$18),OR(Dashboard!$A$22="All",F861=Dashboard!$A$22))</f>
        <v>1</v>
      </c>
    </row>
    <row r="862" spans="1:8" ht="15.75" customHeight="1">
      <c r="A862" s="4">
        <v>2025</v>
      </c>
      <c r="B862" s="4">
        <v>12</v>
      </c>
      <c r="C862" s="4" t="s">
        <v>57</v>
      </c>
      <c r="D862" s="4" t="s">
        <v>14</v>
      </c>
      <c r="E862" s="4" t="s">
        <v>9</v>
      </c>
      <c r="F862" s="4" t="s">
        <v>13</v>
      </c>
      <c r="G862" s="5">
        <v>1572.48</v>
      </c>
      <c r="H862" s="4">
        <f>--AND(OR(Dashboard!$A$10="All",A862=Dashboard!$A$10),OR(Dashboard!$A$14="All",D862=Dashboard!$A$14),OR(Dashboard!$A$18="All",E862=Dashboard!$A$18),OR(Dashboard!$A$22="All",F862=Dashboard!$A$22))</f>
        <v>1</v>
      </c>
    </row>
    <row r="863" spans="1:8" ht="15.75" customHeight="1">
      <c r="A863" s="4">
        <v>2025</v>
      </c>
      <c r="B863" s="4">
        <v>12</v>
      </c>
      <c r="C863" s="4" t="s">
        <v>57</v>
      </c>
      <c r="D863" s="4" t="s">
        <v>14</v>
      </c>
      <c r="E863" s="4" t="s">
        <v>12</v>
      </c>
      <c r="F863" s="4" t="s">
        <v>7</v>
      </c>
      <c r="G863" s="5">
        <v>5405.4</v>
      </c>
      <c r="H863" s="4">
        <f>--AND(OR(Dashboard!$A$10="All",A863=Dashboard!$A$10),OR(Dashboard!$A$14="All",D863=Dashboard!$A$14),OR(Dashboard!$A$18="All",E863=Dashboard!$A$18),OR(Dashboard!$A$22="All",F863=Dashboard!$A$22))</f>
        <v>1</v>
      </c>
    </row>
    <row r="864" spans="1:8" ht="15.75" customHeight="1">
      <c r="A864" s="4">
        <v>2025</v>
      </c>
      <c r="B864" s="4">
        <v>12</v>
      </c>
      <c r="C864" s="4" t="s">
        <v>57</v>
      </c>
      <c r="D864" s="4" t="s">
        <v>14</v>
      </c>
      <c r="E864" s="4" t="s">
        <v>12</v>
      </c>
      <c r="F864" s="4" t="s">
        <v>10</v>
      </c>
      <c r="G864" s="5">
        <v>3567.56</v>
      </c>
      <c r="H864" s="4">
        <f>--AND(OR(Dashboard!$A$10="All",A864=Dashboard!$A$10),OR(Dashboard!$A$14="All",D864=Dashboard!$A$14),OR(Dashboard!$A$18="All",E864=Dashboard!$A$18),OR(Dashboard!$A$22="All",F864=Dashboard!$A$22))</f>
        <v>1</v>
      </c>
    </row>
    <row r="865" spans="1:8" ht="15.75" customHeight="1">
      <c r="A865" s="4">
        <v>2025</v>
      </c>
      <c r="B865" s="4">
        <v>12</v>
      </c>
      <c r="C865" s="4" t="s">
        <v>57</v>
      </c>
      <c r="D865" s="4" t="s">
        <v>14</v>
      </c>
      <c r="E865" s="4" t="s">
        <v>12</v>
      </c>
      <c r="F865" s="4" t="s">
        <v>13</v>
      </c>
      <c r="G865" s="5">
        <v>2162.16</v>
      </c>
      <c r="H865" s="4">
        <f>--AND(OR(Dashboard!$A$10="All",A865=Dashboard!$A$10),OR(Dashboard!$A$14="All",D865=Dashboard!$A$14),OR(Dashboard!$A$18="All",E865=Dashboard!$A$18),OR(Dashboard!$A$22="All",F865=Dashboard!$A$22))</f>
        <v>1</v>
      </c>
    </row>
    <row r="866" spans="1:8" ht="15.75" customHeight="1"/>
    <row r="867" spans="1:8" ht="15.75" customHeight="1"/>
    <row r="868" spans="1:8" ht="15.75" customHeight="1"/>
    <row r="869" spans="1:8" ht="15.75" customHeight="1"/>
    <row r="870" spans="1:8" ht="15.75" customHeight="1"/>
    <row r="871" spans="1:8" ht="15.75" customHeight="1"/>
    <row r="872" spans="1:8" ht="15.75" customHeight="1"/>
    <row r="873" spans="1:8" ht="15.75" customHeight="1"/>
    <row r="874" spans="1:8" ht="15.75" customHeight="1"/>
    <row r="875" spans="1:8" ht="15.75" customHeight="1"/>
    <row r="876" spans="1:8" ht="15.75" customHeight="1"/>
    <row r="877" spans="1:8" ht="15.75" customHeight="1"/>
    <row r="878" spans="1:8" ht="15.75" customHeight="1"/>
    <row r="879" spans="1:8" ht="15.75" customHeight="1"/>
    <row r="880" spans="1:8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000"/>
  <sheetViews>
    <sheetView workbookViewId="0">
      <selection activeCell="B3" sqref="B3"/>
    </sheetView>
  </sheetViews>
  <sheetFormatPr defaultColWidth="12.59765625" defaultRowHeight="15" customHeight="1"/>
  <cols>
    <col min="1" max="4" width="20" customWidth="1"/>
    <col min="5" max="26" width="8.59765625" customWidth="1"/>
  </cols>
  <sheetData>
    <row r="1" spans="1:4" ht="13.8">
      <c r="A1" s="1" t="s">
        <v>0</v>
      </c>
      <c r="B1" s="1" t="s">
        <v>1</v>
      </c>
      <c r="C1" s="1" t="s">
        <v>2</v>
      </c>
      <c r="D1" s="1" t="s">
        <v>3</v>
      </c>
    </row>
    <row r="2" spans="1:4" ht="13.8">
      <c r="A2" s="2" t="s">
        <v>4</v>
      </c>
      <c r="B2" s="2" t="s">
        <v>4</v>
      </c>
      <c r="C2" s="2" t="s">
        <v>4</v>
      </c>
      <c r="D2" s="2" t="s">
        <v>4</v>
      </c>
    </row>
    <row r="3" spans="1:4" ht="13.8">
      <c r="A3" s="2">
        <v>2024</v>
      </c>
      <c r="B3" s="2" t="s">
        <v>5</v>
      </c>
      <c r="C3" s="2" t="s">
        <v>6</v>
      </c>
      <c r="D3" s="2" t="s">
        <v>7</v>
      </c>
    </row>
    <row r="4" spans="1:4" ht="13.8">
      <c r="A4" s="2">
        <v>2025</v>
      </c>
      <c r="B4" s="2" t="s">
        <v>8</v>
      </c>
      <c r="C4" s="2" t="s">
        <v>9</v>
      </c>
      <c r="D4" s="2" t="s">
        <v>10</v>
      </c>
    </row>
    <row r="5" spans="1:4" ht="13.8">
      <c r="B5" s="2" t="s">
        <v>11</v>
      </c>
      <c r="C5" s="2" t="s">
        <v>12</v>
      </c>
      <c r="D5" s="2" t="s">
        <v>13</v>
      </c>
    </row>
    <row r="6" spans="1:4" ht="13.8">
      <c r="B6" s="2" t="s">
        <v>14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999"/>
  <sheetViews>
    <sheetView workbookViewId="0">
      <selection activeCell="B16" sqref="B16"/>
    </sheetView>
  </sheetViews>
  <sheetFormatPr defaultColWidth="12.59765625" defaultRowHeight="15" customHeight="1"/>
  <cols>
    <col min="1" max="1" width="22" customWidth="1"/>
    <col min="2" max="2" width="75" customWidth="1"/>
    <col min="3" max="26" width="8.59765625" customWidth="1"/>
  </cols>
  <sheetData>
    <row r="1" spans="1:8" ht="13.8">
      <c r="A1" s="156" t="s">
        <v>36</v>
      </c>
      <c r="B1" s="98"/>
      <c r="C1" s="98"/>
      <c r="D1" s="98"/>
      <c r="E1" s="98"/>
      <c r="F1" s="98"/>
      <c r="G1" s="98"/>
      <c r="H1" s="98"/>
    </row>
    <row r="2" spans="1:8" ht="15" customHeight="1">
      <c r="A2" s="98"/>
      <c r="B2" s="98"/>
      <c r="C2" s="98"/>
      <c r="D2" s="98"/>
      <c r="E2" s="98"/>
      <c r="F2" s="98"/>
      <c r="G2" s="98"/>
      <c r="H2" s="98"/>
    </row>
    <row r="4" spans="1:8" ht="13.8">
      <c r="A4" s="7" t="s">
        <v>38</v>
      </c>
      <c r="B4" s="8" t="s">
        <v>39</v>
      </c>
    </row>
    <row r="5" spans="1:8" ht="13.8">
      <c r="A5" s="7" t="s">
        <v>40</v>
      </c>
      <c r="B5" s="8" t="s">
        <v>41</v>
      </c>
    </row>
    <row r="6" spans="1:8" ht="13.8">
      <c r="A6" s="7" t="s">
        <v>42</v>
      </c>
      <c r="B6" s="8" t="s">
        <v>43</v>
      </c>
    </row>
    <row r="7" spans="1:8" ht="13.8">
      <c r="A7" s="7" t="s">
        <v>44</v>
      </c>
      <c r="B7" s="8" t="s">
        <v>45</v>
      </c>
    </row>
    <row r="8" spans="1:8" ht="13.8">
      <c r="A8" s="7" t="s">
        <v>46</v>
      </c>
      <c r="B8" s="8" t="s">
        <v>47</v>
      </c>
    </row>
    <row r="9" spans="1:8" ht="13.8">
      <c r="A9" s="7" t="s">
        <v>48</v>
      </c>
      <c r="B9" s="8" t="s">
        <v>2008</v>
      </c>
    </row>
    <row r="10" spans="1:8" ht="13.8">
      <c r="A10" s="7" t="s">
        <v>49</v>
      </c>
      <c r="B10" s="8" t="s">
        <v>50</v>
      </c>
    </row>
    <row r="11" spans="1:8" ht="13.8">
      <c r="A11" s="7" t="s">
        <v>51</v>
      </c>
      <c r="B11" s="8" t="s">
        <v>52</v>
      </c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A1:H2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Raw Data</vt:lpstr>
      <vt:lpstr>Budget</vt:lpstr>
      <vt:lpstr>Lookup</vt:lpstr>
      <vt:lpstr>Read 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Mariam Alebiosu</dc:creator>
  <cp:lastModifiedBy>Mariam Alebiosu</cp:lastModifiedBy>
  <dcterms:created xsi:type="dcterms:W3CDTF">2026-08-30T14:07:58Z</dcterms:created>
  <dcterms:modified xsi:type="dcterms:W3CDTF">2026-09-28T02:40:43Z</dcterms:modified>
</cp:coreProperties>
</file>